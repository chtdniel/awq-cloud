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134" windowHeight="11807" firstSheet="4" activeTab="4"/>
  </bookViews>
  <sheets>
    <sheet name="204" sheetId="1" state="hidden" r:id="rId1"/>
    <sheet name="204CBR" sheetId="2" state="hidden" r:id="rId2"/>
    <sheet name="526" sheetId="3" state="hidden" r:id="rId3"/>
    <sheet name="526CBR" sheetId="4" state="hidden" r:id="rId4"/>
    <sheet name="CBR" sheetId="5" r:id="rId5"/>
    <sheet name="860" sheetId="6" state="hidden" r:id="rId6"/>
    <sheet name="860CBR" sheetId="7" state="hidden" r:id="rId7"/>
    <sheet name="533" sheetId="8" state="hidden" r:id="rId8"/>
    <sheet name="533CBR" sheetId="9" state="hidden" r:id="rId9"/>
    <sheet name="260" sheetId="10" state="hidden" r:id="rId10"/>
    <sheet name="260CBR" sheetId="11" state="hidden" r:id="rId11"/>
    <sheet name="AFTN N EMAIL" sheetId="12" state="hidden" r:id="rId12"/>
    <sheet name="ALT MOR" sheetId="13" state="hidden" r:id="rId13"/>
    <sheet name="258" sheetId="14" state="hidden" r:id="rId14"/>
    <sheet name="258CBR" sheetId="15" state="hidden" r:id="rId15"/>
    <sheet name="TANKERING" sheetId="18" state="hidden" r:id="rId16"/>
    <sheet name="CARGO" sheetId="19" state="hidden" r:id="rId17"/>
    <sheet name="NAMA" sheetId="20" state="hidden" r:id="rId18"/>
  </sheets>
  <externalReferences>
    <externalReference r:id="rId19"/>
  </externalReferences>
  <definedNames>
    <definedName name="MileageRate" localSheetId="6">'860CBR'!$P$4</definedName>
    <definedName name="MileageRate">#REF!</definedName>
    <definedName name="MileageRate" localSheetId="4">#REF!</definedName>
    <definedName name="OKE">#REF!</definedName>
    <definedName name="Base">#REF!</definedName>
    <definedName name="MileageRate" localSheetId="8">'533CBR'!$P$4</definedName>
    <definedName name="Base" localSheetId="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<sst xmlns="http://schemas.openxmlformats.org/spreadsheetml/2006/main" count="1904" uniqueCount="408">
  <si>
    <t>COMPUTED TIME</t>
  </si>
  <si>
    <t>PK-AZI</t>
  </si>
  <si>
    <t>AWQ 204</t>
  </si>
  <si>
    <t>CGK</t>
  </si>
  <si>
    <t>KUL</t>
  </si>
  <si>
    <t>AWQ 205</t>
  </si>
  <si>
    <t>AWQ 274</t>
  </si>
  <si>
    <t>SIN</t>
  </si>
  <si>
    <t>AWQ 275</t>
  </si>
  <si>
    <t>WAG</t>
  </si>
  <si>
    <t>CGO</t>
  </si>
  <si>
    <t>NAVTC</t>
  </si>
  <si>
    <t>CREAT</t>
  </si>
  <si>
    <t>TAXI</t>
  </si>
  <si>
    <t>ALTN</t>
  </si>
  <si>
    <t>TANKER</t>
  </si>
  <si>
    <t>SAVING</t>
  </si>
  <si>
    <t>WMSA</t>
  </si>
  <si>
    <t>WILL</t>
  </si>
  <si>
    <t>PIC NAME</t>
  </si>
  <si>
    <t>CAPT.  SUHANDI</t>
  </si>
  <si>
    <t>OFP1</t>
  </si>
  <si>
    <t>OFP2</t>
  </si>
  <si>
    <t>iaa_cgk_ops@airasia.com</t>
  </si>
  <si>
    <t>OFP3</t>
  </si>
  <si>
    <t>OFP4</t>
  </si>
  <si>
    <t>MEL</t>
  </si>
  <si>
    <t>NIL</t>
  </si>
  <si>
    <t>CREW BRIEFING REPORT</t>
  </si>
  <si>
    <t xml:space="preserve"> </t>
  </si>
  <si>
    <t>FLIGHT NO.</t>
  </si>
  <si>
    <t>204/205</t>
  </si>
  <si>
    <t>POD 1</t>
  </si>
  <si>
    <t>WIII</t>
  </si>
  <si>
    <t>POA 1</t>
  </si>
  <si>
    <t>WMKK</t>
  </si>
  <si>
    <t xml:space="preserve">ALTN </t>
  </si>
  <si>
    <t>OFP REF NO.</t>
  </si>
  <si>
    <t xml:space="preserve">DATE </t>
  </si>
  <si>
    <t>POD 2</t>
  </si>
  <si>
    <t>POA 2</t>
  </si>
  <si>
    <t>A/C REG</t>
  </si>
  <si>
    <t>POD 3</t>
  </si>
  <si>
    <t>POA 3</t>
  </si>
  <si>
    <t>WSSS</t>
  </si>
  <si>
    <t>#REF!</t>
  </si>
  <si>
    <t>POD 4</t>
  </si>
  <si>
    <t>POA 4</t>
  </si>
  <si>
    <t>Terminal Aerodrome Forecasts</t>
  </si>
  <si>
    <t>TAF WIII 192300Z 2000/2106 20005KT 8000 FEW020 
  BECMG 2002/2004 36010KT 
  BECMG 2013/2015 20005KT</t>
  </si>
  <si>
    <t>TAF WMKK 192300Z 2000/2106 VRB03KT 9999 FEW018 
  TEMPO 2015/2019 4000 TSRA FEW008 FEW017CB</t>
  </si>
  <si>
    <t>TAF WMSA 192300Z 2000/2100 VRB03KT 9999 FEW018 
  PROB30 
  TEMPO 2015/2019 4000 TSRA FEW017CB</t>
  </si>
  <si>
    <t>WMKJ</t>
  </si>
  <si>
    <t>TAF WMKJ 192300Z 2000/2100 20006KT 9000 FEW018 
  TEMPO 2000/2004 5000 TSRA FEW017CB SCT018</t>
  </si>
  <si>
    <t>TAF WILL 192300Z 2000/2024 20003KT 9999 FEW020=</t>
  </si>
  <si>
    <t>WIPP</t>
  </si>
  <si>
    <t>TAF WIPP 192300Z 2000/2024 17008KT 9999 SCT015 
  TEMPO 2021/2024 5000 HZ</t>
  </si>
  <si>
    <t xml:space="preserve">STATION </t>
  </si>
  <si>
    <t>TIME</t>
  </si>
  <si>
    <t xml:space="preserve"> Forecasts</t>
  </si>
  <si>
    <t>IDENTIFIER</t>
  </si>
  <si>
    <t>2000/2106 20005KT 8000 FEW020</t>
  </si>
  <si>
    <t>2000/2106 VRB03KT 9999 FEW018</t>
  </si>
  <si>
    <t>SIGNIFICANT NOTAM's</t>
  </si>
  <si>
    <t>REMARK / ADDITIONAL NOTE : HEREBY CONFIRM THAT WE HAVE PERFORM FACE TO FACE BRIEFING</t>
  </si>
  <si>
    <t>DXR  ON DUTY</t>
  </si>
  <si>
    <t>PIC</t>
  </si>
  <si>
    <t>NAME / SIGN</t>
  </si>
  <si>
    <t>DANDUNG TRIE H / 2677</t>
  </si>
  <si>
    <t>--------------------</t>
  </si>
  <si>
    <t>-----------------------</t>
  </si>
  <si>
    <t>`</t>
  </si>
  <si>
    <t>PKAZL</t>
  </si>
  <si>
    <t>FUEL CHIT</t>
  </si>
  <si>
    <t>AWQ 526</t>
  </si>
  <si>
    <t>BKI</t>
  </si>
  <si>
    <t>AWQ 527</t>
  </si>
  <si>
    <t>FLIGHT NO</t>
  </si>
  <si>
    <t>BAY</t>
  </si>
  <si>
    <t>AWQ 814</t>
  </si>
  <si>
    <t>PNK</t>
  </si>
  <si>
    <t>ACFT REG</t>
  </si>
  <si>
    <t>ETD</t>
  </si>
  <si>
    <t>AWQ 815</t>
  </si>
  <si>
    <t>ORIGIN</t>
  </si>
  <si>
    <t>TRIP</t>
  </si>
  <si>
    <t>DATE</t>
  </si>
  <si>
    <t>NO.PAX</t>
  </si>
  <si>
    <t>nvtec</t>
  </si>
  <si>
    <t>EZFW</t>
  </si>
  <si>
    <t>ATLN</t>
  </si>
  <si>
    <t>REGULATED LDG WT</t>
  </si>
  <si>
    <t>WBGG</t>
  </si>
  <si>
    <t>ADD BURN OFF</t>
  </si>
  <si>
    <t>REGULATED TKOF WT</t>
  </si>
  <si>
    <t>A</t>
  </si>
  <si>
    <t>FORECAST WIND</t>
  </si>
  <si>
    <t>FLAP</t>
  </si>
  <si>
    <t>TEMP</t>
  </si>
  <si>
    <t>RWY</t>
  </si>
  <si>
    <t>QNH</t>
  </si>
  <si>
    <t>B</t>
  </si>
  <si>
    <t>PIC NAME :</t>
  </si>
  <si>
    <t>CAPT. HUSIN ABDILLAH ALAYDRUS</t>
  </si>
  <si>
    <t>LOWER RTOW A OR B</t>
  </si>
  <si>
    <t>ESTIMATED ZFW</t>
  </si>
  <si>
    <t>MAX FUEL AVAILABLE</t>
  </si>
  <si>
    <t>MIN SECTOR FUEL</t>
  </si>
  <si>
    <t>EXCESS FUEL AVAILABLE</t>
  </si>
  <si>
    <t>LOADSHEET</t>
  </si>
  <si>
    <t>PLUS TAXI FUEL</t>
  </si>
  <si>
    <t>FUEL IN TANKS (KG)</t>
  </si>
  <si>
    <t>SIGNATURE :</t>
  </si>
  <si>
    <t>( CAPTAIN )</t>
  </si>
  <si>
    <t>EST CGO :</t>
  </si>
  <si>
    <t>KGS</t>
  </si>
  <si>
    <t>526/527</t>
  </si>
  <si>
    <t>WBKK</t>
  </si>
  <si>
    <t>WIOO</t>
  </si>
  <si>
    <t>TAF WIII 202300Z 2100/2206 VRB02KT 8000 FEW020 
  BECMG 2102/2104 36010KT 
  BECMG 2114/2116 22005KT 5000 HZ</t>
  </si>
  <si>
    <t>TAF WBKK 202300Z 2100/2200 25006KT 9999 FEW014 
  TEMPO 2105/2110 5000 TSRA FEW013 FEW016CB SCT035 
  BECMG 2110/2112 11006KT</t>
  </si>
  <si>
    <t>TAF WBGG 202300Z 2100/2200 VRB03KT 9999 FEW020</t>
  </si>
  <si>
    <t>TAF WIPP 202300Z 2100/2124 09008KT 9999 SCT015 
  TEMPO 2121/2124 5000 HZ</t>
  </si>
  <si>
    <t>TAF WILL 202300Z 2100/2124 12007KT 9999 FEW015 BECMG 2114/2116 00000KT=</t>
  </si>
  <si>
    <t>2100/2206 VRB02KT 8000 FEW020</t>
  </si>
  <si>
    <t>TEMPO 2105/2110 5000 TSRA FEW013 FEW016CB SCT035</t>
  </si>
  <si>
    <t>WBSB</t>
  </si>
  <si>
    <t xml:space="preserve"> Rec. No. :</t>
  </si>
  <si>
    <t>Crew Briefing Report Form</t>
  </si>
  <si>
    <t xml:space="preserve"> Date :</t>
  </si>
  <si>
    <t xml:space="preserve"> Page :              1 of 1</t>
  </si>
  <si>
    <t xml:space="preserve"> FLIGHT NO.</t>
  </si>
  <si>
    <t xml:space="preserve"> DATE </t>
  </si>
  <si>
    <t xml:space="preserve"> A/C REG</t>
  </si>
  <si>
    <t>POD 5</t>
  </si>
  <si>
    <t>POA 5</t>
  </si>
  <si>
    <t>POD 6</t>
  </si>
  <si>
    <t>POA 6</t>
  </si>
  <si>
    <t>-----------------------------------</t>
  </si>
  <si>
    <t>IAA/OCC/F/001 Rev.03</t>
  </si>
  <si>
    <t>PKAZJ</t>
  </si>
  <si>
    <t>AWQ 860</t>
  </si>
  <si>
    <t>LBJ</t>
  </si>
  <si>
    <t>AWQ 861</t>
  </si>
  <si>
    <t>AWQ 7532</t>
  </si>
  <si>
    <t>DPS</t>
  </si>
  <si>
    <t>AWQ 7531</t>
  </si>
  <si>
    <t>PAX</t>
  </si>
  <si>
    <t>NAVT</t>
  </si>
  <si>
    <t>WADL</t>
  </si>
  <si>
    <t>CAPT. AFNER SYAFRIL</t>
  </si>
  <si>
    <t>860/861</t>
  </si>
  <si>
    <t>WATO</t>
  </si>
  <si>
    <t>WADD</t>
  </si>
  <si>
    <t>TAF WATO 202300Z 2100/2112 03014KT 9999 FEW020 BECMG 2109/2111 21004KT=</t>
  </si>
  <si>
    <t>2100/2112 03014KT 9999 FEW020</t>
  </si>
  <si>
    <t>No active NOTAMs for this location.</t>
  </si>
  <si>
    <t>PK-AZD</t>
  </si>
  <si>
    <t>AWQ 533</t>
  </si>
  <si>
    <t>PER</t>
  </si>
  <si>
    <t>AWQ 7533</t>
  </si>
  <si>
    <t>AWQ 802</t>
  </si>
  <si>
    <t>PKU</t>
  </si>
  <si>
    <t>AWQ 803</t>
  </si>
  <si>
    <t>CAPT. DAVID WIBAWA SAPULETE</t>
  </si>
  <si>
    <t>YPPH</t>
  </si>
  <si>
    <t>WIBB</t>
  </si>
  <si>
    <t>WARR</t>
  </si>
  <si>
    <t>2006/2112 18010KT 9999 FU VV040</t>
  </si>
  <si>
    <t>BECMG 2013/2015 21005K T</t>
  </si>
  <si>
    <t>DANDUNGTRIE H/2677</t>
  </si>
  <si>
    <t>PKAZK</t>
  </si>
  <si>
    <t>AWQ 260</t>
  </si>
  <si>
    <t>AWQ 261</t>
  </si>
  <si>
    <t>AWQ 240</t>
  </si>
  <si>
    <t>JHB</t>
  </si>
  <si>
    <t>AWQ 241</t>
  </si>
  <si>
    <t>navt</t>
  </si>
  <si>
    <t>creat</t>
  </si>
  <si>
    <t>CAPT. AUDI PRADHIPTO BRASALI</t>
  </si>
  <si>
    <t>260/261</t>
  </si>
  <si>
    <t>2106/2212 35010KT 7000 SCT020</t>
  </si>
  <si>
    <t>2106/2212 17008KT 9999 FEW015 SCT020</t>
  </si>
  <si>
    <t>BECMG 2113/2115 21005K T</t>
  </si>
  <si>
    <t>AFTN :</t>
  </si>
  <si>
    <t>nmc_ofp@airasia.com,atc.messages@flightfocus.net</t>
  </si>
  <si>
    <t>EMAIL :</t>
  </si>
  <si>
    <t>WMFPYFYX,iaa_cgk_ops@airasia.com</t>
  </si>
  <si>
    <t>opsper@skystar.com.au, loco_per@skystar.com.au, iaa_per_ops@airasia.com, stevemcqueen@airasia.com,iaa_dps_ops@airasia.com</t>
  </si>
  <si>
    <t>yuloktavinojulidar@airasia.com,mochamadruslani@airasia.com,nandangprianto@airasia.com,yudhonobudilaksono@airasia.com,ignatiussuryadi@airasia.com,rendisantana@airasia.com,allobudiyanto@airasia.com</t>
  </si>
  <si>
    <t>ATC FLIGHT PLAN DMK-CGK</t>
  </si>
  <si>
    <t>(FPL-AWQ253-IS</t>
  </si>
  <si>
    <t>AFTN CGK</t>
  </si>
  <si>
    <t>WIIIYOYW</t>
  </si>
  <si>
    <t>-A320/M-SDFGHIWRY/LB1</t>
  </si>
  <si>
    <t>-VTBD1355</t>
  </si>
  <si>
    <t>PASSWORD AIM ATC FLIGHT PLAN :</t>
  </si>
  <si>
    <r>
      <rPr>
        <sz val="11"/>
        <color rgb="FF000000"/>
        <rFont val="Calibri"/>
        <charset val="134"/>
      </rPr>
      <t xml:space="preserve">-N0457F350 GRANT3A </t>
    </r>
    <r>
      <rPr>
        <sz val="11"/>
        <color rgb="FFFF0000"/>
        <rFont val="Calibri"/>
        <charset val="134"/>
      </rPr>
      <t>N891</t>
    </r>
    <r>
      <rPr>
        <sz val="11"/>
        <color rgb="FF000000"/>
        <rFont val="Calibri"/>
        <charset val="134"/>
      </rPr>
      <t xml:space="preserve"> RYN M644 VKB M751 VPK B469 VMR B338</t>
    </r>
  </si>
  <si>
    <t>IAAOCC</t>
  </si>
  <si>
    <t>VTK/M077F350 B338 ANITO/N0455F350 B470 BUNIK BUNIK1A</t>
  </si>
  <si>
    <t>123AWQ</t>
  </si>
  <si>
    <t>-WIII0316 WSSS</t>
  </si>
  <si>
    <t>1014</t>
  </si>
  <si>
    <t>-PBN/A1B1C1D1O1 DOF/140918 REG/PKAXV</t>
  </si>
  <si>
    <t>EET/WMFC0111 WSJC0154 WIIF0207</t>
  </si>
  <si>
    <t xml:space="preserve">ETP AUS : </t>
  </si>
  <si>
    <t xml:space="preserve">IN </t>
  </si>
  <si>
    <t>YPPH YPLM</t>
  </si>
  <si>
    <t>dcapenang@dca.gov.my</t>
  </si>
  <si>
    <t>www.meteosoekarnohatta.com</t>
  </si>
  <si>
    <t>SEL/CRBJ PER/C RMK/TCAS EQUIPPED</t>
  </si>
  <si>
    <t>OUT</t>
  </si>
  <si>
    <t>YPLM WADD</t>
  </si>
  <si>
    <t>User Name : iaa_cgk</t>
  </si>
  <si>
    <t>E/0528 P/TBN R/VE A/RED AND WHITE C/TBN)</t>
  </si>
  <si>
    <t>Password  : airasia123</t>
  </si>
  <si>
    <t>LINK AIMS :</t>
  </si>
  <si>
    <t>ARRO</t>
  </si>
  <si>
    <t>ROUTE BDO-DPS</t>
  </si>
  <si>
    <t>http://aamy-xensf01/Citrix/AIMSWeb/</t>
  </si>
  <si>
    <t>BO N NOTAM</t>
  </si>
  <si>
    <t>ATFM</t>
  </si>
  <si>
    <t>WICC RWY-29 CA1 CA W45 SBR W33 RABOL RABOL3F RWY-27 WADD</t>
  </si>
  <si>
    <t>AIM JAKARTA AIS</t>
  </si>
  <si>
    <t>http://www.aim-jakarta.co.id/</t>
  </si>
  <si>
    <t>AOC APPROVAL FOR FERRY</t>
  </si>
  <si>
    <t>DARWIN VAAC :</t>
  </si>
  <si>
    <t xml:space="preserve">crewing   021 28040778    </t>
  </si>
  <si>
    <t>http://www.bom.gov.au/info/vaac/advisories.shtml</t>
  </si>
  <si>
    <t xml:space="preserve">                  021 29850924                      eng     0361  8877135  /  081936255599</t>
  </si>
  <si>
    <t>https://efpl.airnavindonesia.co.id/?link=login</t>
  </si>
  <si>
    <t xml:space="preserve">occ cgk     021 29850923                      it admin   02128040786               </t>
  </si>
  <si>
    <t>SLOTTER</t>
  </si>
  <si>
    <t>BO DPS     0877 6028 0178                  erry      08119990199</t>
  </si>
  <si>
    <t>http://chronos.atfm.co.id/</t>
  </si>
  <si>
    <t>LOGIN : awq_cgk</t>
  </si>
  <si>
    <t xml:space="preserve">                  75103                                    BANDUNG OCC  0226046190</t>
  </si>
  <si>
    <t>PASS : 123</t>
  </si>
  <si>
    <t>occ dps    0361  9360277                      sub occ  031 8688535</t>
  </si>
  <si>
    <t xml:space="preserve">                  0361  8491809</t>
  </si>
  <si>
    <t xml:space="preserve">    BO DPS 0361-9361357</t>
  </si>
  <si>
    <t>ADDS WX</t>
  </si>
  <si>
    <t>https://www.aviationweather.gov/adds/tafs?station_ids=wiii+wihh+wipp+wimm+warr+wadd+wadl+waaa+wsss+wmkk+wmkp+wmkj+wmsa+vtbs+vtbd+vtbu+vtcc&amp;std_trans=standard&amp;submit_both=Get+TAFs+and+METARs</t>
  </si>
  <si>
    <t>WADDYOYE,  BAGUSHERMAWAN@AIRASIA.COM, IAA_DPS_OPS@AIRASIA.COM</t>
  </si>
  <si>
    <t>NMC_OFP@AIRASIA.COM,  ATC.MESSAGES@FLIGHTFOCUS.NET, ferdiansyah@airasia.com</t>
  </si>
  <si>
    <t>saa_groundops@airasia.com, saa_gscontroller@airasia.com,  ferdiansyah@airasia.com</t>
  </si>
  <si>
    <r>
      <rPr>
        <sz val="11"/>
        <color rgb="FF000000"/>
        <rFont val="Calibri"/>
        <charset val="134"/>
      </rPr>
      <t>maa_kul_gscontroller@airasia.com</t>
    </r>
    <r>
      <rPr>
        <sz val="11"/>
        <color rgb="FF3F52B8"/>
        <rFont val="Calibri"/>
        <charset val="134"/>
      </rPr>
      <t xml:space="preserve">, </t>
    </r>
    <r>
      <rPr>
        <sz val="11"/>
        <color rgb="FF000000"/>
        <rFont val="Calibri"/>
        <charset val="134"/>
      </rPr>
      <t>maa_kul_groundops@airasia.com</t>
    </r>
    <r>
      <rPr>
        <sz val="11"/>
        <color rgb="FF3F52B8"/>
        <rFont val="Calibri"/>
        <charset val="134"/>
      </rPr>
      <t xml:space="preserve">,  </t>
    </r>
    <r>
      <rPr>
        <sz val="11"/>
        <color rgb="FF000000"/>
        <rFont val="Calibri"/>
        <charset val="134"/>
      </rPr>
      <t xml:space="preserve">iaa_dps_ops@airasia.com </t>
    </r>
  </si>
  <si>
    <r>
      <rPr>
        <sz val="11"/>
        <color rgb="FF000000"/>
        <rFont val="Calibri"/>
        <charset val="134"/>
      </rPr>
      <t>maa_bki_gscontroller@airasia.com</t>
    </r>
    <r>
      <rPr>
        <sz val="11"/>
        <color rgb="FF3F52B8"/>
        <rFont val="Calibri"/>
        <charset val="134"/>
      </rPr>
      <t>, maa_bki_</t>
    </r>
    <r>
      <rPr>
        <sz val="11"/>
        <color rgb="FF000000"/>
        <rFont val="Calibri"/>
        <charset val="134"/>
      </rPr>
      <t>groundops@airasia.com</t>
    </r>
    <r>
      <rPr>
        <sz val="11"/>
        <color rgb="FF3F52B8"/>
        <rFont val="Calibri"/>
        <charset val="134"/>
      </rPr>
      <t xml:space="preserve">,  </t>
    </r>
    <r>
      <rPr>
        <sz val="11"/>
        <color rgb="FF000000"/>
        <rFont val="Calibri"/>
        <charset val="134"/>
      </rPr>
      <t>iaa_dps_ops@airasia.com , ferdiansyah@airasia.com</t>
    </r>
  </si>
  <si>
    <r>
      <rPr>
        <sz val="11"/>
        <color rgb="FF000000"/>
        <rFont val="Calibri"/>
        <charset val="134"/>
      </rPr>
      <t>opsper@skystar.com.au , loco_per@skystar.com.au, iaa_per_ops@airasia.com, stevemcqueen@airasia.com</t>
    </r>
    <r>
      <rPr>
        <sz val="11"/>
        <color rgb="FF3F52B8"/>
        <rFont val="Calibri"/>
        <charset val="134"/>
      </rPr>
      <t xml:space="preserve">, </t>
    </r>
    <r>
      <rPr>
        <sz val="11"/>
        <color rgb="FF000000"/>
        <rFont val="Calibri"/>
        <charset val="134"/>
      </rPr>
      <t xml:space="preserve"> iaa_dps_ops@airasia.com, ferdiansyah@airasia.com</t>
    </r>
  </si>
  <si>
    <t>YBBBZRZX, drw.ops@menziesaviation.com, iaa_drw_ops@airasia.com, stevemcqueen@airasia.com, iaa_dps_ops@airasia.com, ferdiansyah@airasia.com</t>
  </si>
  <si>
    <t>http://www.radarbox24.com/</t>
  </si>
  <si>
    <t xml:space="preserve"> aax_ops_per@airasia.com,</t>
  </si>
  <si>
    <t xml:space="preserve">atc.messages@flightfocus.net, </t>
  </si>
  <si>
    <t>iaa_dps_ramp@airasia.com.</t>
  </si>
  <si>
    <t>https://149.122.26.44/GDOPS/Index.aspx</t>
  </si>
  <si>
    <t>http://flightaware.com/live/flight/AWQ8410</t>
  </si>
  <si>
    <t>https://crewnet.airasia.com/</t>
  </si>
  <si>
    <t>http://172.30.4.58:1880/IframeContainer.aspx</t>
  </si>
  <si>
    <t>https://www.eta.immi.gov.au/app.html</t>
  </si>
  <si>
    <t>https://www.pilotweb.nas.faa.gov/PilotWeb/</t>
  </si>
  <si>
    <t>http://www.convertpdftoword.net/</t>
  </si>
  <si>
    <t>http://redwatch.merlot.aero/aircraft</t>
  </si>
  <si>
    <t>http://redwatch.merlot.aero/crew</t>
  </si>
  <si>
    <t>https://airasia.merlot.aero/</t>
  </si>
  <si>
    <t>http://www.perthairport.com.au/index.aspx</t>
  </si>
  <si>
    <t>http://www.wunderground.com/q/zmw:00000.1.94610</t>
  </si>
  <si>
    <t>http://www.aerostratos.com/eaip/country.php</t>
  </si>
  <si>
    <t>http://www.perthairport.com.au/FlightInformation/FlightSearch.aspx?Terminal=I&amp;FlightType=A</t>
  </si>
  <si>
    <t>http://translate.google.co.id/</t>
  </si>
  <si>
    <t>http://flightfocus.net/index.php?option=com_content&amp;view=article&amp;id=11&amp;Itemid=4&amp;lang=en</t>
  </si>
  <si>
    <t>http://www.bom.gov.au/aviation/warnings/volcanic-ash/</t>
  </si>
  <si>
    <t>http://www.faa.gov/air_traffic/publications/atpubs/aim/aim0501.html--&gt; icao codes</t>
  </si>
  <si>
    <t>http://aim-jakarta.co.id/aim/index.php?link=logout</t>
  </si>
  <si>
    <t>NMC_OFP@AIRASIA.COM,  ATC.MESSAGES@FLIGHTFOCUS.NET, ferdiansyah@airasia.com IAA_BDO_OPS@AIRASIA.COM</t>
  </si>
  <si>
    <t>LINK VR N GD :</t>
  </si>
  <si>
    <t>https://merlotreport.airasia.com/Reports/Pages/Report.aspx?ItemPath=%2fMerlot%2fFlight+Follow%2fGeneral+Declaration+Report</t>
  </si>
  <si>
    <t>http://172.20.2.127/Reports/Pages/Report.aspx?ItemPath=%2fMerlot%2fCrew%2fVoyage+Report</t>
  </si>
  <si>
    <t>http://172.20.2.127/Reports/Pages/Folder.aspx?ItemPath=%2fMerlot&amp;ViewMode=List</t>
  </si>
  <si>
    <t>Login: ssrsuser</t>
  </si>
  <si>
    <t>Password: Mrpt9911</t>
  </si>
  <si>
    <t>RTOW BDO</t>
  </si>
  <si>
    <t>BASED ON ZERO WIND, TEMP 30C CONFIG 3 RWY 29</t>
  </si>
  <si>
    <t>216S</t>
  </si>
  <si>
    <t>AZD,AZE,AZF,AZG, AZN, AZO</t>
  </si>
  <si>
    <t>AZA,AZH,AZI,AZJ</t>
  </si>
  <si>
    <t>OTHERS</t>
  </si>
  <si>
    <t>FAIR WEATHER ALTERNATE</t>
  </si>
  <si>
    <t>NO</t>
  </si>
  <si>
    <t>DEP</t>
  </si>
  <si>
    <t>ARR</t>
  </si>
  <si>
    <t>ALT</t>
  </si>
  <si>
    <t>*If unable to close-in alternate, please state the reason.</t>
  </si>
  <si>
    <t>QZ</t>
  </si>
  <si>
    <t>LOP</t>
  </si>
  <si>
    <t>HLP</t>
  </si>
  <si>
    <t>JOG</t>
  </si>
  <si>
    <t>SUB</t>
  </si>
  <si>
    <t>SZB</t>
  </si>
  <si>
    <t>KNO</t>
  </si>
  <si>
    <t>PEN</t>
  </si>
  <si>
    <t>PLM</t>
  </si>
  <si>
    <t>KCH</t>
  </si>
  <si>
    <t>SRG</t>
  </si>
  <si>
    <t>DMK</t>
  </si>
  <si>
    <t>BKK</t>
  </si>
  <si>
    <t>AWQ 258</t>
  </si>
  <si>
    <t>AWQ 259</t>
  </si>
  <si>
    <t>AWQ 202</t>
  </si>
  <si>
    <t>AWQ 203</t>
  </si>
  <si>
    <t>VTBU</t>
  </si>
  <si>
    <t xml:space="preserve">CAPT. REZA PAHLEVI </t>
  </si>
  <si>
    <t>258/259</t>
  </si>
  <si>
    <t>VTBD</t>
  </si>
  <si>
    <t>VTBS</t>
  </si>
  <si>
    <t>TEMPO 2114/2118 VRB15KT 3000 TSRA FEW018CB SCT030 BKN100</t>
  </si>
  <si>
    <t>TANKERING CGK HUB</t>
  </si>
  <si>
    <t>FLIGHT - QZ</t>
  </si>
  <si>
    <t>AMOUNT (KG)</t>
  </si>
  <si>
    <t>SAVING (US$)</t>
  </si>
  <si>
    <t>TOTAL</t>
  </si>
  <si>
    <t xml:space="preserve">  </t>
  </si>
  <si>
    <t>CARGO ANALISA PER-HARI INI</t>
  </si>
  <si>
    <t>FLIGHT</t>
  </si>
  <si>
    <t>TELEPORT</t>
  </si>
  <si>
    <t>NAVTEC</t>
  </si>
  <si>
    <t>QZ200</t>
  </si>
  <si>
    <t>QZ201</t>
  </si>
  <si>
    <t>TKG</t>
  </si>
  <si>
    <t>QZ802</t>
  </si>
  <si>
    <t>QZ803</t>
  </si>
  <si>
    <t>QZ202</t>
  </si>
  <si>
    <t>QZ203</t>
  </si>
  <si>
    <t>QZ262</t>
  </si>
  <si>
    <t>QZ263</t>
  </si>
  <si>
    <t>QZ250</t>
  </si>
  <si>
    <t>QZ251</t>
  </si>
  <si>
    <t>QZ530</t>
  </si>
  <si>
    <t>QZ531</t>
  </si>
  <si>
    <t>QZ724</t>
  </si>
  <si>
    <t>DTB</t>
  </si>
  <si>
    <t>QZ725</t>
  </si>
  <si>
    <t>QZ266</t>
  </si>
  <si>
    <t>QZ267</t>
  </si>
  <si>
    <t>QZ178</t>
  </si>
  <si>
    <t>QZ179</t>
  </si>
  <si>
    <t>QZ804</t>
  </si>
  <si>
    <t>QZ805</t>
  </si>
  <si>
    <t>QZ264</t>
  </si>
  <si>
    <t>QZ265</t>
  </si>
  <si>
    <t>QZ260</t>
  </si>
  <si>
    <t>QZ261</t>
  </si>
  <si>
    <t>QZ726</t>
  </si>
  <si>
    <t>QZ727</t>
  </si>
  <si>
    <t>QZ220</t>
  </si>
  <si>
    <t>QZ221</t>
  </si>
  <si>
    <t>QZ204</t>
  </si>
  <si>
    <t>QZ205</t>
  </si>
  <si>
    <t>QZ526</t>
  </si>
  <si>
    <t>QZ527</t>
  </si>
  <si>
    <t>QZ860</t>
  </si>
  <si>
    <t>QZ861</t>
  </si>
  <si>
    <t>QZ806</t>
  </si>
  <si>
    <t>QZ807</t>
  </si>
  <si>
    <t>QZ180</t>
  </si>
  <si>
    <t>QZ181</t>
  </si>
  <si>
    <t>QZ256</t>
  </si>
  <si>
    <t>UTP</t>
  </si>
  <si>
    <t>QZ257</t>
  </si>
  <si>
    <t>QZ808</t>
  </si>
  <si>
    <t>QZ809</t>
  </si>
  <si>
    <t>QZ252</t>
  </si>
  <si>
    <t>QZ253</t>
  </si>
  <si>
    <t>QZ240</t>
  </si>
  <si>
    <t>QZ241</t>
  </si>
  <si>
    <t>QZ210</t>
  </si>
  <si>
    <t>QZ211</t>
  </si>
  <si>
    <t>QZ208</t>
  </si>
  <si>
    <t>QZ209</t>
  </si>
  <si>
    <t>QZ258</t>
  </si>
  <si>
    <t>QZ259</t>
  </si>
  <si>
    <t>QZ810</t>
  </si>
  <si>
    <t>QZ811</t>
  </si>
  <si>
    <t>NAMA</t>
  </si>
  <si>
    <t>CAPT. ACHMAD NIBRASKA MUHARROM</t>
  </si>
  <si>
    <t>CAPT. WILLIAM WIRAWAN</t>
  </si>
  <si>
    <t>CAPT. ANDI DWI CAHYADI</t>
  </si>
  <si>
    <t>CAPT. REZA PAHLEVI</t>
  </si>
  <si>
    <t>CAPT. ANDY ANDRIYAN</t>
  </si>
  <si>
    <t>CAPT. HARRY KARYADHIE ARTHONO</t>
  </si>
  <si>
    <t>CAPT. ARDILES SOMPOTAN</t>
  </si>
  <si>
    <t>CAPT. ADITYA HERGIANTOMO</t>
  </si>
  <si>
    <t>CAPT. CHRISTANTO DHONOMIDJOJO</t>
  </si>
  <si>
    <t>CAPT. BRAM DIRGANTARA PUTRA</t>
  </si>
  <si>
    <t>CAPT. EKO SUHERWANTO</t>
  </si>
  <si>
    <t>CAPT. JULIAN HENDRA</t>
  </si>
  <si>
    <t>CAPT. FEBI IRAWAN</t>
  </si>
  <si>
    <t>CAPT. RIO ARIESTA RATULONA</t>
  </si>
  <si>
    <t>CAPT. FELLIAS</t>
  </si>
  <si>
    <t>CAPT. MOHAMMAD DENYNDRA RAMADHAN</t>
  </si>
  <si>
    <t>CAPT. IBRAHIM AJI ISHAQ</t>
  </si>
  <si>
    <t>CAPT. M. ARIE NOVAN WIBISONO</t>
  </si>
  <si>
    <t>CAPT. JATI ASTU PRATAMA PUTRA</t>
  </si>
  <si>
    <t>CAPT. PRADIDO HADIWINOTO</t>
  </si>
  <si>
    <t>CAPT. RAHADI MUHAMMAD MANTIKNO</t>
  </si>
  <si>
    <t>CAPT. SANJAYA GUNAWAN</t>
  </si>
  <si>
    <t>CAPT. WICAKSONO</t>
  </si>
  <si>
    <t>CAPT. WIDHI WIDAGDO</t>
  </si>
  <si>
    <t>CAPT. WIEMAR ADI NUGROHO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</si>
</sst>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409]d\-mmm\-yy"/>
    <numFmt numFmtId="181" formatCode="[$USD]\ #,##0"/>
    <numFmt numFmtId="182" formatCode="_(* #,##0_);_(* \(#,##0\);_(* \-??_);_(@_)"/>
    <numFmt numFmtId="183" formatCode="#,##0;[Red]#,##0"/>
    <numFmt numFmtId="184" formatCode="mm/dd/yyyy"/>
    <numFmt numFmtId="185" formatCode="0.00;[Red]0.00"/>
    <numFmt numFmtId="186" formatCode="mmm\ yyyy"/>
  </numFmts>
  <fonts count="102">
    <font>
      <sz val="11"/>
      <color rgb="FF000000"/>
      <name val="Arial"/>
      <charset val="134"/>
      <scheme val="minor"/>
    </font>
    <font>
      <sz val="11"/>
      <color rgb="FF000000"/>
      <name val="Arial"/>
      <charset val="134"/>
    </font>
    <font>
      <u/>
      <sz val="11"/>
      <color rgb="FF800080"/>
      <name val="Arial"/>
      <charset val="134"/>
    </font>
    <font>
      <b/>
      <sz val="11"/>
      <color rgb="FF000000"/>
      <name val="Arial"/>
      <charset val="134"/>
    </font>
    <font>
      <sz val="14"/>
      <color theme="1"/>
      <name val="Calibri"/>
      <charset val="134"/>
    </font>
    <font>
      <sz val="14"/>
      <color theme="1"/>
      <name val="Arial"/>
      <charset val="134"/>
    </font>
    <font>
      <b/>
      <sz val="22"/>
      <color rgb="FF000000"/>
      <name val="Calibri"/>
      <charset val="134"/>
    </font>
    <font>
      <sz val="11"/>
      <name val="Arial"/>
      <charset val="134"/>
      <scheme val="minor"/>
    </font>
    <font>
      <b/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rgb="FF000000"/>
      <name val="Calibri"/>
      <charset val="134"/>
    </font>
    <font>
      <b/>
      <i/>
      <sz val="14"/>
      <color rgb="FF000000"/>
      <name val="Verdana"/>
      <charset val="134"/>
    </font>
    <font>
      <b/>
      <sz val="14"/>
      <color theme="1"/>
      <name val="Calibri"/>
      <charset val="134"/>
    </font>
    <font>
      <b/>
      <i/>
      <sz val="12"/>
      <color rgb="FF000000"/>
      <name val="Verdana"/>
      <charset val="134"/>
    </font>
    <font>
      <sz val="14"/>
      <color rgb="FF000000"/>
      <name val="Calibri"/>
      <charset val="134"/>
    </font>
    <font>
      <b/>
      <i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22"/>
      <color rgb="FF000000"/>
      <name val="Cambria"/>
      <charset val="134"/>
    </font>
    <font>
      <i/>
      <sz val="14"/>
      <color rgb="FF0C0C0C"/>
      <name val="Calibri"/>
      <charset val="134"/>
    </font>
    <font>
      <b/>
      <sz val="14"/>
      <color rgb="FF0C0C0C"/>
      <name val="Cambria"/>
      <charset val="134"/>
    </font>
    <font>
      <i/>
      <sz val="14"/>
      <color rgb="FF000000"/>
      <name val="Arial"/>
      <charset val="134"/>
    </font>
    <font>
      <b/>
      <sz val="14"/>
      <color rgb="FF000000"/>
      <name val="Arial"/>
      <charset val="134"/>
    </font>
    <font>
      <sz val="14"/>
      <color rgb="FF000000"/>
      <name val="Arial"/>
      <charset val="134"/>
    </font>
    <font>
      <b/>
      <sz val="14"/>
      <color rgb="FF000000"/>
      <name val="Tahoma"/>
      <charset val="134"/>
    </font>
    <font>
      <b/>
      <sz val="14"/>
      <color rgb="FF000000"/>
      <name val="Cambria"/>
      <charset val="134"/>
    </font>
    <font>
      <i/>
      <sz val="14"/>
      <color rgb="FFFFFFFF"/>
      <name val="Arial"/>
      <charset val="134"/>
    </font>
    <font>
      <sz val="14"/>
      <color rgb="FFFFFFFF"/>
      <name val="Arial"/>
      <charset val="134"/>
    </font>
    <font>
      <sz val="14"/>
      <color rgb="FF000000"/>
      <name val="Tahoma"/>
      <charset val="134"/>
    </font>
    <font>
      <sz val="14"/>
      <color rgb="FFFFFFFF"/>
      <name val="Calibri"/>
      <charset val="134"/>
    </font>
    <font>
      <b/>
      <sz val="14"/>
      <color rgb="FFFFFFFF"/>
      <name val="Calibri"/>
      <charset val="134"/>
    </font>
    <font>
      <sz val="9"/>
      <color rgb="FF000000"/>
      <name val="Calibri"/>
      <charset val="134"/>
    </font>
    <font>
      <b/>
      <sz val="14"/>
      <color rgb="FFFFFFFF"/>
      <name val="Arial"/>
      <charset val="134"/>
    </font>
    <font>
      <sz val="12"/>
      <color rgb="FF000000"/>
      <name val="Arial"/>
      <charset val="134"/>
    </font>
    <font>
      <b/>
      <sz val="12"/>
      <color rgb="FF000000"/>
      <name val="Calibri"/>
      <charset val="134"/>
    </font>
    <font>
      <b/>
      <sz val="11"/>
      <color rgb="FFFFFFFF"/>
      <name val="Arial"/>
      <charset val="134"/>
    </font>
    <font>
      <sz val="11"/>
      <color rgb="FFFFFFFF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Arial"/>
      <charset val="134"/>
    </font>
    <font>
      <b/>
      <sz val="12"/>
      <color rgb="FF000000"/>
      <name val="Arial"/>
      <charset val="134"/>
    </font>
    <font>
      <sz val="10"/>
      <color rgb="FF000000"/>
      <name val="Arial"/>
      <charset val="134"/>
    </font>
    <font>
      <sz val="10"/>
      <color rgb="FFFFFFFF"/>
      <name val="Arial"/>
      <charset val="134"/>
    </font>
    <font>
      <b/>
      <i/>
      <sz val="14"/>
      <color rgb="FFFFFFFF"/>
      <name val="Calibri"/>
      <charset val="134"/>
    </font>
    <font>
      <b/>
      <sz val="16"/>
      <color rgb="FF000000"/>
      <name val="Calibri"/>
      <charset val="134"/>
    </font>
    <font>
      <u/>
      <sz val="11"/>
      <color rgb="FF0000FF"/>
      <name val="Calibri"/>
      <charset val="134"/>
    </font>
    <font>
      <sz val="11"/>
      <color rgb="FFFF0000"/>
      <name val="Calibri"/>
      <charset val="134"/>
    </font>
    <font>
      <b/>
      <sz val="20"/>
      <color rgb="FF000000"/>
      <name val="Calibri"/>
      <charset val="134"/>
    </font>
    <font>
      <b/>
      <u/>
      <sz val="11"/>
      <color rgb="FF000000"/>
      <name val="Calibri"/>
      <charset val="134"/>
    </font>
    <font>
      <sz val="18"/>
      <color rgb="FFFF0000"/>
      <name val="Calibri"/>
      <charset val="134"/>
    </font>
    <font>
      <b/>
      <sz val="18"/>
      <color rgb="FF000000"/>
      <name val="Calibri"/>
      <charset val="134"/>
    </font>
    <font>
      <i/>
      <sz val="14"/>
      <color rgb="FF0C0C0C"/>
      <name val="Arial"/>
      <charset val="134"/>
    </font>
    <font>
      <b/>
      <sz val="14"/>
      <color rgb="FF0C0C0C"/>
      <name val="Arial"/>
      <charset val="134"/>
    </font>
    <font>
      <sz val="14"/>
      <color rgb="FF0C0C0C"/>
      <name val="Arial"/>
      <charset val="134"/>
    </font>
    <font>
      <i/>
      <sz val="14"/>
      <color theme="1"/>
      <name val="Arial"/>
      <charset val="134"/>
    </font>
    <font>
      <b/>
      <sz val="14"/>
      <color theme="1"/>
      <name val="Arial"/>
      <charset val="134"/>
    </font>
    <font>
      <sz val="14"/>
      <color rgb="FF000000"/>
      <name val="Cambria"/>
      <charset val="134"/>
    </font>
    <font>
      <i/>
      <sz val="14"/>
      <color theme="0"/>
      <name val="Arial"/>
      <charset val="134"/>
    </font>
    <font>
      <sz val="14"/>
      <color theme="0"/>
      <name val="Arial"/>
      <charset val="134"/>
    </font>
    <font>
      <sz val="14"/>
      <color theme="0"/>
      <name val="Calibri"/>
      <charset val="134"/>
    </font>
    <font>
      <b/>
      <sz val="14"/>
      <color theme="0"/>
      <name val="Calibri"/>
      <charset val="134"/>
    </font>
    <font>
      <b/>
      <sz val="11"/>
      <color theme="0"/>
      <name val="Arial"/>
      <charset val="134"/>
    </font>
    <font>
      <b/>
      <sz val="14"/>
      <color theme="0"/>
      <name val="Arial"/>
      <charset val="134"/>
    </font>
    <font>
      <sz val="11"/>
      <color theme="0"/>
      <name val="Arial"/>
      <charset val="134"/>
    </font>
    <font>
      <sz val="12"/>
      <color theme="1"/>
      <name val="Arial"/>
      <charset val="134"/>
    </font>
    <font>
      <b/>
      <sz val="10"/>
      <color theme="0"/>
      <name val="Arial"/>
      <charset val="134"/>
    </font>
    <font>
      <sz val="12"/>
      <color theme="0"/>
      <name val="Arial"/>
      <charset val="134"/>
    </font>
    <font>
      <b/>
      <sz val="12"/>
      <color theme="0"/>
      <name val="Arial"/>
      <charset val="134"/>
    </font>
    <font>
      <sz val="10"/>
      <color theme="0"/>
      <name val="Arial"/>
      <charset val="134"/>
    </font>
    <font>
      <u/>
      <sz val="11"/>
      <color rgb="FF0000FF"/>
      <name val="Arial"/>
      <charset val="134"/>
    </font>
    <font>
      <i/>
      <sz val="12"/>
      <color rgb="FF0C0C0C"/>
      <name val="Calibri"/>
      <charset val="134"/>
    </font>
    <font>
      <i/>
      <sz val="10"/>
      <color rgb="FF0C0C0C"/>
      <name val="Calibri"/>
      <charset val="134"/>
    </font>
    <font>
      <sz val="10"/>
      <color rgb="FF000000"/>
      <name val="Tahoma"/>
      <charset val="134"/>
    </font>
    <font>
      <b/>
      <sz val="12"/>
      <color rgb="FF0C0C0C"/>
      <name val="Arial"/>
      <charset val="134"/>
    </font>
    <font>
      <sz val="12"/>
      <color rgb="FF0C0C0C"/>
      <name val="Arial"/>
      <charset val="134"/>
    </font>
    <font>
      <sz val="12"/>
      <color rgb="FFFFFFFF"/>
      <name val="Arial"/>
      <charset val="134"/>
    </font>
    <font>
      <sz val="12"/>
      <color rgb="FFFFFFFF"/>
      <name val="Calibri"/>
      <charset val="134"/>
    </font>
    <font>
      <sz val="11"/>
      <color theme="1"/>
      <name val="Arial"/>
      <charset val="134"/>
    </font>
    <font>
      <b/>
      <sz val="12"/>
      <color rgb="FFFFFFFF"/>
      <name val="Arial"/>
      <charset val="134"/>
    </font>
    <font>
      <b/>
      <sz val="14"/>
      <color rgb="FF0C0C0C"/>
      <name val="Calibri"/>
      <charset val="134"/>
    </font>
    <font>
      <i/>
      <sz val="14"/>
      <color rgb="FF000000"/>
      <name val="Calibri"/>
      <charset val="134"/>
    </font>
    <font>
      <i/>
      <sz val="14"/>
      <color theme="0"/>
      <name val="Calibri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3F52B8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548DD4"/>
        <bgColor rgb="FF548DD4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D8D8D8"/>
      </right>
      <top style="thin">
        <color rgb="FFBFBFBF"/>
      </top>
      <bottom style="thin">
        <color rgb="FFBFBFBF"/>
      </bottom>
      <diagonal/>
    </border>
    <border>
      <left style="thick">
        <color rgb="FFD8D8D8"/>
      </left>
      <right style="thick">
        <color rgb="FFD8D8D8"/>
      </right>
      <top style="thick">
        <color rgb="FFD8D8D8"/>
      </top>
      <bottom style="thick">
        <color rgb="FFD8D8D8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8D8D8"/>
      </left>
      <right/>
      <top style="thick">
        <color rgb="FFD8D8D8"/>
      </top>
      <bottom style="thick">
        <color rgb="FFD8D8D8"/>
      </bottom>
      <diagonal/>
    </border>
    <border>
      <left/>
      <right/>
      <top style="thick">
        <color rgb="FFD8D8D8"/>
      </top>
      <bottom style="thick">
        <color rgb="FFD8D8D8"/>
      </bottom>
      <diagonal/>
    </border>
    <border>
      <left/>
      <right style="thick">
        <color rgb="FFD8D8D8"/>
      </right>
      <top style="thick">
        <color rgb="FFD8D8D8"/>
      </top>
      <bottom style="thick">
        <color rgb="FFD8D8D8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1" fillId="0" borderId="0" applyFont="0" applyFill="0" applyBorder="0" applyAlignment="0" applyProtection="0">
      <alignment vertical="center"/>
    </xf>
    <xf numFmtId="177" fontId="81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178" fontId="81" fillId="0" borderId="0" applyFont="0" applyFill="0" applyBorder="0" applyAlignment="0" applyProtection="0">
      <alignment vertical="center"/>
    </xf>
    <xf numFmtId="179" fontId="81" fillId="0" borderId="0" applyFon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1" fillId="15" borderId="46" applyNumberFormat="0" applyFon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47" applyNumberFormat="0" applyFill="0" applyAlignment="0" applyProtection="0">
      <alignment vertical="center"/>
    </xf>
    <xf numFmtId="0" fontId="88" fillId="0" borderId="47" applyNumberFormat="0" applyFill="0" applyAlignment="0" applyProtection="0">
      <alignment vertical="center"/>
    </xf>
    <xf numFmtId="0" fontId="89" fillId="0" borderId="48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16" borderId="49" applyNumberFormat="0" applyAlignment="0" applyProtection="0">
      <alignment vertical="center"/>
    </xf>
    <xf numFmtId="0" fontId="91" fillId="17" borderId="50" applyNumberFormat="0" applyAlignment="0" applyProtection="0">
      <alignment vertical="center"/>
    </xf>
    <xf numFmtId="0" fontId="92" fillId="17" borderId="49" applyNumberFormat="0" applyAlignment="0" applyProtection="0">
      <alignment vertical="center"/>
    </xf>
    <xf numFmtId="0" fontId="93" fillId="18" borderId="51" applyNumberFormat="0" applyAlignment="0" applyProtection="0">
      <alignment vertical="center"/>
    </xf>
    <xf numFmtId="0" fontId="94" fillId="0" borderId="52" applyNumberFormat="0" applyFill="0" applyAlignment="0" applyProtection="0">
      <alignment vertical="center"/>
    </xf>
    <xf numFmtId="0" fontId="95" fillId="0" borderId="53" applyNumberFormat="0" applyFill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30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100" fillId="35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8" borderId="0" applyNumberFormat="0" applyBorder="0" applyAlignment="0" applyProtection="0">
      <alignment vertical="center"/>
    </xf>
    <xf numFmtId="0" fontId="100" fillId="39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100" fillId="43" borderId="0" applyNumberFormat="0" applyBorder="0" applyAlignment="0" applyProtection="0">
      <alignment vertical="center"/>
    </xf>
    <xf numFmtId="0" fontId="100" fillId="44" borderId="0" applyNumberFormat="0" applyBorder="0" applyAlignment="0" applyProtection="0">
      <alignment vertical="center"/>
    </xf>
    <xf numFmtId="0" fontId="99" fillId="45" borderId="0" applyNumberFormat="0" applyBorder="0" applyAlignment="0" applyProtection="0">
      <alignment vertical="center"/>
    </xf>
  </cellStyleXfs>
  <cellXfs count="703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wrapText="1" readingOrder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80" fontId="11" fillId="0" borderId="14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12" fillId="4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" fontId="9" fillId="4" borderId="14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81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9" fontId="15" fillId="4" borderId="16" xfId="0" applyNumberFormat="1" applyFont="1" applyFill="1" applyBorder="1" applyAlignment="1">
      <alignment horizontal="center" vertical="center"/>
    </xf>
    <xf numFmtId="49" fontId="15" fillId="4" borderId="15" xfId="0" applyNumberFormat="1" applyFont="1" applyFill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" fontId="9" fillId="5" borderId="14" xfId="0" applyNumberFormat="1" applyFont="1" applyFill="1" applyBorder="1" applyAlignment="1">
      <alignment horizontal="center" vertical="center"/>
    </xf>
    <xf numFmtId="49" fontId="15" fillId="5" borderId="15" xfId="0" applyNumberFormat="1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" fontId="9" fillId="6" borderId="14" xfId="0" applyNumberFormat="1" applyFont="1" applyFill="1" applyBorder="1" applyAlignment="1">
      <alignment horizontal="center" vertical="center"/>
    </xf>
    <xf numFmtId="49" fontId="15" fillId="6" borderId="16" xfId="0" applyNumberFormat="1" applyFont="1" applyFill="1" applyBorder="1" applyAlignment="1">
      <alignment horizontal="center" vertical="center"/>
    </xf>
    <xf numFmtId="0" fontId="10" fillId="0" borderId="0" xfId="0" applyFont="1" applyAlignment="1"/>
    <xf numFmtId="0" fontId="14" fillId="7" borderId="1" xfId="0" applyFont="1" applyFill="1" applyBorder="1" applyAlignment="1">
      <alignment horizontal="center" vertical="center"/>
    </xf>
    <xf numFmtId="1" fontId="9" fillId="7" borderId="14" xfId="0" applyNumberFormat="1" applyFont="1" applyFill="1" applyBorder="1" applyAlignment="1">
      <alignment horizontal="center" vertical="center"/>
    </xf>
    <xf numFmtId="49" fontId="15" fillId="7" borderId="16" xfId="0" applyNumberFormat="1" applyFont="1" applyFill="1" applyBorder="1" applyAlignment="1">
      <alignment horizontal="center" vertical="center"/>
    </xf>
    <xf numFmtId="181" fontId="15" fillId="7" borderId="1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" fontId="15" fillId="0" borderId="18" xfId="0" applyNumberFormat="1" applyFont="1" applyBorder="1" applyAlignment="1">
      <alignment horizontal="center" vertical="center"/>
    </xf>
    <xf numFmtId="181" fontId="15" fillId="0" borderId="18" xfId="0" applyNumberFormat="1" applyFont="1" applyBorder="1" applyAlignment="1">
      <alignment horizontal="center" vertical="center"/>
    </xf>
    <xf numFmtId="181" fontId="10" fillId="0" borderId="0" xfId="0" applyNumberFormat="1" applyFont="1" applyAlignment="1"/>
    <xf numFmtId="0" fontId="16" fillId="0" borderId="0" xfId="0" applyFont="1" applyAlignment="1">
      <alignment vertical="center"/>
    </xf>
    <xf numFmtId="0" fontId="17" fillId="7" borderId="17" xfId="0" applyFont="1" applyFill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8" fillId="0" borderId="8" xfId="0" applyFont="1" applyBorder="1" applyAlignment="1">
      <alignment horizontal="right" vertical="center"/>
    </xf>
    <xf numFmtId="0" fontId="19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21" fillId="0" borderId="24" xfId="0" applyFont="1" applyBorder="1" applyAlignment="1">
      <alignment vertical="center"/>
    </xf>
    <xf numFmtId="20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58" fontId="19" fillId="0" borderId="21" xfId="0" applyNumberFormat="1" applyFont="1" applyBorder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24" fillId="0" borderId="21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24" xfId="0" applyFont="1" applyBorder="1" applyAlignment="1">
      <alignment vertical="center"/>
    </xf>
    <xf numFmtId="20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7" fillId="0" borderId="8" xfId="0" applyFont="1" applyBorder="1" applyAlignment="1">
      <alignment horizontal="right" wrapText="1"/>
    </xf>
    <xf numFmtId="0" fontId="26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6" fillId="0" borderId="9" xfId="0" applyFont="1" applyBorder="1" applyAlignment="1">
      <alignment horizontal="left" vertical="top"/>
    </xf>
    <xf numFmtId="0" fontId="16" fillId="0" borderId="9" xfId="0" applyFont="1" applyBorder="1" applyAlignment="1">
      <alignment horizontal="left" vertical="center"/>
    </xf>
    <xf numFmtId="0" fontId="14" fillId="0" borderId="27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14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20" fontId="9" fillId="0" borderId="1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20" fontId="29" fillId="0" borderId="1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20" fontId="14" fillId="0" borderId="1" xfId="0" applyNumberFormat="1" applyFont="1" applyBorder="1" applyAlignment="1">
      <alignment horizontal="center" vertical="center"/>
    </xf>
    <xf numFmtId="20" fontId="28" fillId="0" borderId="1" xfId="0" applyNumberFormat="1" applyFont="1" applyBorder="1" applyAlignment="1">
      <alignment horizontal="center" vertical="center"/>
    </xf>
    <xf numFmtId="20" fontId="14" fillId="0" borderId="0" xfId="0" applyNumberFormat="1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4" borderId="14" xfId="0" applyFont="1" applyFill="1" applyBorder="1" applyAlignment="1">
      <alignment vertical="center" wrapText="1"/>
    </xf>
    <xf numFmtId="0" fontId="14" fillId="4" borderId="26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0" fontId="30" fillId="4" borderId="9" xfId="0" applyFont="1" applyFill="1" applyBorder="1" applyAlignment="1">
      <alignment horizontal="center" vertical="center"/>
    </xf>
    <xf numFmtId="0" fontId="14" fillId="0" borderId="30" xfId="0" applyFont="1" applyBorder="1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9" fillId="4" borderId="28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6" fillId="0" borderId="32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31" fillId="8" borderId="17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58" fontId="16" fillId="0" borderId="0" xfId="0" applyNumberFormat="1" applyFont="1" applyAlignment="1">
      <alignment vertical="center"/>
    </xf>
    <xf numFmtId="0" fontId="32" fillId="0" borderId="0" xfId="0" applyFont="1" applyAlignment="1"/>
    <xf numFmtId="0" fontId="33" fillId="9" borderId="5" xfId="0" applyFont="1" applyFill="1" applyBorder="1" applyAlignment="1">
      <alignment horizontal="center"/>
    </xf>
    <xf numFmtId="182" fontId="34" fillId="4" borderId="5" xfId="0" applyNumberFormat="1" applyFont="1" applyFill="1" applyBorder="1" applyAlignment="1">
      <alignment horizontal="left" vertical="center"/>
    </xf>
    <xf numFmtId="0" fontId="31" fillId="4" borderId="6" xfId="0" applyFont="1" applyFill="1" applyBorder="1" applyAlignment="1">
      <alignment horizontal="left" vertical="center"/>
    </xf>
    <xf numFmtId="0" fontId="35" fillId="4" borderId="7" xfId="0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center" vertical="center"/>
    </xf>
    <xf numFmtId="20" fontId="16" fillId="9" borderId="32" xfId="0" applyNumberFormat="1" applyFont="1" applyFill="1" applyBorder="1" applyAlignment="1">
      <alignment horizontal="center"/>
    </xf>
    <xf numFmtId="0" fontId="7" fillId="0" borderId="34" xfId="0" applyFont="1" applyBorder="1" applyAlignment="1">
      <alignment vertical="center"/>
    </xf>
    <xf numFmtId="20" fontId="16" fillId="0" borderId="0" xfId="0" applyNumberFormat="1" applyFont="1" applyAlignment="1">
      <alignment horizontal="center"/>
    </xf>
    <xf numFmtId="182" fontId="34" fillId="4" borderId="8" xfId="0" applyNumberFormat="1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21" fillId="4" borderId="1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182" fontId="3" fillId="4" borderId="8" xfId="0" applyNumberFormat="1" applyFont="1" applyFill="1" applyBorder="1" applyAlignment="1">
      <alignment horizontal="left" vertical="center"/>
    </xf>
    <xf numFmtId="0" fontId="31" fillId="4" borderId="0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center" vertical="center"/>
    </xf>
    <xf numFmtId="0" fontId="35" fillId="4" borderId="9" xfId="0" applyFont="1" applyFill="1" applyBorder="1" applyAlignment="1">
      <alignment horizontal="left" vertical="center"/>
    </xf>
    <xf numFmtId="0" fontId="33" fillId="11" borderId="1" xfId="0" applyFont="1" applyFill="1" applyBorder="1" applyAlignment="1">
      <alignment horizontal="center" vertical="center"/>
    </xf>
    <xf numFmtId="20" fontId="33" fillId="11" borderId="1" xfId="0" applyNumberFormat="1" applyFont="1" applyFill="1" applyBorder="1" applyAlignment="1">
      <alignment horizontal="center" vertical="center"/>
    </xf>
    <xf numFmtId="182" fontId="3" fillId="4" borderId="0" xfId="0" applyNumberFormat="1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21" fillId="4" borderId="11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wrapText="1"/>
    </xf>
    <xf numFmtId="182" fontId="34" fillId="4" borderId="0" xfId="0" applyNumberFormat="1" applyFont="1" applyFill="1" applyBorder="1" applyAlignment="1">
      <alignment horizontal="left" vertical="center"/>
    </xf>
    <xf numFmtId="0" fontId="35" fillId="4" borderId="0" xfId="0" applyFont="1" applyFill="1" applyBorder="1" applyAlignment="1">
      <alignment horizontal="left" vertical="center"/>
    </xf>
    <xf numFmtId="0" fontId="31" fillId="4" borderId="11" xfId="0" applyFont="1" applyFill="1" applyBorder="1" applyAlignment="1">
      <alignment horizontal="left" vertical="center"/>
    </xf>
    <xf numFmtId="0" fontId="34" fillId="4" borderId="0" xfId="0" applyFont="1" applyFill="1" applyBorder="1" applyAlignment="1">
      <alignment horizontal="left" vertical="center" wrapText="1"/>
    </xf>
    <xf numFmtId="0" fontId="33" fillId="3" borderId="35" xfId="0" applyFont="1" applyFill="1" applyBorder="1" applyAlignment="1">
      <alignment horizontal="center"/>
    </xf>
    <xf numFmtId="0" fontId="36" fillId="4" borderId="14" xfId="0" applyFont="1" applyFill="1" applyBorder="1" applyAlignment="1">
      <alignment horizontal="left" vertical="center"/>
    </xf>
    <xf numFmtId="0" fontId="32" fillId="4" borderId="1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center" vertical="center"/>
    </xf>
    <xf numFmtId="0" fontId="37" fillId="4" borderId="14" xfId="0" applyFont="1" applyFill="1" applyBorder="1" applyAlignment="1">
      <alignment horizontal="left" vertical="center"/>
    </xf>
    <xf numFmtId="0" fontId="35" fillId="4" borderId="14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left" vertical="center"/>
    </xf>
    <xf numFmtId="0" fontId="33" fillId="8" borderId="1" xfId="0" applyFont="1" applyFill="1" applyBorder="1" applyAlignment="1">
      <alignment horizontal="center"/>
    </xf>
    <xf numFmtId="20" fontId="33" fillId="8" borderId="1" xfId="0" applyNumberFormat="1" applyFont="1" applyFill="1" applyBorder="1" applyAlignment="1">
      <alignment horizontal="center"/>
    </xf>
    <xf numFmtId="0" fontId="33" fillId="10" borderId="5" xfId="0" applyFont="1" applyFill="1" applyBorder="1" applyAlignment="1">
      <alignment horizontal="center"/>
    </xf>
    <xf numFmtId="0" fontId="38" fillId="0" borderId="14" xfId="0" applyFont="1" applyBorder="1" applyAlignment="1">
      <alignment horizontal="center" vertical="center"/>
    </xf>
    <xf numFmtId="20" fontId="38" fillId="4" borderId="14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38" fillId="3" borderId="14" xfId="0" applyFont="1" applyFill="1" applyBorder="1" applyAlignment="1">
      <alignment horizontal="center" vertical="center"/>
    </xf>
    <xf numFmtId="20" fontId="3" fillId="4" borderId="14" xfId="0" applyNumberFormat="1" applyFont="1" applyFill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20" fontId="34" fillId="4" borderId="14" xfId="0" applyNumberFormat="1" applyFont="1" applyFill="1" applyBorder="1" applyAlignment="1">
      <alignment horizontal="center" vertical="center"/>
    </xf>
    <xf numFmtId="0" fontId="34" fillId="4" borderId="9" xfId="0" applyFont="1" applyFill="1" applyBorder="1" applyAlignment="1">
      <alignment horizontal="left" vertical="center"/>
    </xf>
    <xf numFmtId="20" fontId="16" fillId="10" borderId="32" xfId="0" applyNumberFormat="1" applyFont="1" applyFill="1" applyBorder="1" applyAlignment="1">
      <alignment horizontal="center"/>
    </xf>
    <xf numFmtId="20" fontId="32" fillId="0" borderId="0" xfId="0" applyNumberFormat="1" applyFont="1" applyAlignment="1"/>
    <xf numFmtId="38" fontId="38" fillId="4" borderId="14" xfId="0" applyNumberFormat="1" applyFont="1" applyFill="1" applyBorder="1" applyAlignment="1">
      <alignment horizontal="center" vertical="center"/>
    </xf>
    <xf numFmtId="38" fontId="3" fillId="4" borderId="14" xfId="0" applyNumberFormat="1" applyFont="1" applyFill="1" applyBorder="1" applyAlignment="1">
      <alignment horizontal="center" vertical="center"/>
    </xf>
    <xf numFmtId="38" fontId="34" fillId="4" borderId="14" xfId="0" applyNumberFormat="1" applyFont="1" applyFill="1" applyBorder="1" applyAlignment="1">
      <alignment horizontal="center" vertical="center"/>
    </xf>
    <xf numFmtId="180" fontId="32" fillId="4" borderId="14" xfId="0" applyNumberFormat="1" applyFont="1" applyFill="1" applyBorder="1" applyAlignment="1">
      <alignment horizontal="center" vertical="center"/>
    </xf>
    <xf numFmtId="180" fontId="35" fillId="4" borderId="14" xfId="0" applyNumberFormat="1" applyFont="1" applyFill="1" applyBorder="1" applyAlignment="1">
      <alignment horizontal="center" vertical="center"/>
    </xf>
    <xf numFmtId="182" fontId="36" fillId="4" borderId="0" xfId="0" applyNumberFormat="1" applyFont="1" applyFill="1" applyBorder="1" applyAlignment="1">
      <alignment horizontal="left" vertical="center"/>
    </xf>
    <xf numFmtId="0" fontId="36" fillId="4" borderId="0" xfId="0" applyFont="1" applyFill="1" applyBorder="1" applyAlignment="1">
      <alignment horizontal="left" vertical="center"/>
    </xf>
    <xf numFmtId="182" fontId="39" fillId="4" borderId="0" xfId="0" applyNumberFormat="1" applyFont="1" applyFill="1" applyBorder="1" applyAlignment="1">
      <alignment horizontal="left" vertical="center"/>
    </xf>
    <xf numFmtId="182" fontId="39" fillId="4" borderId="0" xfId="0" applyNumberFormat="1" applyFont="1" applyFill="1" applyBorder="1" applyAlignment="1">
      <alignment horizontal="left" vertical="center" wrapText="1"/>
    </xf>
    <xf numFmtId="182" fontId="1" fillId="4" borderId="9" xfId="0" applyNumberFormat="1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182" fontId="1" fillId="4" borderId="0" xfId="0" applyNumberFormat="1" applyFont="1" applyFill="1" applyBorder="1" applyAlignment="1">
      <alignment horizontal="left" vertical="center"/>
    </xf>
    <xf numFmtId="182" fontId="1" fillId="4" borderId="0" xfId="0" applyNumberFormat="1" applyFont="1" applyFill="1" applyBorder="1" applyAlignment="1">
      <alignment horizontal="left" vertical="center" wrapText="1"/>
    </xf>
    <xf numFmtId="182" fontId="37" fillId="4" borderId="0" xfId="0" applyNumberFormat="1" applyFont="1" applyFill="1" applyBorder="1" applyAlignment="1">
      <alignment horizontal="left" vertical="center"/>
    </xf>
    <xf numFmtId="0" fontId="37" fillId="4" borderId="0" xfId="0" applyFont="1" applyFill="1" applyBorder="1" applyAlignment="1">
      <alignment horizontal="left" vertical="center"/>
    </xf>
    <xf numFmtId="0" fontId="34" fillId="4" borderId="0" xfId="0" applyFont="1" applyFill="1" applyBorder="1" applyAlignment="1">
      <alignment horizontal="left" vertical="center"/>
    </xf>
    <xf numFmtId="182" fontId="35" fillId="4" borderId="0" xfId="0" applyNumberFormat="1" applyFont="1" applyFill="1" applyBorder="1" applyAlignment="1">
      <alignment horizontal="left" vertical="center"/>
    </xf>
    <xf numFmtId="182" fontId="35" fillId="4" borderId="0" xfId="0" applyNumberFormat="1" applyFont="1" applyFill="1" applyBorder="1" applyAlignment="1">
      <alignment horizontal="left" vertical="center" wrapText="1"/>
    </xf>
    <xf numFmtId="182" fontId="35" fillId="4" borderId="9" xfId="0" applyNumberFormat="1" applyFont="1" applyFill="1" applyBorder="1" applyAlignment="1">
      <alignment horizontal="left" vertical="center"/>
    </xf>
    <xf numFmtId="0" fontId="33" fillId="0" borderId="0" xfId="0" applyFont="1" applyAlignment="1">
      <alignment horizontal="center"/>
    </xf>
    <xf numFmtId="0" fontId="39" fillId="4" borderId="0" xfId="0" applyFont="1" applyFill="1" applyBorder="1" applyAlignment="1">
      <alignment horizontal="left" vertical="center"/>
    </xf>
    <xf numFmtId="0" fontId="32" fillId="4" borderId="0" xfId="0" applyFont="1" applyFill="1" applyBorder="1" applyAlignment="1">
      <alignment horizontal="left" vertical="center"/>
    </xf>
    <xf numFmtId="37" fontId="38" fillId="11" borderId="14" xfId="0" applyNumberFormat="1" applyFont="1" applyFill="1" applyBorder="1" applyAlignment="1">
      <alignment horizontal="right" vertical="center"/>
    </xf>
    <xf numFmtId="37" fontId="3" fillId="4" borderId="9" xfId="0" applyNumberFormat="1" applyFont="1" applyFill="1" applyBorder="1" applyAlignment="1">
      <alignment horizontal="left" vertical="center"/>
    </xf>
    <xf numFmtId="0" fontId="40" fillId="4" borderId="0" xfId="0" applyFont="1" applyFill="1" applyBorder="1" applyAlignment="1">
      <alignment horizontal="left" vertical="center"/>
    </xf>
    <xf numFmtId="37" fontId="34" fillId="11" borderId="14" xfId="0" applyNumberFormat="1" applyFont="1" applyFill="1" applyBorder="1" applyAlignment="1">
      <alignment horizontal="right" vertical="center"/>
    </xf>
    <xf numFmtId="37" fontId="34" fillId="4" borderId="9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38" fontId="38" fillId="4" borderId="14" xfId="0" applyNumberFormat="1" applyFont="1" applyFill="1" applyBorder="1" applyAlignment="1">
      <alignment horizontal="right" vertical="center"/>
    </xf>
    <xf numFmtId="38" fontId="34" fillId="4" borderId="14" xfId="0" applyNumberFormat="1" applyFont="1" applyFill="1" applyBorder="1" applyAlignment="1">
      <alignment horizontal="right" vertical="center"/>
    </xf>
    <xf numFmtId="0" fontId="16" fillId="3" borderId="14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 vertical="center"/>
    </xf>
    <xf numFmtId="37" fontId="38" fillId="4" borderId="14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35" fillId="4" borderId="1" xfId="0" applyFont="1" applyFill="1" applyBorder="1" applyAlignment="1">
      <alignment horizontal="left" vertical="center"/>
    </xf>
    <xf numFmtId="37" fontId="34" fillId="4" borderId="14" xfId="0" applyNumberFormat="1" applyFont="1" applyFill="1" applyBorder="1" applyAlignment="1">
      <alignment horizontal="right" vertical="center"/>
    </xf>
    <xf numFmtId="0" fontId="16" fillId="8" borderId="1" xfId="0" applyFont="1" applyFill="1" applyBorder="1" applyAlignment="1">
      <alignment horizontal="center"/>
    </xf>
    <xf numFmtId="0" fontId="16" fillId="8" borderId="35" xfId="0" applyFont="1" applyFill="1" applyBorder="1" applyAlignment="1">
      <alignment horizontal="center"/>
    </xf>
    <xf numFmtId="0" fontId="16" fillId="8" borderId="14" xfId="0" applyFont="1" applyFill="1" applyBorder="1" applyAlignment="1">
      <alignment horizontal="center"/>
    </xf>
    <xf numFmtId="0" fontId="39" fillId="4" borderId="14" xfId="0" applyFont="1" applyFill="1" applyBorder="1" applyAlignment="1">
      <alignment horizontal="left" vertical="center"/>
    </xf>
    <xf numFmtId="0" fontId="39" fillId="4" borderId="26" xfId="0" applyFont="1" applyFill="1" applyBorder="1" applyAlignment="1">
      <alignment horizontal="left" vertical="center"/>
    </xf>
    <xf numFmtId="0" fontId="32" fillId="4" borderId="26" xfId="0" applyFont="1" applyFill="1" applyBorder="1" applyAlignment="1">
      <alignment horizontal="left" vertical="center"/>
    </xf>
    <xf numFmtId="0" fontId="32" fillId="4" borderId="3" xfId="0" applyFont="1" applyFill="1" applyBorder="1" applyAlignment="1">
      <alignment horizontal="left" vertical="center"/>
    </xf>
    <xf numFmtId="0" fontId="32" fillId="4" borderId="14" xfId="0" applyFont="1" applyFill="1" applyBorder="1" applyAlignment="1">
      <alignment horizontal="left" vertical="center"/>
    </xf>
    <xf numFmtId="0" fontId="1" fillId="4" borderId="26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40" fillId="4" borderId="14" xfId="0" applyFont="1" applyFill="1" applyBorder="1" applyAlignment="1">
      <alignment horizontal="left" vertical="center"/>
    </xf>
    <xf numFmtId="0" fontId="40" fillId="4" borderId="26" xfId="0" applyFont="1" applyFill="1" applyBorder="1" applyAlignment="1">
      <alignment horizontal="left" vertical="center"/>
    </xf>
    <xf numFmtId="0" fontId="35" fillId="4" borderId="26" xfId="0" applyFont="1" applyFill="1" applyBorder="1" applyAlignment="1">
      <alignment horizontal="left" vertical="center"/>
    </xf>
    <xf numFmtId="0" fontId="35" fillId="4" borderId="3" xfId="0" applyFont="1" applyFill="1" applyBorder="1" applyAlignment="1">
      <alignment horizontal="left" vertical="center"/>
    </xf>
    <xf numFmtId="0" fontId="35" fillId="4" borderId="14" xfId="0" applyFont="1" applyFill="1" applyBorder="1" applyAlignment="1">
      <alignment horizontal="left" vertical="center"/>
    </xf>
    <xf numFmtId="0" fontId="39" fillId="4" borderId="28" xfId="0" applyFont="1" applyFill="1" applyBorder="1" applyAlignment="1">
      <alignment horizontal="left" vertical="center"/>
    </xf>
    <xf numFmtId="0" fontId="39" fillId="4" borderId="27" xfId="0" applyFont="1" applyFill="1" applyBorder="1" applyAlignment="1">
      <alignment horizontal="left" vertical="center"/>
    </xf>
    <xf numFmtId="0" fontId="40" fillId="4" borderId="28" xfId="0" applyFont="1" applyFill="1" applyBorder="1" applyAlignment="1">
      <alignment horizontal="left" vertical="center"/>
    </xf>
    <xf numFmtId="0" fontId="40" fillId="4" borderId="27" xfId="0" applyFont="1" applyFill="1" applyBorder="1" applyAlignment="1">
      <alignment horizontal="left" vertical="center"/>
    </xf>
    <xf numFmtId="37" fontId="38" fillId="0" borderId="14" xfId="0" applyNumberFormat="1" applyFont="1" applyBorder="1" applyAlignment="1">
      <alignment horizontal="right" vertical="center"/>
    </xf>
    <xf numFmtId="0" fontId="16" fillId="0" borderId="0" xfId="0" applyFont="1" applyAlignment="1"/>
    <xf numFmtId="0" fontId="33" fillId="0" borderId="0" xfId="0" applyFont="1" applyAlignment="1"/>
    <xf numFmtId="0" fontId="32" fillId="4" borderId="0" xfId="0" applyFont="1" applyFill="1" applyBorder="1" applyAlignment="1">
      <alignment horizontal="right" vertical="center"/>
    </xf>
    <xf numFmtId="0" fontId="35" fillId="4" borderId="0" xfId="0" applyFont="1" applyFill="1" applyBorder="1" applyAlignment="1">
      <alignment horizontal="right" vertical="center"/>
    </xf>
    <xf numFmtId="37" fontId="38" fillId="9" borderId="14" xfId="0" applyNumberFormat="1" applyFont="1" applyFill="1" applyBorder="1" applyAlignment="1">
      <alignment horizontal="right" vertical="center"/>
    </xf>
    <xf numFmtId="37" fontId="34" fillId="9" borderId="14" xfId="0" applyNumberFormat="1" applyFont="1" applyFill="1" applyBorder="1" applyAlignment="1">
      <alignment horizontal="right" vertical="center"/>
    </xf>
    <xf numFmtId="0" fontId="14" fillId="0" borderId="0" xfId="0" applyFont="1" applyAlignment="1"/>
    <xf numFmtId="183" fontId="38" fillId="11" borderId="14" xfId="0" applyNumberFormat="1" applyFont="1" applyFill="1" applyBorder="1" applyAlignment="1">
      <alignment horizontal="right" vertical="center"/>
    </xf>
    <xf numFmtId="183" fontId="34" fillId="11" borderId="14" xfId="0" applyNumberFormat="1" applyFont="1" applyFill="1" applyBorder="1" applyAlignment="1">
      <alignment horizontal="right" vertical="center"/>
    </xf>
    <xf numFmtId="0" fontId="16" fillId="8" borderId="0" xfId="0" applyFont="1" applyFill="1" applyBorder="1" applyAlignment="1"/>
    <xf numFmtId="0" fontId="14" fillId="8" borderId="0" xfId="0" applyFont="1" applyFill="1" applyBorder="1" applyAlignment="1"/>
    <xf numFmtId="3" fontId="38" fillId="4" borderId="14" xfId="0" applyNumberFormat="1" applyFont="1" applyFill="1" applyBorder="1" applyAlignment="1">
      <alignment horizontal="right" vertical="center"/>
    </xf>
    <xf numFmtId="3" fontId="34" fillId="4" borderId="14" xfId="0" applyNumberFormat="1" applyFont="1" applyFill="1" applyBorder="1" applyAlignment="1">
      <alignment horizontal="right" vertical="center"/>
    </xf>
    <xf numFmtId="0" fontId="32" fillId="4" borderId="14" xfId="0" applyFont="1" applyFill="1" applyBorder="1" applyAlignment="1">
      <alignment horizontal="right" vertical="center"/>
    </xf>
    <xf numFmtId="0" fontId="35" fillId="4" borderId="14" xfId="0" applyFont="1" applyFill="1" applyBorder="1" applyAlignment="1">
      <alignment horizontal="right" vertical="center"/>
    </xf>
    <xf numFmtId="38" fontId="36" fillId="4" borderId="0" xfId="0" applyNumberFormat="1" applyFont="1" applyFill="1" applyBorder="1" applyAlignment="1">
      <alignment horizontal="left" vertical="center"/>
    </xf>
    <xf numFmtId="38" fontId="37" fillId="4" borderId="0" xfId="0" applyNumberFormat="1" applyFont="1" applyFill="1" applyBorder="1" applyAlignment="1">
      <alignment horizontal="left" vertical="center"/>
    </xf>
    <xf numFmtId="182" fontId="34" fillId="4" borderId="32" xfId="0" applyNumberFormat="1" applyFont="1" applyFill="1" applyBorder="1" applyAlignment="1">
      <alignment horizontal="left" vertical="center"/>
    </xf>
    <xf numFmtId="182" fontId="34" fillId="4" borderId="33" xfId="0" applyNumberFormat="1" applyFont="1" applyFill="1" applyBorder="1" applyAlignment="1">
      <alignment horizontal="left" vertical="center"/>
    </xf>
    <xf numFmtId="0" fontId="35" fillId="4" borderId="33" xfId="0" applyFont="1" applyFill="1" applyBorder="1" applyAlignment="1">
      <alignment horizontal="left" vertical="center"/>
    </xf>
    <xf numFmtId="0" fontId="35" fillId="4" borderId="34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8" fillId="12" borderId="36" xfId="0" applyFont="1" applyFill="1" applyBorder="1" applyAlignment="1">
      <alignment horizontal="center" vertical="center"/>
    </xf>
    <xf numFmtId="0" fontId="9" fillId="12" borderId="37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12" borderId="38" xfId="0" applyFont="1" applyFill="1" applyBorder="1" applyAlignment="1">
      <alignment horizontal="center" vertical="center"/>
    </xf>
    <xf numFmtId="0" fontId="8" fillId="10" borderId="38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180" fontId="11" fillId="0" borderId="30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wrapText="1"/>
    </xf>
    <xf numFmtId="3" fontId="9" fillId="4" borderId="26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0" borderId="1" xfId="0" applyFont="1" applyBorder="1" applyAlignment="1"/>
    <xf numFmtId="0" fontId="9" fillId="4" borderId="26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3" fontId="15" fillId="4" borderId="26" xfId="0" applyNumberFormat="1" applyFont="1" applyFill="1" applyBorder="1" applyAlignment="1">
      <alignment horizontal="center"/>
    </xf>
    <xf numFmtId="3" fontId="41" fillId="4" borderId="26" xfId="0" applyNumberFormat="1" applyFont="1" applyFill="1" applyBorder="1" applyAlignment="1">
      <alignment horizontal="center"/>
    </xf>
    <xf numFmtId="0" fontId="10" fillId="0" borderId="1" xfId="0" applyFont="1" applyBorder="1" applyAlignment="1"/>
    <xf numFmtId="0" fontId="8" fillId="0" borderId="1" xfId="0" applyFont="1" applyBorder="1" applyAlignment="1"/>
    <xf numFmtId="0" fontId="42" fillId="0" borderId="0" xfId="0" applyFont="1" applyAlignment="1"/>
    <xf numFmtId="0" fontId="9" fillId="0" borderId="0" xfId="0" applyFont="1" applyAlignment="1"/>
    <xf numFmtId="0" fontId="43" fillId="0" borderId="0" xfId="0" applyFont="1" applyAlignment="1"/>
    <xf numFmtId="0" fontId="44" fillId="0" borderId="0" xfId="0" applyFont="1" applyAlignment="1"/>
    <xf numFmtId="0" fontId="45" fillId="0" borderId="17" xfId="0" applyFont="1" applyBorder="1" applyAlignment="1"/>
    <xf numFmtId="0" fontId="45" fillId="0" borderId="19" xfId="0" applyFont="1" applyBorder="1" applyAlignment="1"/>
    <xf numFmtId="0" fontId="8" fillId="0" borderId="20" xfId="0" applyFont="1" applyBorder="1" applyAlignment="1"/>
    <xf numFmtId="0" fontId="45" fillId="0" borderId="5" xfId="0" applyFont="1" applyBorder="1" applyAlignment="1"/>
    <xf numFmtId="0" fontId="8" fillId="0" borderId="6" xfId="0" applyFont="1" applyBorder="1" applyAlignment="1"/>
    <xf numFmtId="0" fontId="10" fillId="0" borderId="6" xfId="0" applyFont="1" applyBorder="1" applyAlignment="1"/>
    <xf numFmtId="0" fontId="10" fillId="0" borderId="7" xfId="0" applyFont="1" applyBorder="1" applyAlignment="1"/>
    <xf numFmtId="0" fontId="45" fillId="0" borderId="8" xfId="0" applyFont="1" applyBorder="1" applyAlignment="1"/>
    <xf numFmtId="0" fontId="8" fillId="0" borderId="0" xfId="0" applyFont="1" applyAlignment="1"/>
    <xf numFmtId="0" fontId="10" fillId="0" borderId="9" xfId="0" applyFont="1" applyBorder="1" applyAlignment="1"/>
    <xf numFmtId="0" fontId="45" fillId="0" borderId="32" xfId="0" applyFont="1" applyBorder="1" applyAlignment="1"/>
    <xf numFmtId="0" fontId="8" fillId="0" borderId="33" xfId="0" applyFont="1" applyBorder="1" applyAlignment="1"/>
    <xf numFmtId="0" fontId="10" fillId="0" borderId="33" xfId="0" applyFont="1" applyBorder="1" applyAlignment="1"/>
    <xf numFmtId="0" fontId="10" fillId="0" borderId="34" xfId="0" applyFont="1" applyBorder="1" applyAlignment="1"/>
    <xf numFmtId="0" fontId="43" fillId="3" borderId="5" xfId="0" applyFont="1" applyFill="1" applyBorder="1" applyAlignment="1"/>
    <xf numFmtId="0" fontId="10" fillId="3" borderId="6" xfId="0" applyFont="1" applyFill="1" applyBorder="1" applyAlignment="1"/>
    <xf numFmtId="0" fontId="10" fillId="3" borderId="7" xfId="0" applyFont="1" applyFill="1" applyBorder="1" applyAlignment="1"/>
    <xf numFmtId="0" fontId="10" fillId="3" borderId="8" xfId="0" applyFont="1" applyFill="1" applyBorder="1" applyAlignment="1"/>
    <xf numFmtId="0" fontId="10" fillId="3" borderId="0" xfId="0" applyFont="1" applyFill="1" applyBorder="1" applyAlignment="1"/>
    <xf numFmtId="0" fontId="10" fillId="3" borderId="9" xfId="0" applyFont="1" applyFill="1" applyBorder="1" applyAlignment="1"/>
    <xf numFmtId="0" fontId="10" fillId="3" borderId="32" xfId="0" applyFont="1" applyFill="1" applyBorder="1" applyAlignment="1"/>
    <xf numFmtId="0" fontId="10" fillId="3" borderId="33" xfId="0" applyFont="1" applyFill="1" applyBorder="1" applyAlignment="1"/>
    <xf numFmtId="0" fontId="10" fillId="3" borderId="34" xfId="0" applyFont="1" applyFill="1" applyBorder="1" applyAlignment="1"/>
    <xf numFmtId="0" fontId="46" fillId="0" borderId="0" xfId="0" applyFont="1" applyAlignment="1"/>
    <xf numFmtId="0" fontId="10" fillId="10" borderId="5" xfId="0" applyFont="1" applyFill="1" applyBorder="1" applyAlignment="1"/>
    <xf numFmtId="0" fontId="10" fillId="10" borderId="6" xfId="0" applyFont="1" applyFill="1" applyBorder="1" applyAlignment="1"/>
    <xf numFmtId="0" fontId="10" fillId="10" borderId="7" xfId="0" applyFont="1" applyFill="1" applyBorder="1" applyAlignment="1"/>
    <xf numFmtId="0" fontId="10" fillId="10" borderId="8" xfId="0" applyFont="1" applyFill="1" applyBorder="1" applyAlignment="1"/>
    <xf numFmtId="0" fontId="10" fillId="10" borderId="0" xfId="0" applyFont="1" applyFill="1" applyBorder="1" applyAlignment="1"/>
    <xf numFmtId="0" fontId="10" fillId="10" borderId="9" xfId="0" applyFont="1" applyFill="1" applyBorder="1" applyAlignment="1"/>
    <xf numFmtId="0" fontId="10" fillId="10" borderId="32" xfId="0" applyFont="1" applyFill="1" applyBorder="1" applyAlignment="1"/>
    <xf numFmtId="0" fontId="10" fillId="10" borderId="33" xfId="0" applyFont="1" applyFill="1" applyBorder="1" applyAlignment="1"/>
    <xf numFmtId="0" fontId="10" fillId="10" borderId="34" xfId="0" applyFont="1" applyFill="1" applyBorder="1" applyAlignment="1"/>
    <xf numFmtId="0" fontId="46" fillId="9" borderId="5" xfId="0" applyFont="1" applyFill="1" applyBorder="1" applyAlignment="1"/>
    <xf numFmtId="0" fontId="10" fillId="9" borderId="6" xfId="0" applyFont="1" applyFill="1" applyBorder="1" applyAlignment="1"/>
    <xf numFmtId="0" fontId="10" fillId="9" borderId="7" xfId="0" applyFont="1" applyFill="1" applyBorder="1" applyAlignment="1"/>
    <xf numFmtId="0" fontId="43" fillId="9" borderId="8" xfId="0" applyFont="1" applyFill="1" applyBorder="1" applyAlignment="1"/>
    <xf numFmtId="0" fontId="10" fillId="9" borderId="0" xfId="0" applyFont="1" applyFill="1" applyBorder="1" applyAlignment="1"/>
    <xf numFmtId="0" fontId="10" fillId="9" borderId="9" xfId="0" applyFont="1" applyFill="1" applyBorder="1" applyAlignment="1"/>
    <xf numFmtId="0" fontId="10" fillId="9" borderId="8" xfId="0" applyFont="1" applyFill="1" applyBorder="1" applyAlignment="1"/>
    <xf numFmtId="0" fontId="10" fillId="9" borderId="32" xfId="0" applyFont="1" applyFill="1" applyBorder="1" applyAlignment="1"/>
    <xf numFmtId="0" fontId="10" fillId="9" borderId="33" xfId="0" applyFont="1" applyFill="1" applyBorder="1" applyAlignment="1"/>
    <xf numFmtId="0" fontId="10" fillId="9" borderId="34" xfId="0" applyFont="1" applyFill="1" applyBorder="1" applyAlignment="1"/>
    <xf numFmtId="0" fontId="47" fillId="0" borderId="0" xfId="0" applyFont="1" applyAlignment="1"/>
    <xf numFmtId="0" fontId="48" fillId="0" borderId="0" xfId="0" applyFont="1" applyAlignment="1"/>
    <xf numFmtId="0" fontId="8" fillId="10" borderId="0" xfId="0" applyFont="1" applyFill="1" applyBorder="1" applyAlignment="1"/>
    <xf numFmtId="0" fontId="8" fillId="10" borderId="0" xfId="0" applyFont="1" applyFill="1" applyBorder="1" applyAlignment="1">
      <alignment horizontal="center"/>
    </xf>
    <xf numFmtId="0" fontId="49" fillId="0" borderId="0" xfId="0" applyFont="1" applyAlignment="1">
      <alignment horizontal="right" vertical="center"/>
    </xf>
    <xf numFmtId="0" fontId="50" fillId="0" borderId="24" xfId="0" applyFont="1" applyBorder="1" applyAlignment="1">
      <alignment vertical="center"/>
    </xf>
    <xf numFmtId="20" fontId="51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14" fillId="0" borderId="9" xfId="0" applyFont="1" applyBorder="1" applyAlignment="1">
      <alignment vertical="center"/>
    </xf>
    <xf numFmtId="0" fontId="52" fillId="0" borderId="0" xfId="0" applyFont="1" applyAlignment="1">
      <alignment horizontal="right" vertical="center"/>
    </xf>
    <xf numFmtId="0" fontId="53" fillId="0" borderId="24" xfId="0" applyFont="1" applyBorder="1" applyAlignment="1">
      <alignment vertical="center"/>
    </xf>
    <xf numFmtId="2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27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4" fillId="0" borderId="25" xfId="0" applyFont="1" applyBorder="1" applyAlignment="1">
      <alignment vertical="center"/>
    </xf>
    <xf numFmtId="0" fontId="55" fillId="0" borderId="0" xfId="0" applyFont="1" applyAlignment="1">
      <alignment horizontal="right" vertical="center"/>
    </xf>
    <xf numFmtId="0" fontId="56" fillId="0" borderId="24" xfId="0" applyFont="1" applyBorder="1" applyAlignment="1">
      <alignment vertical="center"/>
    </xf>
    <xf numFmtId="20" fontId="56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vertical="center"/>
    </xf>
    <xf numFmtId="0" fontId="14" fillId="0" borderId="9" xfId="0" applyFont="1" applyBorder="1" applyAlignment="1">
      <alignment horizontal="left" vertical="top"/>
    </xf>
    <xf numFmtId="0" fontId="14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20" fontId="57" fillId="0" borderId="1" xfId="0" applyNumberFormat="1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20" fontId="58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9" fillId="0" borderId="3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4" borderId="26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184" fontId="10" fillId="0" borderId="0" xfId="0" applyNumberFormat="1" applyFont="1" applyAlignment="1"/>
    <xf numFmtId="0" fontId="8" fillId="9" borderId="5" xfId="0" applyFont="1" applyFill="1" applyBorder="1" applyAlignment="1">
      <alignment horizontal="center"/>
    </xf>
    <xf numFmtId="182" fontId="59" fillId="4" borderId="5" xfId="0" applyNumberFormat="1" applyFont="1" applyFill="1" applyBorder="1" applyAlignment="1">
      <alignment horizontal="left" vertical="center"/>
    </xf>
    <xf numFmtId="0" fontId="60" fillId="4" borderId="6" xfId="0" applyFont="1" applyFill="1" applyBorder="1" applyAlignment="1">
      <alignment horizontal="left" vertical="center"/>
    </xf>
    <xf numFmtId="0" fontId="61" fillId="4" borderId="7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20" fontId="10" fillId="9" borderId="32" xfId="0" applyNumberFormat="1" applyFont="1" applyFill="1" applyBorder="1" applyAlignment="1">
      <alignment horizontal="center"/>
    </xf>
    <xf numFmtId="20" fontId="10" fillId="0" borderId="0" xfId="0" applyNumberFormat="1" applyFont="1" applyAlignment="1">
      <alignment horizontal="center"/>
    </xf>
    <xf numFmtId="182" fontId="59" fillId="4" borderId="8" xfId="0" applyNumberFormat="1" applyFont="1" applyFill="1" applyBorder="1" applyAlignment="1">
      <alignment horizontal="left" vertical="center"/>
    </xf>
    <xf numFmtId="0" fontId="60" fillId="4" borderId="0" xfId="0" applyFont="1" applyFill="1" applyBorder="1" applyAlignment="1">
      <alignment horizontal="left" vertical="center"/>
    </xf>
    <xf numFmtId="0" fontId="60" fillId="4" borderId="17" xfId="0" applyFont="1" applyFill="1" applyBorder="1" applyAlignment="1">
      <alignment horizontal="center" vertical="center"/>
    </xf>
    <xf numFmtId="0" fontId="61" fillId="4" borderId="9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center"/>
    </xf>
    <xf numFmtId="20" fontId="33" fillId="3" borderId="1" xfId="0" applyNumberFormat="1" applyFont="1" applyFill="1" applyBorder="1" applyAlignment="1">
      <alignment horizontal="center"/>
    </xf>
    <xf numFmtId="0" fontId="62" fillId="0" borderId="0" xfId="0" applyFont="1" applyAlignment="1">
      <alignment vertical="center"/>
    </xf>
    <xf numFmtId="182" fontId="59" fillId="4" borderId="0" xfId="0" applyNumberFormat="1" applyFont="1" applyFill="1" applyBorder="1" applyAlignment="1">
      <alignment horizontal="left" vertical="center"/>
    </xf>
    <xf numFmtId="0" fontId="61" fillId="4" borderId="0" xfId="0" applyFont="1" applyFill="1" applyBorder="1" applyAlignment="1">
      <alignment horizontal="left" vertical="center"/>
    </xf>
    <xf numFmtId="0" fontId="60" fillId="4" borderId="11" xfId="0" applyFont="1" applyFill="1" applyBorder="1" applyAlignment="1">
      <alignment horizontal="left" vertical="center"/>
    </xf>
    <xf numFmtId="0" fontId="59" fillId="4" borderId="0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/>
    </xf>
    <xf numFmtId="20" fontId="8" fillId="3" borderId="1" xfId="0" applyNumberFormat="1" applyFont="1" applyFill="1" applyBorder="1" applyAlignment="1">
      <alignment horizontal="center"/>
    </xf>
    <xf numFmtId="0" fontId="39" fillId="4" borderId="14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left" vertical="center"/>
    </xf>
    <xf numFmtId="0" fontId="63" fillId="4" borderId="14" xfId="0" applyFont="1" applyFill="1" applyBorder="1" applyAlignment="1">
      <alignment horizontal="left" vertical="center"/>
    </xf>
    <xf numFmtId="0" fontId="64" fillId="4" borderId="14" xfId="0" applyFont="1" applyFill="1" applyBorder="1" applyAlignment="1">
      <alignment horizontal="center" vertical="center"/>
    </xf>
    <xf numFmtId="0" fontId="63" fillId="4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/>
    </xf>
    <xf numFmtId="20" fontId="8" fillId="13" borderId="1" xfId="0" applyNumberFormat="1" applyFont="1" applyFill="1" applyBorder="1" applyAlignment="1">
      <alignment horizontal="center"/>
    </xf>
    <xf numFmtId="0" fontId="36" fillId="0" borderId="14" xfId="0" applyFont="1" applyBorder="1" applyAlignment="1">
      <alignment horizontal="center" vertical="center"/>
    </xf>
    <xf numFmtId="20" fontId="36" fillId="4" borderId="14" xfId="0" applyNumberFormat="1" applyFont="1" applyFill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20" fontId="65" fillId="4" borderId="14" xfId="0" applyNumberFormat="1" applyFont="1" applyFill="1" applyBorder="1" applyAlignment="1">
      <alignment horizontal="center" vertical="center"/>
    </xf>
    <xf numFmtId="0" fontId="59" fillId="4" borderId="9" xfId="0" applyFont="1" applyFill="1" applyBorder="1" applyAlignment="1">
      <alignment horizontal="left" vertical="center"/>
    </xf>
    <xf numFmtId="38" fontId="36" fillId="4" borderId="14" xfId="0" applyNumberFormat="1" applyFont="1" applyFill="1" applyBorder="1" applyAlignment="1">
      <alignment horizontal="center" vertical="center"/>
    </xf>
    <xf numFmtId="38" fontId="65" fillId="4" borderId="14" xfId="0" applyNumberFormat="1" applyFont="1" applyFill="1" applyBorder="1" applyAlignment="1">
      <alignment horizontal="center" vertical="center"/>
    </xf>
    <xf numFmtId="180" fontId="39" fillId="4" borderId="14" xfId="0" applyNumberFormat="1" applyFont="1" applyFill="1" applyBorder="1" applyAlignment="1">
      <alignment horizontal="center" vertical="center"/>
    </xf>
    <xf numFmtId="180" fontId="64" fillId="4" borderId="14" xfId="0" applyNumberFormat="1" applyFont="1" applyFill="1" applyBorder="1" applyAlignment="1">
      <alignment horizontal="center" vertical="center"/>
    </xf>
    <xf numFmtId="182" fontId="63" fillId="4" borderId="0" xfId="0" applyNumberFormat="1" applyFont="1" applyFill="1" applyBorder="1" applyAlignment="1">
      <alignment horizontal="left" vertical="center"/>
    </xf>
    <xf numFmtId="0" fontId="63" fillId="4" borderId="0" xfId="0" applyFont="1" applyFill="1" applyBorder="1" applyAlignment="1">
      <alignment horizontal="left" vertical="center"/>
    </xf>
    <xf numFmtId="182" fontId="66" fillId="4" borderId="0" xfId="0" applyNumberFormat="1" applyFont="1" applyFill="1" applyBorder="1" applyAlignment="1">
      <alignment horizontal="left" vertical="center"/>
    </xf>
    <xf numFmtId="182" fontId="66" fillId="4" borderId="0" xfId="0" applyNumberFormat="1" applyFont="1" applyFill="1" applyBorder="1" applyAlignment="1">
      <alignment horizontal="left" vertical="center" wrapText="1"/>
    </xf>
    <xf numFmtId="182" fontId="61" fillId="4" borderId="9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37" fontId="36" fillId="11" borderId="14" xfId="0" applyNumberFormat="1" applyFont="1" applyFill="1" applyBorder="1" applyAlignment="1">
      <alignment horizontal="right" vertical="center"/>
    </xf>
    <xf numFmtId="0" fontId="66" fillId="4" borderId="0" xfId="0" applyFont="1" applyFill="1" applyBorder="1" applyAlignment="1">
      <alignment horizontal="left" vertical="center"/>
    </xf>
    <xf numFmtId="0" fontId="64" fillId="4" borderId="0" xfId="0" applyFont="1" applyFill="1" applyBorder="1" applyAlignment="1">
      <alignment horizontal="left" vertical="center"/>
    </xf>
    <xf numFmtId="37" fontId="65" fillId="11" borderId="14" xfId="0" applyNumberFormat="1" applyFont="1" applyFill="1" applyBorder="1" applyAlignment="1">
      <alignment horizontal="right" vertical="center"/>
    </xf>
    <xf numFmtId="37" fontId="59" fillId="4" borderId="9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/>
    </xf>
    <xf numFmtId="0" fontId="8" fillId="3" borderId="1" xfId="0" applyFont="1" applyFill="1" applyBorder="1" applyAlignment="1"/>
    <xf numFmtId="38" fontId="36" fillId="4" borderId="14" xfId="0" applyNumberFormat="1" applyFont="1" applyFill="1" applyBorder="1" applyAlignment="1">
      <alignment horizontal="right" vertical="center"/>
    </xf>
    <xf numFmtId="38" fontId="65" fillId="4" borderId="14" xfId="0" applyNumberFormat="1" applyFont="1" applyFill="1" applyBorder="1" applyAlignment="1">
      <alignment horizontal="right" vertical="center"/>
    </xf>
    <xf numFmtId="0" fontId="39" fillId="4" borderId="1" xfId="0" applyFont="1" applyFill="1" applyBorder="1" applyAlignment="1">
      <alignment horizontal="left" vertical="center"/>
    </xf>
    <xf numFmtId="37" fontId="36" fillId="4" borderId="14" xfId="0" applyNumberFormat="1" applyFont="1" applyFill="1" applyBorder="1" applyAlignment="1">
      <alignment horizontal="right" vertical="center"/>
    </xf>
    <xf numFmtId="0" fontId="64" fillId="4" borderId="1" xfId="0" applyFont="1" applyFill="1" applyBorder="1" applyAlignment="1">
      <alignment horizontal="left" vertical="center"/>
    </xf>
    <xf numFmtId="37" fontId="65" fillId="4" borderId="14" xfId="0" applyNumberFormat="1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/>
    </xf>
    <xf numFmtId="185" fontId="8" fillId="13" borderId="1" xfId="0" applyNumberFormat="1" applyFont="1" applyFill="1" applyBorder="1" applyAlignment="1"/>
    <xf numFmtId="0" fontId="39" fillId="4" borderId="3" xfId="0" applyFont="1" applyFill="1" applyBorder="1" applyAlignment="1">
      <alignment horizontal="left" vertical="center"/>
    </xf>
    <xf numFmtId="0" fontId="66" fillId="4" borderId="14" xfId="0" applyFont="1" applyFill="1" applyBorder="1" applyAlignment="1">
      <alignment horizontal="left" vertical="center"/>
    </xf>
    <xf numFmtId="0" fontId="66" fillId="4" borderId="26" xfId="0" applyFont="1" applyFill="1" applyBorder="1" applyAlignment="1">
      <alignment horizontal="left" vertical="center"/>
    </xf>
    <xf numFmtId="0" fontId="64" fillId="4" borderId="26" xfId="0" applyFont="1" applyFill="1" applyBorder="1" applyAlignment="1">
      <alignment horizontal="left" vertical="center"/>
    </xf>
    <xf numFmtId="0" fontId="64" fillId="4" borderId="3" xfId="0" applyFont="1" applyFill="1" applyBorder="1" applyAlignment="1">
      <alignment horizontal="left" vertical="center"/>
    </xf>
    <xf numFmtId="0" fontId="64" fillId="4" borderId="14" xfId="0" applyFont="1" applyFill="1" applyBorder="1" applyAlignment="1">
      <alignment horizontal="left" vertical="center"/>
    </xf>
    <xf numFmtId="0" fontId="66" fillId="4" borderId="28" xfId="0" applyFont="1" applyFill="1" applyBorder="1" applyAlignment="1">
      <alignment horizontal="left" vertical="center"/>
    </xf>
    <xf numFmtId="0" fontId="66" fillId="4" borderId="27" xfId="0" applyFont="1" applyFill="1" applyBorder="1" applyAlignment="1">
      <alignment horizontal="left" vertical="center"/>
    </xf>
    <xf numFmtId="37" fontId="36" fillId="0" borderId="14" xfId="0" applyNumberFormat="1" applyFont="1" applyBorder="1" applyAlignment="1">
      <alignment horizontal="right" vertical="center"/>
    </xf>
    <xf numFmtId="37" fontId="65" fillId="0" borderId="14" xfId="0" applyNumberFormat="1" applyFont="1" applyBorder="1" applyAlignment="1">
      <alignment horizontal="right" vertical="center"/>
    </xf>
    <xf numFmtId="0" fontId="39" fillId="4" borderId="0" xfId="0" applyFont="1" applyFill="1" applyBorder="1" applyAlignment="1">
      <alignment horizontal="right" vertical="center"/>
    </xf>
    <xf numFmtId="0" fontId="64" fillId="4" borderId="0" xfId="0" applyFont="1" applyFill="1" applyBorder="1" applyAlignment="1">
      <alignment horizontal="right" vertical="center"/>
    </xf>
    <xf numFmtId="37" fontId="36" fillId="9" borderId="14" xfId="0" applyNumberFormat="1" applyFont="1" applyFill="1" applyBorder="1" applyAlignment="1">
      <alignment horizontal="right" vertical="center"/>
    </xf>
    <xf numFmtId="37" fontId="65" fillId="9" borderId="14" xfId="0" applyNumberFormat="1" applyFont="1" applyFill="1" applyBorder="1" applyAlignment="1">
      <alignment horizontal="right" vertical="center"/>
    </xf>
    <xf numFmtId="0" fontId="1" fillId="0" borderId="0" xfId="0" applyFont="1" applyAlignment="1"/>
    <xf numFmtId="183" fontId="36" fillId="11" borderId="14" xfId="0" applyNumberFormat="1" applyFont="1" applyFill="1" applyBorder="1" applyAlignment="1">
      <alignment horizontal="right" vertical="center"/>
    </xf>
    <xf numFmtId="183" fontId="65" fillId="11" borderId="14" xfId="0" applyNumberFormat="1" applyFont="1" applyFill="1" applyBorder="1" applyAlignment="1">
      <alignment horizontal="right" vertical="center"/>
    </xf>
    <xf numFmtId="0" fontId="10" fillId="13" borderId="0" xfId="0" applyFont="1" applyFill="1" applyBorder="1" applyAlignment="1"/>
    <xf numFmtId="0" fontId="1" fillId="13" borderId="0" xfId="0" applyFont="1" applyFill="1" applyBorder="1" applyAlignment="1"/>
    <xf numFmtId="3" fontId="36" fillId="4" borderId="14" xfId="0" applyNumberFormat="1" applyFont="1" applyFill="1" applyBorder="1" applyAlignment="1">
      <alignment horizontal="right" vertical="center"/>
    </xf>
    <xf numFmtId="3" fontId="65" fillId="4" borderId="14" xfId="0" applyNumberFormat="1" applyFont="1" applyFill="1" applyBorder="1" applyAlignment="1">
      <alignment horizontal="right" vertical="center"/>
    </xf>
    <xf numFmtId="0" fontId="39" fillId="4" borderId="14" xfId="0" applyFont="1" applyFill="1" applyBorder="1" applyAlignment="1">
      <alignment horizontal="right" vertical="center"/>
    </xf>
    <xf numFmtId="0" fontId="64" fillId="4" borderId="14" xfId="0" applyFont="1" applyFill="1" applyBorder="1" applyAlignment="1">
      <alignment horizontal="right" vertical="center"/>
    </xf>
    <xf numFmtId="0" fontId="66" fillId="4" borderId="0" xfId="0" applyFont="1" applyFill="1" applyBorder="1" applyAlignment="1">
      <alignment vertical="center"/>
    </xf>
    <xf numFmtId="38" fontId="63" fillId="4" borderId="0" xfId="0" applyNumberFormat="1" applyFont="1" applyFill="1" applyBorder="1" applyAlignment="1">
      <alignment horizontal="left" vertical="center"/>
    </xf>
    <xf numFmtId="182" fontId="59" fillId="4" borderId="32" xfId="0" applyNumberFormat="1" applyFont="1" applyFill="1" applyBorder="1" applyAlignment="1">
      <alignment horizontal="left" vertical="center"/>
    </xf>
    <xf numFmtId="182" fontId="59" fillId="4" borderId="33" xfId="0" applyNumberFormat="1" applyFont="1" applyFill="1" applyBorder="1" applyAlignment="1">
      <alignment horizontal="left" vertical="center"/>
    </xf>
    <xf numFmtId="0" fontId="61" fillId="4" borderId="33" xfId="0" applyFont="1" applyFill="1" applyBorder="1" applyAlignment="1">
      <alignment horizontal="left" vertical="center"/>
    </xf>
    <xf numFmtId="0" fontId="61" fillId="4" borderId="34" xfId="0" applyFont="1" applyFill="1" applyBorder="1" applyAlignment="1">
      <alignment horizontal="left" vertical="center"/>
    </xf>
    <xf numFmtId="0" fontId="50" fillId="0" borderId="24" xfId="0" applyFont="1" applyBorder="1" applyAlignment="1">
      <alignment horizontal="right" vertical="center"/>
    </xf>
    <xf numFmtId="184" fontId="19" fillId="0" borderId="21" xfId="0" applyNumberFormat="1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184" fontId="14" fillId="0" borderId="0" xfId="0" applyNumberFormat="1" applyFont="1" applyAlignment="1"/>
    <xf numFmtId="0" fontId="9" fillId="9" borderId="5" xfId="0" applyFont="1" applyFill="1" applyBorder="1" applyAlignment="1">
      <alignment horizontal="center"/>
    </xf>
    <xf numFmtId="20" fontId="14" fillId="9" borderId="32" xfId="0" applyNumberFormat="1" applyFont="1" applyFill="1" applyBorder="1" applyAlignment="1">
      <alignment horizontal="center"/>
    </xf>
    <xf numFmtId="20" fontId="14" fillId="0" borderId="0" xfId="0" applyNumberFormat="1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20" fontId="9" fillId="11" borderId="1" xfId="0" applyNumberFormat="1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20" fontId="9" fillId="13" borderId="1" xfId="0" applyNumberFormat="1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20" fontId="9" fillId="8" borderId="1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180" fontId="3" fillId="4" borderId="1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14" fillId="13" borderId="1" xfId="0" applyFont="1" applyFill="1" applyBorder="1" applyAlignment="1"/>
    <xf numFmtId="0" fontId="14" fillId="13" borderId="30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22" fillId="0" borderId="0" xfId="0" applyFont="1" applyAlignment="1"/>
    <xf numFmtId="0" fontId="67" fillId="0" borderId="0" xfId="0" applyFont="1" applyAlignment="1">
      <alignment vertical="center"/>
    </xf>
    <xf numFmtId="0" fontId="14" fillId="13" borderId="0" xfId="0" applyFont="1" applyFill="1" applyBorder="1" applyAlignment="1"/>
    <xf numFmtId="0" fontId="22" fillId="13" borderId="0" xfId="0" applyFont="1" applyFill="1" applyBorder="1" applyAlignment="1"/>
    <xf numFmtId="0" fontId="22" fillId="8" borderId="0" xfId="0" applyFont="1" applyFill="1" applyBorder="1" applyAlignment="1"/>
    <xf numFmtId="0" fontId="39" fillId="0" borderId="0" xfId="0" applyFont="1" applyAlignment="1">
      <alignment horizontal="left" vertical="center"/>
    </xf>
    <xf numFmtId="0" fontId="14" fillId="3" borderId="0" xfId="0" applyFont="1" applyFill="1" applyBorder="1" applyAlignment="1">
      <alignment horizontal="center" wrapText="1"/>
    </xf>
    <xf numFmtId="0" fontId="68" fillId="0" borderId="8" xfId="0" applyFont="1" applyBorder="1" applyAlignment="1">
      <alignment horizontal="right" vertical="center"/>
    </xf>
    <xf numFmtId="0" fontId="69" fillId="0" borderId="8" xfId="0" applyFont="1" applyBorder="1" applyAlignment="1">
      <alignment horizontal="right" vertical="center"/>
    </xf>
    <xf numFmtId="0" fontId="31" fillId="0" borderId="24" xfId="0" applyFont="1" applyBorder="1" applyAlignment="1">
      <alignment vertical="center"/>
    </xf>
    <xf numFmtId="0" fontId="70" fillId="0" borderId="8" xfId="0" applyFont="1" applyBorder="1" applyAlignment="1">
      <alignment horizontal="right" wrapText="1"/>
    </xf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6" fillId="0" borderId="11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30" fillId="4" borderId="9" xfId="0" applyFont="1" applyFill="1" applyBorder="1" applyAlignment="1">
      <alignment horizontal="center" vertical="center" wrapText="1"/>
    </xf>
    <xf numFmtId="0" fontId="9" fillId="0" borderId="35" xfId="0" applyFont="1" applyBorder="1" applyAlignment="1">
      <alignment vertical="center"/>
    </xf>
    <xf numFmtId="20" fontId="9" fillId="3" borderId="1" xfId="0" applyNumberFormat="1" applyFont="1" applyFill="1" applyBorder="1" applyAlignment="1">
      <alignment horizontal="center"/>
    </xf>
    <xf numFmtId="0" fontId="40" fillId="4" borderId="14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left" vertical="center"/>
    </xf>
    <xf numFmtId="0" fontId="37" fillId="0" borderId="14" xfId="0" applyFont="1" applyBorder="1" applyAlignment="1">
      <alignment horizontal="center" vertical="center"/>
    </xf>
    <xf numFmtId="20" fontId="37" fillId="4" borderId="14" xfId="0" applyNumberFormat="1" applyFont="1" applyFill="1" applyBorder="1" applyAlignment="1">
      <alignment horizontal="center" vertical="center"/>
    </xf>
    <xf numFmtId="0" fontId="37" fillId="3" borderId="14" xfId="0" applyFont="1" applyFill="1" applyBorder="1" applyAlignment="1">
      <alignment horizontal="center" vertical="center"/>
    </xf>
    <xf numFmtId="38" fontId="37" fillId="4" borderId="14" xfId="0" applyNumberFormat="1" applyFont="1" applyFill="1" applyBorder="1" applyAlignment="1">
      <alignment horizontal="center" vertical="center"/>
    </xf>
    <xf numFmtId="180" fontId="40" fillId="4" borderId="14" xfId="0" applyNumberFormat="1" applyFont="1" applyFill="1" applyBorder="1" applyAlignment="1">
      <alignment horizontal="center" vertical="center"/>
    </xf>
    <xf numFmtId="182" fontId="40" fillId="4" borderId="0" xfId="0" applyNumberFormat="1" applyFont="1" applyFill="1" applyBorder="1" applyAlignment="1">
      <alignment horizontal="left" vertical="center"/>
    </xf>
    <xf numFmtId="182" fontId="40" fillId="4" borderId="0" xfId="0" applyNumberFormat="1" applyFont="1" applyFill="1" applyBorder="1" applyAlignment="1">
      <alignment horizontal="left" vertical="center" wrapText="1"/>
    </xf>
    <xf numFmtId="37" fontId="37" fillId="11" borderId="14" xfId="0" applyNumberFormat="1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center"/>
    </xf>
    <xf numFmtId="38" fontId="37" fillId="4" borderId="14" xfId="0" applyNumberFormat="1" applyFont="1" applyFill="1" applyBorder="1" applyAlignment="1">
      <alignment horizontal="right" vertical="center"/>
    </xf>
    <xf numFmtId="0" fontId="14" fillId="3" borderId="35" xfId="0" applyFont="1" applyFill="1" applyBorder="1" applyAlignment="1">
      <alignment horizontal="center"/>
    </xf>
    <xf numFmtId="0" fontId="40" fillId="4" borderId="1" xfId="0" applyFont="1" applyFill="1" applyBorder="1" applyAlignment="1">
      <alignment horizontal="left" vertical="center"/>
    </xf>
    <xf numFmtId="37" fontId="37" fillId="4" borderId="14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/>
    <xf numFmtId="0" fontId="40" fillId="4" borderId="3" xfId="0" applyFont="1" applyFill="1" applyBorder="1" applyAlignment="1">
      <alignment horizontal="left" vertical="center"/>
    </xf>
    <xf numFmtId="37" fontId="37" fillId="0" borderId="14" xfId="0" applyNumberFormat="1" applyFont="1" applyBorder="1" applyAlignment="1">
      <alignment horizontal="right" vertical="center"/>
    </xf>
    <xf numFmtId="0" fontId="40" fillId="4" borderId="0" xfId="0" applyFont="1" applyFill="1" applyBorder="1" applyAlignment="1">
      <alignment horizontal="right" vertical="center"/>
    </xf>
    <xf numFmtId="37" fontId="37" fillId="9" borderId="14" xfId="0" applyNumberFormat="1" applyFont="1" applyFill="1" applyBorder="1" applyAlignment="1">
      <alignment horizontal="right" vertical="center"/>
    </xf>
    <xf numFmtId="183" fontId="37" fillId="11" borderId="14" xfId="0" applyNumberFormat="1" applyFont="1" applyFill="1" applyBorder="1" applyAlignment="1">
      <alignment horizontal="right" vertical="center"/>
    </xf>
    <xf numFmtId="3" fontId="37" fillId="4" borderId="14" xfId="0" applyNumberFormat="1" applyFont="1" applyFill="1" applyBorder="1" applyAlignment="1">
      <alignment horizontal="right" vertical="center"/>
    </xf>
    <xf numFmtId="0" fontId="40" fillId="4" borderId="14" xfId="0" applyFont="1" applyFill="1" applyBorder="1" applyAlignment="1">
      <alignment horizontal="right" vertical="center"/>
    </xf>
    <xf numFmtId="0" fontId="39" fillId="4" borderId="0" xfId="0" applyFont="1" applyFill="1" applyBorder="1" applyAlignment="1">
      <alignment vertical="center"/>
    </xf>
    <xf numFmtId="182" fontId="3" fillId="4" borderId="33" xfId="0" applyNumberFormat="1" applyFont="1" applyFill="1" applyBorder="1" applyAlignment="1">
      <alignment horizontal="left" vertical="center"/>
    </xf>
    <xf numFmtId="0" fontId="1" fillId="4" borderId="33" xfId="0" applyFont="1" applyFill="1" applyBorder="1" applyAlignment="1">
      <alignment horizontal="left" vertical="center"/>
    </xf>
    <xf numFmtId="0" fontId="1" fillId="4" borderId="34" xfId="0" applyFont="1" applyFill="1" applyBorder="1" applyAlignment="1">
      <alignment horizontal="left" vertical="center"/>
    </xf>
    <xf numFmtId="182" fontId="3" fillId="4" borderId="32" xfId="0" applyNumberFormat="1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32" fillId="4" borderId="5" xfId="0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left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0" fontId="32" fillId="4" borderId="32" xfId="0" applyFont="1" applyFill="1" applyBorder="1" applyAlignment="1">
      <alignment horizontal="left" vertical="center"/>
    </xf>
    <xf numFmtId="0" fontId="32" fillId="4" borderId="33" xfId="0" applyFont="1" applyFill="1" applyBorder="1" applyAlignment="1">
      <alignment horizontal="left" vertical="center"/>
    </xf>
    <xf numFmtId="0" fontId="32" fillId="4" borderId="34" xfId="0" applyFont="1" applyFill="1" applyBorder="1" applyAlignment="1">
      <alignment horizontal="left" vertical="center"/>
    </xf>
    <xf numFmtId="0" fontId="71" fillId="0" borderId="8" xfId="0" applyFont="1" applyBorder="1" applyAlignment="1">
      <alignment horizontal="left" vertical="center"/>
    </xf>
    <xf numFmtId="0" fontId="72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1" fillId="0" borderId="0" xfId="0" applyFont="1" applyAlignment="1">
      <alignment horizontal="right" vertical="center"/>
    </xf>
    <xf numFmtId="0" fontId="72" fillId="0" borderId="24" xfId="0" applyFont="1" applyBorder="1" applyAlignment="1">
      <alignment horizontal="center" vertical="center"/>
    </xf>
    <xf numFmtId="20" fontId="72" fillId="0" borderId="0" xfId="0" applyNumberFormat="1" applyFont="1" applyAlignment="1">
      <alignment vertical="center"/>
    </xf>
    <xf numFmtId="0" fontId="38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72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20" fontId="32" fillId="0" borderId="0" xfId="0" applyNumberFormat="1" applyFont="1" applyAlignment="1">
      <alignment vertical="center"/>
    </xf>
    <xf numFmtId="0" fontId="32" fillId="0" borderId="39" xfId="0" applyFont="1" applyBorder="1" applyAlignment="1">
      <alignment horizontal="center" vertical="center"/>
    </xf>
    <xf numFmtId="0" fontId="73" fillId="0" borderId="24" xfId="0" applyFont="1" applyBorder="1" applyAlignment="1">
      <alignment horizontal="center" vertical="center"/>
    </xf>
    <xf numFmtId="0" fontId="27" fillId="0" borderId="0" xfId="0" applyFont="1" applyAlignment="1">
      <alignment horizontal="right" wrapText="1"/>
    </xf>
    <xf numFmtId="0" fontId="32" fillId="0" borderId="0" xfId="0" applyFont="1" applyAlignment="1">
      <alignment horizontal="center"/>
    </xf>
    <xf numFmtId="0" fontId="74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7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20" fontId="32" fillId="0" borderId="1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20" fontId="32" fillId="0" borderId="14" xfId="0" applyNumberFormat="1" applyFont="1" applyBorder="1" applyAlignment="1">
      <alignment horizontal="center" vertical="center"/>
    </xf>
    <xf numFmtId="20" fontId="16" fillId="0" borderId="0" xfId="0" applyNumberFormat="1" applyFont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16" fillId="0" borderId="44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186" fontId="16" fillId="0" borderId="0" xfId="0" applyNumberFormat="1" applyFont="1" applyAlignment="1">
      <alignment horizontal="left" vertical="center"/>
    </xf>
    <xf numFmtId="0" fontId="75" fillId="0" borderId="33" xfId="0" applyFont="1" applyBorder="1" applyAlignment="1">
      <alignment vertical="center"/>
    </xf>
    <xf numFmtId="0" fontId="75" fillId="0" borderId="34" xfId="0" applyFont="1" applyBorder="1" applyAlignment="1">
      <alignment vertical="center"/>
    </xf>
    <xf numFmtId="0" fontId="74" fillId="0" borderId="0" xfId="0" applyFont="1" applyAlignment="1">
      <alignment vertical="center"/>
    </xf>
    <xf numFmtId="0" fontId="16" fillId="0" borderId="9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0" fontId="16" fillId="0" borderId="1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26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0" fillId="0" borderId="2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30" fillId="4" borderId="14" xfId="0" applyFont="1" applyFill="1" applyBorder="1" applyAlignment="1">
      <alignment vertical="center" wrapText="1"/>
    </xf>
    <xf numFmtId="0" fontId="30" fillId="4" borderId="26" xfId="0" applyFont="1" applyFill="1" applyBorder="1" applyAlignment="1">
      <alignment vertical="center"/>
    </xf>
    <xf numFmtId="0" fontId="30" fillId="4" borderId="3" xfId="0" applyFont="1" applyFill="1" applyBorder="1" applyAlignment="1">
      <alignment vertical="center"/>
    </xf>
    <xf numFmtId="0" fontId="21" fillId="0" borderId="0" xfId="0" applyFont="1" applyAlignment="1">
      <alignment horizontal="center"/>
    </xf>
    <xf numFmtId="182" fontId="3" fillId="4" borderId="5" xfId="0" applyNumberFormat="1" applyFont="1" applyFill="1" applyBorder="1" applyAlignment="1">
      <alignment horizontal="left" vertical="center"/>
    </xf>
    <xf numFmtId="0" fontId="2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73" fillId="4" borderId="14" xfId="0" applyFont="1" applyFill="1" applyBorder="1" applyAlignment="1">
      <alignment horizontal="center" vertical="center"/>
    </xf>
    <xf numFmtId="0" fontId="76" fillId="0" borderId="14" xfId="0" applyFont="1" applyBorder="1" applyAlignment="1">
      <alignment horizontal="center" vertical="center"/>
    </xf>
    <xf numFmtId="20" fontId="76" fillId="4" borderId="14" xfId="0" applyNumberFormat="1" applyFont="1" applyFill="1" applyBorder="1" applyAlignment="1">
      <alignment horizontal="center" vertical="center"/>
    </xf>
    <xf numFmtId="38" fontId="76" fillId="4" borderId="14" xfId="0" applyNumberFormat="1" applyFont="1" applyFill="1" applyBorder="1" applyAlignment="1">
      <alignment horizontal="center" vertical="center"/>
    </xf>
    <xf numFmtId="180" fontId="73" fillId="4" borderId="14" xfId="0" applyNumberFormat="1" applyFont="1" applyFill="1" applyBorder="1" applyAlignment="1">
      <alignment horizontal="center" vertical="center"/>
    </xf>
    <xf numFmtId="0" fontId="73" fillId="4" borderId="0" xfId="0" applyFont="1" applyFill="1" applyBorder="1" applyAlignment="1">
      <alignment horizontal="left" vertical="center"/>
    </xf>
    <xf numFmtId="37" fontId="76" fillId="11" borderId="14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/>
    <xf numFmtId="38" fontId="76" fillId="4" borderId="14" xfId="0" applyNumberFormat="1" applyFont="1" applyFill="1" applyBorder="1" applyAlignment="1">
      <alignment horizontal="right" vertical="center"/>
    </xf>
    <xf numFmtId="0" fontId="73" fillId="4" borderId="1" xfId="0" applyFont="1" applyFill="1" applyBorder="1" applyAlignment="1">
      <alignment horizontal="left" vertical="center"/>
    </xf>
    <xf numFmtId="37" fontId="76" fillId="4" borderId="14" xfId="0" applyNumberFormat="1" applyFont="1" applyFill="1" applyBorder="1" applyAlignment="1">
      <alignment horizontal="right" vertical="center"/>
    </xf>
    <xf numFmtId="185" fontId="9" fillId="8" borderId="1" xfId="0" applyNumberFormat="1" applyFont="1" applyFill="1" applyBorder="1" applyAlignment="1"/>
    <xf numFmtId="0" fontId="73" fillId="4" borderId="26" xfId="0" applyFont="1" applyFill="1" applyBorder="1" applyAlignment="1">
      <alignment horizontal="left" vertical="center"/>
    </xf>
    <xf numFmtId="0" fontId="73" fillId="4" borderId="3" xfId="0" applyFont="1" applyFill="1" applyBorder="1" applyAlignment="1">
      <alignment horizontal="left" vertical="center"/>
    </xf>
    <xf numFmtId="0" fontId="73" fillId="4" borderId="14" xfId="0" applyFont="1" applyFill="1" applyBorder="1" applyAlignment="1">
      <alignment horizontal="left" vertical="center"/>
    </xf>
    <xf numFmtId="37" fontId="76" fillId="0" borderId="14" xfId="0" applyNumberFormat="1" applyFont="1" applyBorder="1" applyAlignment="1">
      <alignment horizontal="right" vertical="center"/>
    </xf>
    <xf numFmtId="0" fontId="73" fillId="4" borderId="0" xfId="0" applyFont="1" applyFill="1" applyBorder="1" applyAlignment="1">
      <alignment horizontal="right" vertical="center"/>
    </xf>
    <xf numFmtId="0" fontId="67" fillId="0" borderId="0" xfId="0" applyFont="1" applyAlignment="1"/>
    <xf numFmtId="37" fontId="76" fillId="9" borderId="14" xfId="0" applyNumberFormat="1" applyFont="1" applyFill="1" applyBorder="1" applyAlignment="1">
      <alignment horizontal="right" vertical="center"/>
    </xf>
    <xf numFmtId="183" fontId="76" fillId="11" borderId="14" xfId="0" applyNumberFormat="1" applyFont="1" applyFill="1" applyBorder="1" applyAlignment="1">
      <alignment horizontal="right" vertical="center"/>
    </xf>
    <xf numFmtId="3" fontId="76" fillId="4" borderId="14" xfId="0" applyNumberFormat="1" applyFont="1" applyFill="1" applyBorder="1" applyAlignment="1">
      <alignment horizontal="right" vertical="center"/>
    </xf>
    <xf numFmtId="0" fontId="73" fillId="4" borderId="14" xfId="0" applyFont="1" applyFill="1" applyBorder="1" applyAlignment="1">
      <alignment horizontal="right" vertical="center"/>
    </xf>
    <xf numFmtId="0" fontId="40" fillId="4" borderId="0" xfId="0" applyFont="1" applyFill="1" applyBorder="1" applyAlignment="1">
      <alignment vertical="center"/>
    </xf>
    <xf numFmtId="0" fontId="77" fillId="0" borderId="21" xfId="0" applyFont="1" applyBorder="1" applyAlignment="1">
      <alignment horizontal="left" vertical="center"/>
    </xf>
    <xf numFmtId="0" fontId="78" fillId="0" borderId="0" xfId="0" applyFont="1" applyAlignment="1">
      <alignment horizontal="right" vertical="center"/>
    </xf>
    <xf numFmtId="0" fontId="9" fillId="0" borderId="24" xfId="0" applyFont="1" applyBorder="1" applyAlignment="1">
      <alignment vertical="center"/>
    </xf>
    <xf numFmtId="20" fontId="14" fillId="0" borderId="0" xfId="0" applyNumberFormat="1" applyFont="1" applyAlignment="1">
      <alignment vertical="center"/>
    </xf>
    <xf numFmtId="0" fontId="78" fillId="0" borderId="0" xfId="0" applyFont="1" applyAlignment="1">
      <alignment vertical="center"/>
    </xf>
    <xf numFmtId="184" fontId="77" fillId="0" borderId="21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21" xfId="0" applyFont="1" applyBorder="1" applyAlignment="1">
      <alignment vertical="center"/>
    </xf>
    <xf numFmtId="0" fontId="9" fillId="14" borderId="22" xfId="0" applyFont="1" applyFill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9" fillId="0" borderId="0" xfId="0" applyFont="1" applyAlignment="1">
      <alignment horizontal="right" vertical="center"/>
    </xf>
    <xf numFmtId="0" fontId="57" fillId="0" borderId="24" xfId="0" applyFont="1" applyBorder="1" applyAlignment="1">
      <alignment vertical="center"/>
    </xf>
    <xf numFmtId="20" fontId="57" fillId="0" borderId="0" xfId="0" applyNumberFormat="1" applyFont="1" applyAlignment="1">
      <alignment vertical="center"/>
    </xf>
    <xf numFmtId="0" fontId="79" fillId="0" borderId="0" xfId="0" applyFont="1" applyAlignment="1">
      <alignment vertical="center"/>
    </xf>
    <xf numFmtId="0" fontId="57" fillId="0" borderId="0" xfId="0" applyFont="1" applyAlignment="1">
      <alignment horizontal="center"/>
    </xf>
    <xf numFmtId="0" fontId="16" fillId="0" borderId="3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6" fillId="0" borderId="45" xfId="0" applyFont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20" fontId="8" fillId="11" borderId="1" xfId="0" applyNumberFormat="1" applyFont="1" applyFill="1" applyBorder="1" applyAlignment="1">
      <alignment horizontal="center"/>
    </xf>
    <xf numFmtId="20" fontId="8" fillId="11" borderId="14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/>
    </xf>
    <xf numFmtId="20" fontId="10" fillId="10" borderId="32" xfId="0" applyNumberFormat="1" applyFont="1" applyFill="1" applyBorder="1" applyAlignment="1">
      <alignment horizontal="center"/>
    </xf>
    <xf numFmtId="20" fontId="75" fillId="0" borderId="0" xfId="0" applyNumberFormat="1" applyFont="1" applyAlignment="1">
      <alignment vertical="center"/>
    </xf>
    <xf numFmtId="0" fontId="10" fillId="3" borderId="4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75" fillId="3" borderId="1" xfId="0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80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" fillId="13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104775</xdr:colOff>
      <xdr:row>34</xdr:row>
      <xdr:rowOff>38100</xdr:rowOff>
    </xdr:from>
    <xdr:ext cx="1409700" cy="428625"/>
    <xdr:pic>
      <xdr:nvPicPr>
        <xdr:cNvPr id="2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372225" y="6191250"/>
          <a:ext cx="1409700" cy="4286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57150</xdr:colOff>
      <xdr:row>40</xdr:row>
      <xdr:rowOff>28575</xdr:rowOff>
    </xdr:from>
    <xdr:ext cx="2162175" cy="714375"/>
    <xdr:sp>
      <xdr:nvSpPr>
        <xdr:cNvPr id="3" name="Shape 3"/>
        <xdr:cNvSpPr/>
      </xdr:nvSpPr>
      <xdr:spPr>
        <a:xfrm>
          <a:off x="4451350" y="28117800"/>
          <a:ext cx="2162175" cy="714375"/>
        </a:xfrm>
        <a:custGeom>
          <a:avLst/>
          <a:gdLst/>
          <a:ahLst/>
          <a:cxnLst/>
          <a:rect l="l" t="t" r="r" b="b"/>
          <a:pathLst>
            <a:path w="2723" h="1449" extrusionOk="0">
              <a:moveTo>
                <a:pt x="1836" y="960"/>
              </a:moveTo>
              <a:cubicBezTo>
                <a:pt x="1821" y="956"/>
                <a:pt x="1786" y="947"/>
                <a:pt x="1750" y="931"/>
              </a:cubicBezTo>
              <a:cubicBezTo>
                <a:pt x="1714" y="915"/>
                <a:pt x="1691" y="905"/>
                <a:pt x="1655" y="882"/>
              </a:cubicBezTo>
              <a:cubicBezTo>
                <a:pt x="1618" y="859"/>
                <a:pt x="1604" y="843"/>
                <a:pt x="1568" y="814"/>
              </a:cubicBezTo>
              <a:cubicBezTo>
                <a:pt x="1531" y="784"/>
                <a:pt x="1510" y="770"/>
                <a:pt x="1472" y="735"/>
              </a:cubicBezTo>
              <a:cubicBezTo>
                <a:pt x="1433" y="700"/>
                <a:pt x="1406" y="677"/>
                <a:pt x="1375" y="638"/>
              </a:cubicBezTo>
              <a:cubicBezTo>
                <a:pt x="1345" y="599"/>
                <a:pt x="1334" y="584"/>
                <a:pt x="1318" y="541"/>
              </a:cubicBezTo>
              <a:cubicBezTo>
                <a:pt x="1303" y="497"/>
                <a:pt x="1303" y="470"/>
                <a:pt x="1299" y="423"/>
              </a:cubicBezTo>
              <a:cubicBezTo>
                <a:pt x="1295" y="376"/>
                <a:pt x="1291" y="351"/>
                <a:pt x="1299" y="306"/>
              </a:cubicBezTo>
              <a:cubicBezTo>
                <a:pt x="1306" y="261"/>
                <a:pt x="1316" y="241"/>
                <a:pt x="1337" y="198"/>
              </a:cubicBezTo>
              <a:cubicBezTo>
                <a:pt x="1358" y="155"/>
                <a:pt x="1374" y="126"/>
                <a:pt x="1404" y="91"/>
              </a:cubicBezTo>
              <a:cubicBezTo>
                <a:pt x="1435" y="55"/>
                <a:pt x="1451" y="40"/>
                <a:pt x="1491" y="23"/>
              </a:cubicBezTo>
              <a:cubicBezTo>
                <a:pt x="1531" y="5"/>
                <a:pt x="1560" y="-5"/>
                <a:pt x="1606" y="3"/>
              </a:cubicBezTo>
              <a:cubicBezTo>
                <a:pt x="1652" y="11"/>
                <a:pt x="1683" y="27"/>
                <a:pt x="1721" y="62"/>
              </a:cubicBezTo>
              <a:cubicBezTo>
                <a:pt x="1760" y="97"/>
                <a:pt x="1777" y="136"/>
                <a:pt x="1798" y="179"/>
              </a:cubicBezTo>
              <a:cubicBezTo>
                <a:pt x="1819" y="222"/>
                <a:pt x="1818" y="236"/>
                <a:pt x="1827" y="276"/>
              </a:cubicBezTo>
              <a:cubicBezTo>
                <a:pt x="1836" y="317"/>
                <a:pt x="1840" y="343"/>
                <a:pt x="1846" y="384"/>
              </a:cubicBezTo>
              <a:cubicBezTo>
                <a:pt x="1851" y="425"/>
                <a:pt x="1854" y="434"/>
                <a:pt x="1856" y="482"/>
              </a:cubicBezTo>
              <a:cubicBezTo>
                <a:pt x="1858" y="529"/>
                <a:pt x="1856" y="566"/>
                <a:pt x="1856" y="619"/>
              </a:cubicBezTo>
              <a:cubicBezTo>
                <a:pt x="1856" y="671"/>
                <a:pt x="1860" y="693"/>
                <a:pt x="1856" y="746"/>
              </a:cubicBezTo>
              <a:cubicBezTo>
                <a:pt x="1852" y="798"/>
                <a:pt x="1848" y="827"/>
                <a:pt x="1836" y="882"/>
              </a:cubicBezTo>
              <a:cubicBezTo>
                <a:pt x="1825" y="937"/>
                <a:pt x="1810" y="968"/>
                <a:pt x="1798" y="1019"/>
              </a:cubicBezTo>
              <a:cubicBezTo>
                <a:pt x="1786" y="1070"/>
                <a:pt x="1787" y="1094"/>
                <a:pt x="1779" y="1137"/>
              </a:cubicBezTo>
              <a:cubicBezTo>
                <a:pt x="1771" y="1180"/>
                <a:pt x="1767" y="1197"/>
                <a:pt x="1760" y="1234"/>
              </a:cubicBezTo>
              <a:cubicBezTo>
                <a:pt x="1752" y="1271"/>
                <a:pt x="1756" y="1326"/>
                <a:pt x="1741" y="1322"/>
              </a:cubicBezTo>
              <a:cubicBezTo>
                <a:pt x="1725" y="1318"/>
                <a:pt x="1704" y="1261"/>
                <a:pt x="1683" y="1214"/>
              </a:cubicBezTo>
              <a:cubicBezTo>
                <a:pt x="1662" y="1167"/>
                <a:pt x="1658" y="1136"/>
                <a:pt x="1635" y="1087"/>
              </a:cubicBezTo>
              <a:cubicBezTo>
                <a:pt x="1612" y="1039"/>
                <a:pt x="1597" y="1017"/>
                <a:pt x="1568" y="970"/>
              </a:cubicBezTo>
              <a:cubicBezTo>
                <a:pt x="1539" y="923"/>
                <a:pt x="1525" y="897"/>
                <a:pt x="1491" y="853"/>
              </a:cubicBezTo>
              <a:cubicBezTo>
                <a:pt x="1456" y="808"/>
                <a:pt x="1437" y="785"/>
                <a:pt x="1395" y="746"/>
              </a:cubicBezTo>
              <a:cubicBezTo>
                <a:pt x="1353" y="707"/>
                <a:pt x="1332" y="691"/>
                <a:pt x="1280" y="658"/>
              </a:cubicBezTo>
              <a:cubicBezTo>
                <a:pt x="1228" y="624"/>
                <a:pt x="1193" y="609"/>
                <a:pt x="1136" y="580"/>
              </a:cubicBezTo>
              <a:cubicBezTo>
                <a:pt x="1078" y="550"/>
                <a:pt x="1052" y="533"/>
                <a:pt x="992" y="511"/>
              </a:cubicBezTo>
              <a:cubicBezTo>
                <a:pt x="933" y="490"/>
                <a:pt x="902" y="484"/>
                <a:pt x="839" y="472"/>
              </a:cubicBezTo>
              <a:cubicBezTo>
                <a:pt x="775" y="460"/>
                <a:pt x="739" y="454"/>
                <a:pt x="675" y="452"/>
              </a:cubicBezTo>
              <a:cubicBezTo>
                <a:pt x="612" y="450"/>
                <a:pt x="583" y="446"/>
                <a:pt x="522" y="462"/>
              </a:cubicBezTo>
              <a:cubicBezTo>
                <a:pt x="461" y="478"/>
                <a:pt x="416" y="507"/>
                <a:pt x="368" y="530"/>
              </a:cubicBezTo>
              <a:cubicBezTo>
                <a:pt x="320" y="553"/>
                <a:pt x="326" y="549"/>
                <a:pt x="282" y="580"/>
              </a:cubicBezTo>
              <a:cubicBezTo>
                <a:pt x="238" y="611"/>
                <a:pt x="191" y="636"/>
                <a:pt x="147" y="687"/>
              </a:cubicBezTo>
              <a:cubicBezTo>
                <a:pt x="103" y="738"/>
                <a:pt x="86" y="786"/>
                <a:pt x="61" y="833"/>
              </a:cubicBezTo>
              <a:cubicBezTo>
                <a:pt x="36" y="881"/>
                <a:pt x="34" y="886"/>
                <a:pt x="23" y="921"/>
              </a:cubicBezTo>
              <a:cubicBezTo>
                <a:pt x="11" y="956"/>
                <a:pt x="7" y="974"/>
                <a:pt x="3" y="1009"/>
              </a:cubicBezTo>
              <a:cubicBezTo>
                <a:pt x="-1" y="1044"/>
                <a:pt x="-1" y="1055"/>
                <a:pt x="3" y="1098"/>
              </a:cubicBezTo>
              <a:cubicBezTo>
                <a:pt x="7" y="1141"/>
                <a:pt x="3" y="1176"/>
                <a:pt x="23" y="1224"/>
              </a:cubicBezTo>
              <a:cubicBezTo>
                <a:pt x="42" y="1273"/>
                <a:pt x="66" y="1308"/>
                <a:pt x="99" y="1342"/>
              </a:cubicBezTo>
              <a:cubicBezTo>
                <a:pt x="132" y="1375"/>
                <a:pt x="149" y="1373"/>
                <a:pt x="186" y="1390"/>
              </a:cubicBezTo>
              <a:cubicBezTo>
                <a:pt x="222" y="1408"/>
                <a:pt x="238" y="1418"/>
                <a:pt x="282" y="1430"/>
              </a:cubicBezTo>
              <a:cubicBezTo>
                <a:pt x="326" y="1442"/>
                <a:pt x="353" y="1447"/>
                <a:pt x="407" y="1449"/>
              </a:cubicBezTo>
              <a:cubicBezTo>
                <a:pt x="460" y="1450"/>
                <a:pt x="496" y="1445"/>
                <a:pt x="550" y="1439"/>
              </a:cubicBezTo>
              <a:cubicBezTo>
                <a:pt x="604" y="1434"/>
                <a:pt x="616" y="1432"/>
                <a:pt x="675" y="1420"/>
              </a:cubicBezTo>
              <a:cubicBezTo>
                <a:pt x="735" y="1408"/>
                <a:pt x="777" y="1398"/>
                <a:pt x="848" y="1381"/>
              </a:cubicBezTo>
              <a:cubicBezTo>
                <a:pt x="919" y="1363"/>
                <a:pt x="963" y="1351"/>
                <a:pt x="1031" y="1331"/>
              </a:cubicBezTo>
              <a:cubicBezTo>
                <a:pt x="1098" y="1311"/>
                <a:pt x="1119" y="1302"/>
                <a:pt x="1184" y="1283"/>
              </a:cubicBezTo>
              <a:cubicBezTo>
                <a:pt x="1249" y="1264"/>
                <a:pt x="1288" y="1256"/>
                <a:pt x="1357" y="1234"/>
              </a:cubicBezTo>
              <a:cubicBezTo>
                <a:pt x="1426" y="1213"/>
                <a:pt x="1464" y="1198"/>
                <a:pt x="1529" y="1175"/>
              </a:cubicBezTo>
              <a:cubicBezTo>
                <a:pt x="1594" y="1152"/>
                <a:pt x="1618" y="1140"/>
                <a:pt x="1683" y="1117"/>
              </a:cubicBezTo>
              <a:cubicBezTo>
                <a:pt x="1748" y="1094"/>
                <a:pt x="1787" y="1082"/>
                <a:pt x="1856" y="1058"/>
              </a:cubicBezTo>
              <a:cubicBezTo>
                <a:pt x="1925" y="1035"/>
                <a:pt x="1959" y="1023"/>
                <a:pt x="2028" y="999"/>
              </a:cubicBezTo>
              <a:cubicBezTo>
                <a:pt x="2097" y="976"/>
                <a:pt x="2140" y="963"/>
                <a:pt x="2201" y="941"/>
              </a:cubicBezTo>
              <a:cubicBezTo>
                <a:pt x="2262" y="920"/>
                <a:pt x="2280" y="909"/>
                <a:pt x="2336" y="892"/>
              </a:cubicBezTo>
              <a:cubicBezTo>
                <a:pt x="2391" y="874"/>
                <a:pt x="2430" y="870"/>
                <a:pt x="2480" y="853"/>
              </a:cubicBezTo>
              <a:cubicBezTo>
                <a:pt x="2530" y="835"/>
                <a:pt x="2537" y="821"/>
                <a:pt x="2585" y="804"/>
              </a:cubicBezTo>
              <a:cubicBezTo>
                <a:pt x="2633" y="786"/>
                <a:pt x="2676" y="777"/>
                <a:pt x="2720" y="765"/>
              </a:cubicBezTo>
              <a:cubicBezTo>
                <a:pt x="2764" y="753"/>
                <a:pt x="2306" y="916"/>
                <a:pt x="2321" y="913"/>
              </a:cubicBezTo>
            </a:path>
          </a:pathLst>
        </a:custGeom>
        <a:noFill/>
        <a:ln w="31750" cap="rnd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1</xdr:col>
      <xdr:colOff>9525</xdr:colOff>
      <xdr:row>1</xdr:row>
      <xdr:rowOff>19050</xdr:rowOff>
    </xdr:from>
    <xdr:ext cx="1657350" cy="809625"/>
    <xdr:pic>
      <xdr:nvPicPr>
        <xdr:cNvPr id="2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0495" y="219075"/>
          <a:ext cx="16573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342900</xdr:colOff>
      <xdr:row>36</xdr:row>
      <xdr:rowOff>66675</xdr:rowOff>
    </xdr:from>
    <xdr:ext cx="1257300" cy="847725"/>
    <xdr:sp>
      <xdr:nvSpPr>
        <xdr:cNvPr id="4" name="Shape 4"/>
        <xdr:cNvSpPr/>
      </xdr:nvSpPr>
      <xdr:spPr>
        <a:xfrm>
          <a:off x="6320155" y="20259675"/>
          <a:ext cx="1257300" cy="847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36</xdr:row>
      <xdr:rowOff>66675</xdr:rowOff>
    </xdr:from>
    <xdr:ext cx="1181100" cy="847725"/>
    <xdr:sp>
      <xdr:nvSpPr>
        <xdr:cNvPr id="5" name="Shape 5"/>
        <xdr:cNvSpPr/>
      </xdr:nvSpPr>
      <xdr:spPr>
        <a:xfrm>
          <a:off x="14408785" y="20259675"/>
          <a:ext cx="1181100" cy="847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6</xdr:col>
      <xdr:colOff>381000</xdr:colOff>
      <xdr:row>37</xdr:row>
      <xdr:rowOff>76200</xdr:rowOff>
    </xdr:from>
    <xdr:ext cx="1285875" cy="609600"/>
    <xdr:sp>
      <xdr:nvSpPr>
        <xdr:cNvPr id="6" name="Shape 6"/>
        <xdr:cNvSpPr/>
      </xdr:nvSpPr>
      <xdr:spPr>
        <a:xfrm>
          <a:off x="4878070" y="20469225"/>
          <a:ext cx="1285875" cy="609600"/>
        </a:xfrm>
        <a:custGeom>
          <a:avLst/>
          <a:gdLst/>
          <a:ahLst/>
          <a:cxnLst/>
          <a:rect l="l" t="t" r="r" b="b"/>
          <a:pathLst>
            <a:path w="2723" h="1449" extrusionOk="0">
              <a:moveTo>
                <a:pt x="1836" y="960"/>
              </a:moveTo>
              <a:cubicBezTo>
                <a:pt x="1821" y="956"/>
                <a:pt x="1786" y="947"/>
                <a:pt x="1750" y="931"/>
              </a:cubicBezTo>
              <a:cubicBezTo>
                <a:pt x="1714" y="915"/>
                <a:pt x="1691" y="905"/>
                <a:pt x="1655" y="882"/>
              </a:cubicBezTo>
              <a:cubicBezTo>
                <a:pt x="1618" y="859"/>
                <a:pt x="1604" y="843"/>
                <a:pt x="1568" y="814"/>
              </a:cubicBezTo>
              <a:cubicBezTo>
                <a:pt x="1531" y="784"/>
                <a:pt x="1510" y="770"/>
                <a:pt x="1472" y="735"/>
              </a:cubicBezTo>
              <a:cubicBezTo>
                <a:pt x="1433" y="700"/>
                <a:pt x="1406" y="677"/>
                <a:pt x="1375" y="638"/>
              </a:cubicBezTo>
              <a:cubicBezTo>
                <a:pt x="1345" y="599"/>
                <a:pt x="1334" y="584"/>
                <a:pt x="1318" y="541"/>
              </a:cubicBezTo>
              <a:cubicBezTo>
                <a:pt x="1303" y="497"/>
                <a:pt x="1303" y="470"/>
                <a:pt x="1299" y="423"/>
              </a:cubicBezTo>
              <a:cubicBezTo>
                <a:pt x="1295" y="376"/>
                <a:pt x="1291" y="351"/>
                <a:pt x="1299" y="306"/>
              </a:cubicBezTo>
              <a:cubicBezTo>
                <a:pt x="1306" y="261"/>
                <a:pt x="1316" y="241"/>
                <a:pt x="1337" y="198"/>
              </a:cubicBezTo>
              <a:cubicBezTo>
                <a:pt x="1358" y="155"/>
                <a:pt x="1374" y="126"/>
                <a:pt x="1404" y="91"/>
              </a:cubicBezTo>
              <a:cubicBezTo>
                <a:pt x="1435" y="55"/>
                <a:pt x="1451" y="40"/>
                <a:pt x="1491" y="23"/>
              </a:cubicBezTo>
              <a:cubicBezTo>
                <a:pt x="1531" y="5"/>
                <a:pt x="1560" y="-5"/>
                <a:pt x="1606" y="3"/>
              </a:cubicBezTo>
              <a:cubicBezTo>
                <a:pt x="1652" y="11"/>
                <a:pt x="1683" y="27"/>
                <a:pt x="1721" y="62"/>
              </a:cubicBezTo>
              <a:cubicBezTo>
                <a:pt x="1760" y="97"/>
                <a:pt x="1777" y="136"/>
                <a:pt x="1798" y="179"/>
              </a:cubicBezTo>
              <a:cubicBezTo>
                <a:pt x="1819" y="222"/>
                <a:pt x="1818" y="236"/>
                <a:pt x="1827" y="276"/>
              </a:cubicBezTo>
              <a:cubicBezTo>
                <a:pt x="1836" y="317"/>
                <a:pt x="1840" y="343"/>
                <a:pt x="1846" y="384"/>
              </a:cubicBezTo>
              <a:cubicBezTo>
                <a:pt x="1851" y="425"/>
                <a:pt x="1854" y="434"/>
                <a:pt x="1856" y="482"/>
              </a:cubicBezTo>
              <a:cubicBezTo>
                <a:pt x="1858" y="529"/>
                <a:pt x="1856" y="566"/>
                <a:pt x="1856" y="619"/>
              </a:cubicBezTo>
              <a:cubicBezTo>
                <a:pt x="1856" y="671"/>
                <a:pt x="1860" y="693"/>
                <a:pt x="1856" y="746"/>
              </a:cubicBezTo>
              <a:cubicBezTo>
                <a:pt x="1852" y="798"/>
                <a:pt x="1848" y="827"/>
                <a:pt x="1836" y="882"/>
              </a:cubicBezTo>
              <a:cubicBezTo>
                <a:pt x="1825" y="937"/>
                <a:pt x="1810" y="968"/>
                <a:pt x="1798" y="1019"/>
              </a:cubicBezTo>
              <a:cubicBezTo>
                <a:pt x="1786" y="1070"/>
                <a:pt x="1787" y="1094"/>
                <a:pt x="1779" y="1137"/>
              </a:cubicBezTo>
              <a:cubicBezTo>
                <a:pt x="1771" y="1180"/>
                <a:pt x="1767" y="1197"/>
                <a:pt x="1760" y="1234"/>
              </a:cubicBezTo>
              <a:cubicBezTo>
                <a:pt x="1752" y="1271"/>
                <a:pt x="1756" y="1326"/>
                <a:pt x="1741" y="1322"/>
              </a:cubicBezTo>
              <a:cubicBezTo>
                <a:pt x="1725" y="1318"/>
                <a:pt x="1704" y="1261"/>
                <a:pt x="1683" y="1214"/>
              </a:cubicBezTo>
              <a:cubicBezTo>
                <a:pt x="1662" y="1167"/>
                <a:pt x="1658" y="1136"/>
                <a:pt x="1635" y="1087"/>
              </a:cubicBezTo>
              <a:cubicBezTo>
                <a:pt x="1612" y="1039"/>
                <a:pt x="1597" y="1017"/>
                <a:pt x="1568" y="970"/>
              </a:cubicBezTo>
              <a:cubicBezTo>
                <a:pt x="1539" y="923"/>
                <a:pt x="1525" y="897"/>
                <a:pt x="1491" y="853"/>
              </a:cubicBezTo>
              <a:cubicBezTo>
                <a:pt x="1456" y="808"/>
                <a:pt x="1437" y="785"/>
                <a:pt x="1395" y="746"/>
              </a:cubicBezTo>
              <a:cubicBezTo>
                <a:pt x="1353" y="707"/>
                <a:pt x="1332" y="691"/>
                <a:pt x="1280" y="658"/>
              </a:cubicBezTo>
              <a:cubicBezTo>
                <a:pt x="1228" y="624"/>
                <a:pt x="1193" y="609"/>
                <a:pt x="1136" y="580"/>
              </a:cubicBezTo>
              <a:cubicBezTo>
                <a:pt x="1078" y="550"/>
                <a:pt x="1052" y="533"/>
                <a:pt x="992" y="511"/>
              </a:cubicBezTo>
              <a:cubicBezTo>
                <a:pt x="933" y="490"/>
                <a:pt x="902" y="484"/>
                <a:pt x="839" y="472"/>
              </a:cubicBezTo>
              <a:cubicBezTo>
                <a:pt x="775" y="460"/>
                <a:pt x="739" y="454"/>
                <a:pt x="675" y="452"/>
              </a:cubicBezTo>
              <a:cubicBezTo>
                <a:pt x="612" y="450"/>
                <a:pt x="583" y="446"/>
                <a:pt x="522" y="462"/>
              </a:cubicBezTo>
              <a:cubicBezTo>
                <a:pt x="461" y="478"/>
                <a:pt x="416" y="507"/>
                <a:pt x="368" y="530"/>
              </a:cubicBezTo>
              <a:cubicBezTo>
                <a:pt x="320" y="553"/>
                <a:pt x="326" y="549"/>
                <a:pt x="282" y="580"/>
              </a:cubicBezTo>
              <a:cubicBezTo>
                <a:pt x="238" y="611"/>
                <a:pt x="191" y="636"/>
                <a:pt x="147" y="687"/>
              </a:cubicBezTo>
              <a:cubicBezTo>
                <a:pt x="103" y="738"/>
                <a:pt x="86" y="786"/>
                <a:pt x="61" y="833"/>
              </a:cubicBezTo>
              <a:cubicBezTo>
                <a:pt x="36" y="881"/>
                <a:pt x="34" y="886"/>
                <a:pt x="23" y="921"/>
              </a:cubicBezTo>
              <a:cubicBezTo>
                <a:pt x="11" y="956"/>
                <a:pt x="7" y="974"/>
                <a:pt x="3" y="1009"/>
              </a:cubicBezTo>
              <a:cubicBezTo>
                <a:pt x="-1" y="1044"/>
                <a:pt x="-1" y="1055"/>
                <a:pt x="3" y="1098"/>
              </a:cubicBezTo>
              <a:cubicBezTo>
                <a:pt x="7" y="1141"/>
                <a:pt x="3" y="1176"/>
                <a:pt x="23" y="1224"/>
              </a:cubicBezTo>
              <a:cubicBezTo>
                <a:pt x="42" y="1273"/>
                <a:pt x="66" y="1308"/>
                <a:pt x="99" y="1342"/>
              </a:cubicBezTo>
              <a:cubicBezTo>
                <a:pt x="132" y="1375"/>
                <a:pt x="149" y="1373"/>
                <a:pt x="186" y="1390"/>
              </a:cubicBezTo>
              <a:cubicBezTo>
                <a:pt x="222" y="1408"/>
                <a:pt x="238" y="1418"/>
                <a:pt x="282" y="1430"/>
              </a:cubicBezTo>
              <a:cubicBezTo>
                <a:pt x="326" y="1442"/>
                <a:pt x="353" y="1447"/>
                <a:pt x="407" y="1449"/>
              </a:cubicBezTo>
              <a:cubicBezTo>
                <a:pt x="460" y="1450"/>
                <a:pt x="496" y="1445"/>
                <a:pt x="550" y="1439"/>
              </a:cubicBezTo>
              <a:cubicBezTo>
                <a:pt x="604" y="1434"/>
                <a:pt x="616" y="1432"/>
                <a:pt x="675" y="1420"/>
              </a:cubicBezTo>
              <a:cubicBezTo>
                <a:pt x="735" y="1408"/>
                <a:pt x="777" y="1398"/>
                <a:pt x="848" y="1381"/>
              </a:cubicBezTo>
              <a:cubicBezTo>
                <a:pt x="919" y="1363"/>
                <a:pt x="963" y="1351"/>
                <a:pt x="1031" y="1331"/>
              </a:cubicBezTo>
              <a:cubicBezTo>
                <a:pt x="1098" y="1311"/>
                <a:pt x="1119" y="1302"/>
                <a:pt x="1184" y="1283"/>
              </a:cubicBezTo>
              <a:cubicBezTo>
                <a:pt x="1249" y="1264"/>
                <a:pt x="1288" y="1256"/>
                <a:pt x="1357" y="1234"/>
              </a:cubicBezTo>
              <a:cubicBezTo>
                <a:pt x="1426" y="1213"/>
                <a:pt x="1464" y="1198"/>
                <a:pt x="1529" y="1175"/>
              </a:cubicBezTo>
              <a:cubicBezTo>
                <a:pt x="1594" y="1152"/>
                <a:pt x="1618" y="1140"/>
                <a:pt x="1683" y="1117"/>
              </a:cubicBezTo>
              <a:cubicBezTo>
                <a:pt x="1748" y="1094"/>
                <a:pt x="1787" y="1082"/>
                <a:pt x="1856" y="1058"/>
              </a:cubicBezTo>
              <a:cubicBezTo>
                <a:pt x="1925" y="1035"/>
                <a:pt x="1959" y="1023"/>
                <a:pt x="2028" y="999"/>
              </a:cubicBezTo>
              <a:cubicBezTo>
                <a:pt x="2097" y="976"/>
                <a:pt x="2140" y="963"/>
                <a:pt x="2201" y="941"/>
              </a:cubicBezTo>
              <a:cubicBezTo>
                <a:pt x="2262" y="920"/>
                <a:pt x="2280" y="909"/>
                <a:pt x="2336" y="892"/>
              </a:cubicBezTo>
              <a:cubicBezTo>
                <a:pt x="2391" y="874"/>
                <a:pt x="2430" y="870"/>
                <a:pt x="2480" y="853"/>
              </a:cubicBezTo>
              <a:cubicBezTo>
                <a:pt x="2530" y="835"/>
                <a:pt x="2537" y="821"/>
                <a:pt x="2585" y="804"/>
              </a:cubicBezTo>
              <a:cubicBezTo>
                <a:pt x="2633" y="786"/>
                <a:pt x="2676" y="777"/>
                <a:pt x="2720" y="765"/>
              </a:cubicBezTo>
              <a:cubicBezTo>
                <a:pt x="2764" y="753"/>
                <a:pt x="2306" y="916"/>
                <a:pt x="2321" y="913"/>
              </a:cubicBezTo>
            </a:path>
          </a:pathLst>
        </a:custGeom>
        <a:noFill/>
        <a:ln w="31750" cap="rnd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</xdr:row>
      <xdr:rowOff>0</xdr:rowOff>
    </xdr:from>
    <xdr:ext cx="1609725" cy="809625"/>
    <xdr:pic>
      <xdr:nvPicPr>
        <xdr:cNvPr id="2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0970" y="200025"/>
          <a:ext cx="1609725" cy="8096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161925</xdr:colOff>
      <xdr:row>1</xdr:row>
      <xdr:rowOff>104775</xdr:rowOff>
    </xdr:from>
    <xdr:ext cx="1285875" cy="128587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02895" y="304800"/>
          <a:ext cx="1285875" cy="1285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45</xdr:col>
      <xdr:colOff>419100</xdr:colOff>
      <xdr:row>33</xdr:row>
      <xdr:rowOff>0</xdr:rowOff>
    </xdr:from>
    <xdr:ext cx="1409700" cy="695325"/>
    <xdr:pic>
      <xdr:nvPicPr>
        <xdr:cNvPr id="2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492605" y="7959725"/>
          <a:ext cx="14097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504825</xdr:colOff>
      <xdr:row>33</xdr:row>
      <xdr:rowOff>0</xdr:rowOff>
    </xdr:from>
    <xdr:ext cx="1409700" cy="704850"/>
    <xdr:pic>
      <xdr:nvPicPr>
        <xdr:cNvPr id="3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671175" y="7959725"/>
          <a:ext cx="140970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</xdr:colOff>
      <xdr:row>33</xdr:row>
      <xdr:rowOff>0</xdr:rowOff>
    </xdr:from>
    <xdr:ext cx="1381125" cy="695325"/>
    <xdr:pic>
      <xdr:nvPicPr>
        <xdr:cNvPr id="4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765290" y="7959725"/>
          <a:ext cx="13811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33</xdr:row>
      <xdr:rowOff>0</xdr:rowOff>
    </xdr:from>
    <xdr:ext cx="1409700" cy="704850"/>
    <xdr:pic>
      <xdr:nvPicPr>
        <xdr:cNvPr id="5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586355" y="7959725"/>
          <a:ext cx="1409700" cy="7048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9525</xdr:colOff>
      <xdr:row>38</xdr:row>
      <xdr:rowOff>28575</xdr:rowOff>
    </xdr:from>
    <xdr:ext cx="2057400" cy="628650"/>
    <xdr:sp>
      <xdr:nvSpPr>
        <xdr:cNvPr id="7" name="Shape 7"/>
        <xdr:cNvSpPr/>
      </xdr:nvSpPr>
      <xdr:spPr>
        <a:xfrm>
          <a:off x="4506595" y="20069175"/>
          <a:ext cx="2057400" cy="628650"/>
        </a:xfrm>
        <a:custGeom>
          <a:avLst/>
          <a:gdLst/>
          <a:ahLst/>
          <a:cxnLst/>
          <a:rect l="l" t="t" r="r" b="b"/>
          <a:pathLst>
            <a:path w="2723" h="1449" extrusionOk="0">
              <a:moveTo>
                <a:pt x="1836" y="960"/>
              </a:moveTo>
              <a:cubicBezTo>
                <a:pt x="1821" y="956"/>
                <a:pt x="1786" y="947"/>
                <a:pt x="1750" y="931"/>
              </a:cubicBezTo>
              <a:cubicBezTo>
                <a:pt x="1714" y="915"/>
                <a:pt x="1691" y="905"/>
                <a:pt x="1655" y="882"/>
              </a:cubicBezTo>
              <a:cubicBezTo>
                <a:pt x="1618" y="859"/>
                <a:pt x="1604" y="843"/>
                <a:pt x="1568" y="814"/>
              </a:cubicBezTo>
              <a:cubicBezTo>
                <a:pt x="1531" y="784"/>
                <a:pt x="1510" y="770"/>
                <a:pt x="1472" y="735"/>
              </a:cubicBezTo>
              <a:cubicBezTo>
                <a:pt x="1433" y="700"/>
                <a:pt x="1406" y="677"/>
                <a:pt x="1375" y="638"/>
              </a:cubicBezTo>
              <a:cubicBezTo>
                <a:pt x="1345" y="599"/>
                <a:pt x="1334" y="584"/>
                <a:pt x="1318" y="541"/>
              </a:cubicBezTo>
              <a:cubicBezTo>
                <a:pt x="1303" y="497"/>
                <a:pt x="1303" y="470"/>
                <a:pt x="1299" y="423"/>
              </a:cubicBezTo>
              <a:cubicBezTo>
                <a:pt x="1295" y="376"/>
                <a:pt x="1291" y="351"/>
                <a:pt x="1299" y="306"/>
              </a:cubicBezTo>
              <a:cubicBezTo>
                <a:pt x="1306" y="261"/>
                <a:pt x="1316" y="241"/>
                <a:pt x="1337" y="198"/>
              </a:cubicBezTo>
              <a:cubicBezTo>
                <a:pt x="1358" y="155"/>
                <a:pt x="1374" y="126"/>
                <a:pt x="1404" y="91"/>
              </a:cubicBezTo>
              <a:cubicBezTo>
                <a:pt x="1435" y="55"/>
                <a:pt x="1451" y="40"/>
                <a:pt x="1491" y="23"/>
              </a:cubicBezTo>
              <a:cubicBezTo>
                <a:pt x="1531" y="5"/>
                <a:pt x="1560" y="-5"/>
                <a:pt x="1606" y="3"/>
              </a:cubicBezTo>
              <a:cubicBezTo>
                <a:pt x="1652" y="11"/>
                <a:pt x="1683" y="27"/>
                <a:pt x="1721" y="62"/>
              </a:cubicBezTo>
              <a:cubicBezTo>
                <a:pt x="1760" y="97"/>
                <a:pt x="1777" y="136"/>
                <a:pt x="1798" y="179"/>
              </a:cubicBezTo>
              <a:cubicBezTo>
                <a:pt x="1819" y="222"/>
                <a:pt x="1818" y="236"/>
                <a:pt x="1827" y="276"/>
              </a:cubicBezTo>
              <a:cubicBezTo>
                <a:pt x="1836" y="317"/>
                <a:pt x="1840" y="343"/>
                <a:pt x="1846" y="384"/>
              </a:cubicBezTo>
              <a:cubicBezTo>
                <a:pt x="1851" y="425"/>
                <a:pt x="1854" y="434"/>
                <a:pt x="1856" y="482"/>
              </a:cubicBezTo>
              <a:cubicBezTo>
                <a:pt x="1858" y="529"/>
                <a:pt x="1856" y="566"/>
                <a:pt x="1856" y="619"/>
              </a:cubicBezTo>
              <a:cubicBezTo>
                <a:pt x="1856" y="671"/>
                <a:pt x="1860" y="693"/>
                <a:pt x="1856" y="746"/>
              </a:cubicBezTo>
              <a:cubicBezTo>
                <a:pt x="1852" y="798"/>
                <a:pt x="1848" y="827"/>
                <a:pt x="1836" y="882"/>
              </a:cubicBezTo>
              <a:cubicBezTo>
                <a:pt x="1825" y="937"/>
                <a:pt x="1810" y="968"/>
                <a:pt x="1798" y="1019"/>
              </a:cubicBezTo>
              <a:cubicBezTo>
                <a:pt x="1786" y="1070"/>
                <a:pt x="1787" y="1094"/>
                <a:pt x="1779" y="1137"/>
              </a:cubicBezTo>
              <a:cubicBezTo>
                <a:pt x="1771" y="1180"/>
                <a:pt x="1767" y="1197"/>
                <a:pt x="1760" y="1234"/>
              </a:cubicBezTo>
              <a:cubicBezTo>
                <a:pt x="1752" y="1271"/>
                <a:pt x="1756" y="1326"/>
                <a:pt x="1741" y="1322"/>
              </a:cubicBezTo>
              <a:cubicBezTo>
                <a:pt x="1725" y="1318"/>
                <a:pt x="1704" y="1261"/>
                <a:pt x="1683" y="1214"/>
              </a:cubicBezTo>
              <a:cubicBezTo>
                <a:pt x="1662" y="1167"/>
                <a:pt x="1658" y="1136"/>
                <a:pt x="1635" y="1087"/>
              </a:cubicBezTo>
              <a:cubicBezTo>
                <a:pt x="1612" y="1039"/>
                <a:pt x="1597" y="1017"/>
                <a:pt x="1568" y="970"/>
              </a:cubicBezTo>
              <a:cubicBezTo>
                <a:pt x="1539" y="923"/>
                <a:pt x="1525" y="897"/>
                <a:pt x="1491" y="853"/>
              </a:cubicBezTo>
              <a:cubicBezTo>
                <a:pt x="1456" y="808"/>
                <a:pt x="1437" y="785"/>
                <a:pt x="1395" y="746"/>
              </a:cubicBezTo>
              <a:cubicBezTo>
                <a:pt x="1353" y="707"/>
                <a:pt x="1332" y="691"/>
                <a:pt x="1280" y="658"/>
              </a:cubicBezTo>
              <a:cubicBezTo>
                <a:pt x="1228" y="624"/>
                <a:pt x="1193" y="609"/>
                <a:pt x="1136" y="580"/>
              </a:cubicBezTo>
              <a:cubicBezTo>
                <a:pt x="1078" y="550"/>
                <a:pt x="1052" y="533"/>
                <a:pt x="992" y="511"/>
              </a:cubicBezTo>
              <a:cubicBezTo>
                <a:pt x="933" y="490"/>
                <a:pt x="902" y="484"/>
                <a:pt x="839" y="472"/>
              </a:cubicBezTo>
              <a:cubicBezTo>
                <a:pt x="775" y="460"/>
                <a:pt x="739" y="454"/>
                <a:pt x="675" y="452"/>
              </a:cubicBezTo>
              <a:cubicBezTo>
                <a:pt x="612" y="450"/>
                <a:pt x="583" y="446"/>
                <a:pt x="522" y="462"/>
              </a:cubicBezTo>
              <a:cubicBezTo>
                <a:pt x="461" y="478"/>
                <a:pt x="416" y="507"/>
                <a:pt x="368" y="530"/>
              </a:cubicBezTo>
              <a:cubicBezTo>
                <a:pt x="320" y="553"/>
                <a:pt x="326" y="549"/>
                <a:pt x="282" y="580"/>
              </a:cubicBezTo>
              <a:cubicBezTo>
                <a:pt x="238" y="611"/>
                <a:pt x="191" y="636"/>
                <a:pt x="147" y="687"/>
              </a:cubicBezTo>
              <a:cubicBezTo>
                <a:pt x="103" y="738"/>
                <a:pt x="86" y="786"/>
                <a:pt x="61" y="833"/>
              </a:cubicBezTo>
              <a:cubicBezTo>
                <a:pt x="36" y="881"/>
                <a:pt x="34" y="886"/>
                <a:pt x="23" y="921"/>
              </a:cubicBezTo>
              <a:cubicBezTo>
                <a:pt x="11" y="956"/>
                <a:pt x="7" y="974"/>
                <a:pt x="3" y="1009"/>
              </a:cubicBezTo>
              <a:cubicBezTo>
                <a:pt x="-1" y="1044"/>
                <a:pt x="-1" y="1055"/>
                <a:pt x="3" y="1098"/>
              </a:cubicBezTo>
              <a:cubicBezTo>
                <a:pt x="7" y="1141"/>
                <a:pt x="3" y="1176"/>
                <a:pt x="23" y="1224"/>
              </a:cubicBezTo>
              <a:cubicBezTo>
                <a:pt x="42" y="1273"/>
                <a:pt x="66" y="1308"/>
                <a:pt x="99" y="1342"/>
              </a:cubicBezTo>
              <a:cubicBezTo>
                <a:pt x="132" y="1375"/>
                <a:pt x="149" y="1373"/>
                <a:pt x="186" y="1390"/>
              </a:cubicBezTo>
              <a:cubicBezTo>
                <a:pt x="222" y="1408"/>
                <a:pt x="238" y="1418"/>
                <a:pt x="282" y="1430"/>
              </a:cubicBezTo>
              <a:cubicBezTo>
                <a:pt x="326" y="1442"/>
                <a:pt x="353" y="1447"/>
                <a:pt x="407" y="1449"/>
              </a:cubicBezTo>
              <a:cubicBezTo>
                <a:pt x="460" y="1450"/>
                <a:pt x="496" y="1445"/>
                <a:pt x="550" y="1439"/>
              </a:cubicBezTo>
              <a:cubicBezTo>
                <a:pt x="604" y="1434"/>
                <a:pt x="616" y="1432"/>
                <a:pt x="675" y="1420"/>
              </a:cubicBezTo>
              <a:cubicBezTo>
                <a:pt x="735" y="1408"/>
                <a:pt x="777" y="1398"/>
                <a:pt x="848" y="1381"/>
              </a:cubicBezTo>
              <a:cubicBezTo>
                <a:pt x="919" y="1363"/>
                <a:pt x="963" y="1351"/>
                <a:pt x="1031" y="1331"/>
              </a:cubicBezTo>
              <a:cubicBezTo>
                <a:pt x="1098" y="1311"/>
                <a:pt x="1119" y="1302"/>
                <a:pt x="1184" y="1283"/>
              </a:cubicBezTo>
              <a:cubicBezTo>
                <a:pt x="1249" y="1264"/>
                <a:pt x="1288" y="1256"/>
                <a:pt x="1357" y="1234"/>
              </a:cubicBezTo>
              <a:cubicBezTo>
                <a:pt x="1426" y="1213"/>
                <a:pt x="1464" y="1198"/>
                <a:pt x="1529" y="1175"/>
              </a:cubicBezTo>
              <a:cubicBezTo>
                <a:pt x="1594" y="1152"/>
                <a:pt x="1618" y="1140"/>
                <a:pt x="1683" y="1117"/>
              </a:cubicBezTo>
              <a:cubicBezTo>
                <a:pt x="1748" y="1094"/>
                <a:pt x="1787" y="1082"/>
                <a:pt x="1856" y="1058"/>
              </a:cubicBezTo>
              <a:cubicBezTo>
                <a:pt x="1925" y="1035"/>
                <a:pt x="1959" y="1023"/>
                <a:pt x="2028" y="999"/>
              </a:cubicBezTo>
              <a:cubicBezTo>
                <a:pt x="2097" y="976"/>
                <a:pt x="2140" y="963"/>
                <a:pt x="2201" y="941"/>
              </a:cubicBezTo>
              <a:cubicBezTo>
                <a:pt x="2262" y="920"/>
                <a:pt x="2280" y="909"/>
                <a:pt x="2336" y="892"/>
              </a:cubicBezTo>
              <a:cubicBezTo>
                <a:pt x="2391" y="874"/>
                <a:pt x="2430" y="870"/>
                <a:pt x="2480" y="853"/>
              </a:cubicBezTo>
              <a:cubicBezTo>
                <a:pt x="2530" y="835"/>
                <a:pt x="2537" y="821"/>
                <a:pt x="2585" y="804"/>
              </a:cubicBezTo>
              <a:cubicBezTo>
                <a:pt x="2633" y="786"/>
                <a:pt x="2676" y="777"/>
                <a:pt x="2720" y="765"/>
              </a:cubicBezTo>
              <a:cubicBezTo>
                <a:pt x="2764" y="753"/>
                <a:pt x="2306" y="916"/>
                <a:pt x="2321" y="913"/>
              </a:cubicBezTo>
            </a:path>
          </a:pathLst>
        </a:custGeom>
        <a:noFill/>
        <a:ln w="31750" cap="rnd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1</xdr:row>
      <xdr:rowOff>0</xdr:rowOff>
    </xdr:from>
    <xdr:ext cx="1609725" cy="790575"/>
    <xdr:pic>
      <xdr:nvPicPr>
        <xdr:cNvPr id="2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69545" y="200025"/>
          <a:ext cx="1609725" cy="7905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28575</xdr:colOff>
      <xdr:row>34</xdr:row>
      <xdr:rowOff>9525</xdr:rowOff>
    </xdr:from>
    <xdr:ext cx="1771650" cy="609600"/>
    <xdr:sp>
      <xdr:nvSpPr>
        <xdr:cNvPr id="8" name="Shape 8"/>
        <xdr:cNvSpPr/>
      </xdr:nvSpPr>
      <xdr:spPr>
        <a:xfrm>
          <a:off x="1781175" y="23136225"/>
          <a:ext cx="1771650" cy="609600"/>
        </a:xfrm>
        <a:custGeom>
          <a:avLst/>
          <a:gdLst/>
          <a:ahLst/>
          <a:cxnLst/>
          <a:rect l="l" t="t" r="r" b="b"/>
          <a:pathLst>
            <a:path w="2723" h="1449" extrusionOk="0">
              <a:moveTo>
                <a:pt x="1836" y="960"/>
              </a:moveTo>
              <a:cubicBezTo>
                <a:pt x="1821" y="956"/>
                <a:pt x="1786" y="947"/>
                <a:pt x="1750" y="931"/>
              </a:cubicBezTo>
              <a:cubicBezTo>
                <a:pt x="1714" y="915"/>
                <a:pt x="1691" y="905"/>
                <a:pt x="1655" y="882"/>
              </a:cubicBezTo>
              <a:cubicBezTo>
                <a:pt x="1618" y="859"/>
                <a:pt x="1604" y="843"/>
                <a:pt x="1568" y="814"/>
              </a:cubicBezTo>
              <a:cubicBezTo>
                <a:pt x="1531" y="784"/>
                <a:pt x="1510" y="770"/>
                <a:pt x="1472" y="735"/>
              </a:cubicBezTo>
              <a:cubicBezTo>
                <a:pt x="1433" y="700"/>
                <a:pt x="1406" y="677"/>
                <a:pt x="1375" y="638"/>
              </a:cubicBezTo>
              <a:cubicBezTo>
                <a:pt x="1345" y="599"/>
                <a:pt x="1334" y="584"/>
                <a:pt x="1318" y="541"/>
              </a:cubicBezTo>
              <a:cubicBezTo>
                <a:pt x="1303" y="497"/>
                <a:pt x="1303" y="470"/>
                <a:pt x="1299" y="423"/>
              </a:cubicBezTo>
              <a:cubicBezTo>
                <a:pt x="1295" y="376"/>
                <a:pt x="1291" y="351"/>
                <a:pt x="1299" y="306"/>
              </a:cubicBezTo>
              <a:cubicBezTo>
                <a:pt x="1306" y="261"/>
                <a:pt x="1316" y="241"/>
                <a:pt x="1337" y="198"/>
              </a:cubicBezTo>
              <a:cubicBezTo>
                <a:pt x="1358" y="155"/>
                <a:pt x="1374" y="126"/>
                <a:pt x="1404" y="91"/>
              </a:cubicBezTo>
              <a:cubicBezTo>
                <a:pt x="1435" y="55"/>
                <a:pt x="1451" y="40"/>
                <a:pt x="1491" y="23"/>
              </a:cubicBezTo>
              <a:cubicBezTo>
                <a:pt x="1531" y="5"/>
                <a:pt x="1560" y="-5"/>
                <a:pt x="1606" y="3"/>
              </a:cubicBezTo>
              <a:cubicBezTo>
                <a:pt x="1652" y="11"/>
                <a:pt x="1683" y="27"/>
                <a:pt x="1721" y="62"/>
              </a:cubicBezTo>
              <a:cubicBezTo>
                <a:pt x="1760" y="97"/>
                <a:pt x="1777" y="136"/>
                <a:pt x="1798" y="179"/>
              </a:cubicBezTo>
              <a:cubicBezTo>
                <a:pt x="1819" y="222"/>
                <a:pt x="1818" y="236"/>
                <a:pt x="1827" y="276"/>
              </a:cubicBezTo>
              <a:cubicBezTo>
                <a:pt x="1836" y="317"/>
                <a:pt x="1840" y="343"/>
                <a:pt x="1846" y="384"/>
              </a:cubicBezTo>
              <a:cubicBezTo>
                <a:pt x="1851" y="425"/>
                <a:pt x="1854" y="434"/>
                <a:pt x="1856" y="482"/>
              </a:cubicBezTo>
              <a:cubicBezTo>
                <a:pt x="1858" y="529"/>
                <a:pt x="1856" y="566"/>
                <a:pt x="1856" y="619"/>
              </a:cubicBezTo>
              <a:cubicBezTo>
                <a:pt x="1856" y="671"/>
                <a:pt x="1860" y="693"/>
                <a:pt x="1856" y="746"/>
              </a:cubicBezTo>
              <a:cubicBezTo>
                <a:pt x="1852" y="798"/>
                <a:pt x="1848" y="827"/>
                <a:pt x="1836" y="882"/>
              </a:cubicBezTo>
              <a:cubicBezTo>
                <a:pt x="1825" y="937"/>
                <a:pt x="1810" y="968"/>
                <a:pt x="1798" y="1019"/>
              </a:cubicBezTo>
              <a:cubicBezTo>
                <a:pt x="1786" y="1070"/>
                <a:pt x="1787" y="1094"/>
                <a:pt x="1779" y="1137"/>
              </a:cubicBezTo>
              <a:cubicBezTo>
                <a:pt x="1771" y="1180"/>
                <a:pt x="1767" y="1197"/>
                <a:pt x="1760" y="1234"/>
              </a:cubicBezTo>
              <a:cubicBezTo>
                <a:pt x="1752" y="1271"/>
                <a:pt x="1756" y="1326"/>
                <a:pt x="1741" y="1322"/>
              </a:cubicBezTo>
              <a:cubicBezTo>
                <a:pt x="1725" y="1318"/>
                <a:pt x="1704" y="1261"/>
                <a:pt x="1683" y="1214"/>
              </a:cubicBezTo>
              <a:cubicBezTo>
                <a:pt x="1662" y="1167"/>
                <a:pt x="1658" y="1136"/>
                <a:pt x="1635" y="1087"/>
              </a:cubicBezTo>
              <a:cubicBezTo>
                <a:pt x="1612" y="1039"/>
                <a:pt x="1597" y="1017"/>
                <a:pt x="1568" y="970"/>
              </a:cubicBezTo>
              <a:cubicBezTo>
                <a:pt x="1539" y="923"/>
                <a:pt x="1525" y="897"/>
                <a:pt x="1491" y="853"/>
              </a:cubicBezTo>
              <a:cubicBezTo>
                <a:pt x="1456" y="808"/>
                <a:pt x="1437" y="785"/>
                <a:pt x="1395" y="746"/>
              </a:cubicBezTo>
              <a:cubicBezTo>
                <a:pt x="1353" y="707"/>
                <a:pt x="1332" y="691"/>
                <a:pt x="1280" y="658"/>
              </a:cubicBezTo>
              <a:cubicBezTo>
                <a:pt x="1228" y="624"/>
                <a:pt x="1193" y="609"/>
                <a:pt x="1136" y="580"/>
              </a:cubicBezTo>
              <a:cubicBezTo>
                <a:pt x="1078" y="550"/>
                <a:pt x="1052" y="533"/>
                <a:pt x="992" y="511"/>
              </a:cubicBezTo>
              <a:cubicBezTo>
                <a:pt x="933" y="490"/>
                <a:pt x="902" y="484"/>
                <a:pt x="839" y="472"/>
              </a:cubicBezTo>
              <a:cubicBezTo>
                <a:pt x="775" y="460"/>
                <a:pt x="739" y="454"/>
                <a:pt x="675" y="452"/>
              </a:cubicBezTo>
              <a:cubicBezTo>
                <a:pt x="612" y="450"/>
                <a:pt x="583" y="446"/>
                <a:pt x="522" y="462"/>
              </a:cubicBezTo>
              <a:cubicBezTo>
                <a:pt x="461" y="478"/>
                <a:pt x="416" y="507"/>
                <a:pt x="368" y="530"/>
              </a:cubicBezTo>
              <a:cubicBezTo>
                <a:pt x="320" y="553"/>
                <a:pt x="326" y="549"/>
                <a:pt x="282" y="580"/>
              </a:cubicBezTo>
              <a:cubicBezTo>
                <a:pt x="238" y="611"/>
                <a:pt x="191" y="636"/>
                <a:pt x="147" y="687"/>
              </a:cubicBezTo>
              <a:cubicBezTo>
                <a:pt x="103" y="738"/>
                <a:pt x="86" y="786"/>
                <a:pt x="61" y="833"/>
              </a:cubicBezTo>
              <a:cubicBezTo>
                <a:pt x="36" y="881"/>
                <a:pt x="34" y="886"/>
                <a:pt x="23" y="921"/>
              </a:cubicBezTo>
              <a:cubicBezTo>
                <a:pt x="11" y="956"/>
                <a:pt x="7" y="974"/>
                <a:pt x="3" y="1009"/>
              </a:cubicBezTo>
              <a:cubicBezTo>
                <a:pt x="-1" y="1044"/>
                <a:pt x="-1" y="1055"/>
                <a:pt x="3" y="1098"/>
              </a:cubicBezTo>
              <a:cubicBezTo>
                <a:pt x="7" y="1141"/>
                <a:pt x="3" y="1176"/>
                <a:pt x="23" y="1224"/>
              </a:cubicBezTo>
              <a:cubicBezTo>
                <a:pt x="42" y="1273"/>
                <a:pt x="66" y="1308"/>
                <a:pt x="99" y="1342"/>
              </a:cubicBezTo>
              <a:cubicBezTo>
                <a:pt x="132" y="1375"/>
                <a:pt x="149" y="1373"/>
                <a:pt x="186" y="1390"/>
              </a:cubicBezTo>
              <a:cubicBezTo>
                <a:pt x="222" y="1408"/>
                <a:pt x="238" y="1418"/>
                <a:pt x="282" y="1430"/>
              </a:cubicBezTo>
              <a:cubicBezTo>
                <a:pt x="326" y="1442"/>
                <a:pt x="353" y="1447"/>
                <a:pt x="407" y="1449"/>
              </a:cubicBezTo>
              <a:cubicBezTo>
                <a:pt x="460" y="1450"/>
                <a:pt x="496" y="1445"/>
                <a:pt x="550" y="1439"/>
              </a:cubicBezTo>
              <a:cubicBezTo>
                <a:pt x="604" y="1434"/>
                <a:pt x="616" y="1432"/>
                <a:pt x="675" y="1420"/>
              </a:cubicBezTo>
              <a:cubicBezTo>
                <a:pt x="735" y="1408"/>
                <a:pt x="777" y="1398"/>
                <a:pt x="848" y="1381"/>
              </a:cubicBezTo>
              <a:cubicBezTo>
                <a:pt x="919" y="1363"/>
                <a:pt x="963" y="1351"/>
                <a:pt x="1031" y="1331"/>
              </a:cubicBezTo>
              <a:cubicBezTo>
                <a:pt x="1098" y="1311"/>
                <a:pt x="1119" y="1302"/>
                <a:pt x="1184" y="1283"/>
              </a:cubicBezTo>
              <a:cubicBezTo>
                <a:pt x="1249" y="1264"/>
                <a:pt x="1288" y="1256"/>
                <a:pt x="1357" y="1234"/>
              </a:cubicBezTo>
              <a:cubicBezTo>
                <a:pt x="1426" y="1213"/>
                <a:pt x="1464" y="1198"/>
                <a:pt x="1529" y="1175"/>
              </a:cubicBezTo>
              <a:cubicBezTo>
                <a:pt x="1594" y="1152"/>
                <a:pt x="1618" y="1140"/>
                <a:pt x="1683" y="1117"/>
              </a:cubicBezTo>
              <a:cubicBezTo>
                <a:pt x="1748" y="1094"/>
                <a:pt x="1787" y="1082"/>
                <a:pt x="1856" y="1058"/>
              </a:cubicBezTo>
              <a:cubicBezTo>
                <a:pt x="1925" y="1035"/>
                <a:pt x="1959" y="1023"/>
                <a:pt x="2028" y="999"/>
              </a:cubicBezTo>
              <a:cubicBezTo>
                <a:pt x="2097" y="976"/>
                <a:pt x="2140" y="963"/>
                <a:pt x="2201" y="941"/>
              </a:cubicBezTo>
              <a:cubicBezTo>
                <a:pt x="2262" y="920"/>
                <a:pt x="2280" y="909"/>
                <a:pt x="2336" y="892"/>
              </a:cubicBezTo>
              <a:cubicBezTo>
                <a:pt x="2391" y="874"/>
                <a:pt x="2430" y="870"/>
                <a:pt x="2480" y="853"/>
              </a:cubicBezTo>
              <a:cubicBezTo>
                <a:pt x="2530" y="835"/>
                <a:pt x="2537" y="821"/>
                <a:pt x="2585" y="804"/>
              </a:cubicBezTo>
              <a:cubicBezTo>
                <a:pt x="2633" y="786"/>
                <a:pt x="2676" y="777"/>
                <a:pt x="2720" y="765"/>
              </a:cubicBezTo>
              <a:cubicBezTo>
                <a:pt x="2764" y="753"/>
                <a:pt x="2306" y="916"/>
                <a:pt x="2321" y="913"/>
              </a:cubicBezTo>
            </a:path>
          </a:pathLst>
        </a:custGeom>
        <a:noFill/>
        <a:ln w="31750" cap="rnd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</xdr:row>
      <xdr:rowOff>0</xdr:rowOff>
    </xdr:from>
    <xdr:ext cx="1619250" cy="771525"/>
    <xdr:pic>
      <xdr:nvPicPr>
        <xdr:cNvPr id="2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0970" y="200025"/>
          <a:ext cx="1619250" cy="771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295275</xdr:colOff>
      <xdr:row>37</xdr:row>
      <xdr:rowOff>-9525</xdr:rowOff>
    </xdr:from>
    <xdr:ext cx="1924050" cy="723900"/>
    <xdr:sp>
      <xdr:nvSpPr>
        <xdr:cNvPr id="9" name="Shape 9"/>
        <xdr:cNvSpPr/>
      </xdr:nvSpPr>
      <xdr:spPr>
        <a:xfrm>
          <a:off x="4792345" y="27898725"/>
          <a:ext cx="1924050" cy="723900"/>
        </a:xfrm>
        <a:custGeom>
          <a:avLst/>
          <a:gdLst/>
          <a:ahLst/>
          <a:cxnLst/>
          <a:rect l="l" t="t" r="r" b="b"/>
          <a:pathLst>
            <a:path w="2723" h="1449" extrusionOk="0">
              <a:moveTo>
                <a:pt x="1836" y="960"/>
              </a:moveTo>
              <a:cubicBezTo>
                <a:pt x="1821" y="956"/>
                <a:pt x="1786" y="947"/>
                <a:pt x="1750" y="931"/>
              </a:cubicBezTo>
              <a:cubicBezTo>
                <a:pt x="1714" y="915"/>
                <a:pt x="1691" y="905"/>
                <a:pt x="1655" y="882"/>
              </a:cubicBezTo>
              <a:cubicBezTo>
                <a:pt x="1618" y="859"/>
                <a:pt x="1604" y="843"/>
                <a:pt x="1568" y="814"/>
              </a:cubicBezTo>
              <a:cubicBezTo>
                <a:pt x="1531" y="784"/>
                <a:pt x="1510" y="770"/>
                <a:pt x="1472" y="735"/>
              </a:cubicBezTo>
              <a:cubicBezTo>
                <a:pt x="1433" y="700"/>
                <a:pt x="1406" y="677"/>
                <a:pt x="1375" y="638"/>
              </a:cubicBezTo>
              <a:cubicBezTo>
                <a:pt x="1345" y="599"/>
                <a:pt x="1334" y="584"/>
                <a:pt x="1318" y="541"/>
              </a:cubicBezTo>
              <a:cubicBezTo>
                <a:pt x="1303" y="497"/>
                <a:pt x="1303" y="470"/>
                <a:pt x="1299" y="423"/>
              </a:cubicBezTo>
              <a:cubicBezTo>
                <a:pt x="1295" y="376"/>
                <a:pt x="1291" y="351"/>
                <a:pt x="1299" y="306"/>
              </a:cubicBezTo>
              <a:cubicBezTo>
                <a:pt x="1306" y="261"/>
                <a:pt x="1316" y="241"/>
                <a:pt x="1337" y="198"/>
              </a:cubicBezTo>
              <a:cubicBezTo>
                <a:pt x="1358" y="155"/>
                <a:pt x="1374" y="126"/>
                <a:pt x="1404" y="91"/>
              </a:cubicBezTo>
              <a:cubicBezTo>
                <a:pt x="1435" y="55"/>
                <a:pt x="1451" y="40"/>
                <a:pt x="1491" y="23"/>
              </a:cubicBezTo>
              <a:cubicBezTo>
                <a:pt x="1531" y="5"/>
                <a:pt x="1560" y="-5"/>
                <a:pt x="1606" y="3"/>
              </a:cubicBezTo>
              <a:cubicBezTo>
                <a:pt x="1652" y="11"/>
                <a:pt x="1683" y="27"/>
                <a:pt x="1721" y="62"/>
              </a:cubicBezTo>
              <a:cubicBezTo>
                <a:pt x="1760" y="97"/>
                <a:pt x="1777" y="136"/>
                <a:pt x="1798" y="179"/>
              </a:cubicBezTo>
              <a:cubicBezTo>
                <a:pt x="1819" y="222"/>
                <a:pt x="1818" y="236"/>
                <a:pt x="1827" y="276"/>
              </a:cubicBezTo>
              <a:cubicBezTo>
                <a:pt x="1836" y="317"/>
                <a:pt x="1840" y="343"/>
                <a:pt x="1846" y="384"/>
              </a:cubicBezTo>
              <a:cubicBezTo>
                <a:pt x="1851" y="425"/>
                <a:pt x="1854" y="434"/>
                <a:pt x="1856" y="482"/>
              </a:cubicBezTo>
              <a:cubicBezTo>
                <a:pt x="1858" y="529"/>
                <a:pt x="1856" y="566"/>
                <a:pt x="1856" y="619"/>
              </a:cubicBezTo>
              <a:cubicBezTo>
                <a:pt x="1856" y="671"/>
                <a:pt x="1860" y="693"/>
                <a:pt x="1856" y="746"/>
              </a:cubicBezTo>
              <a:cubicBezTo>
                <a:pt x="1852" y="798"/>
                <a:pt x="1848" y="827"/>
                <a:pt x="1836" y="882"/>
              </a:cubicBezTo>
              <a:cubicBezTo>
                <a:pt x="1825" y="937"/>
                <a:pt x="1810" y="968"/>
                <a:pt x="1798" y="1019"/>
              </a:cubicBezTo>
              <a:cubicBezTo>
                <a:pt x="1786" y="1070"/>
                <a:pt x="1787" y="1094"/>
                <a:pt x="1779" y="1137"/>
              </a:cubicBezTo>
              <a:cubicBezTo>
                <a:pt x="1771" y="1180"/>
                <a:pt x="1767" y="1197"/>
                <a:pt x="1760" y="1234"/>
              </a:cubicBezTo>
              <a:cubicBezTo>
                <a:pt x="1752" y="1271"/>
                <a:pt x="1756" y="1326"/>
                <a:pt x="1741" y="1322"/>
              </a:cubicBezTo>
              <a:cubicBezTo>
                <a:pt x="1725" y="1318"/>
                <a:pt x="1704" y="1261"/>
                <a:pt x="1683" y="1214"/>
              </a:cubicBezTo>
              <a:cubicBezTo>
                <a:pt x="1662" y="1167"/>
                <a:pt x="1658" y="1136"/>
                <a:pt x="1635" y="1087"/>
              </a:cubicBezTo>
              <a:cubicBezTo>
                <a:pt x="1612" y="1039"/>
                <a:pt x="1597" y="1017"/>
                <a:pt x="1568" y="970"/>
              </a:cubicBezTo>
              <a:cubicBezTo>
                <a:pt x="1539" y="923"/>
                <a:pt x="1525" y="897"/>
                <a:pt x="1491" y="853"/>
              </a:cubicBezTo>
              <a:cubicBezTo>
                <a:pt x="1456" y="808"/>
                <a:pt x="1437" y="785"/>
                <a:pt x="1395" y="746"/>
              </a:cubicBezTo>
              <a:cubicBezTo>
                <a:pt x="1353" y="707"/>
                <a:pt x="1332" y="691"/>
                <a:pt x="1280" y="658"/>
              </a:cubicBezTo>
              <a:cubicBezTo>
                <a:pt x="1228" y="624"/>
                <a:pt x="1193" y="609"/>
                <a:pt x="1136" y="580"/>
              </a:cubicBezTo>
              <a:cubicBezTo>
                <a:pt x="1078" y="550"/>
                <a:pt x="1052" y="533"/>
                <a:pt x="992" y="511"/>
              </a:cubicBezTo>
              <a:cubicBezTo>
                <a:pt x="933" y="490"/>
                <a:pt x="902" y="484"/>
                <a:pt x="839" y="472"/>
              </a:cubicBezTo>
              <a:cubicBezTo>
                <a:pt x="775" y="460"/>
                <a:pt x="739" y="454"/>
                <a:pt x="675" y="452"/>
              </a:cubicBezTo>
              <a:cubicBezTo>
                <a:pt x="612" y="450"/>
                <a:pt x="583" y="446"/>
                <a:pt x="522" y="462"/>
              </a:cubicBezTo>
              <a:cubicBezTo>
                <a:pt x="461" y="478"/>
                <a:pt x="416" y="507"/>
                <a:pt x="368" y="530"/>
              </a:cubicBezTo>
              <a:cubicBezTo>
                <a:pt x="320" y="553"/>
                <a:pt x="326" y="549"/>
                <a:pt x="282" y="580"/>
              </a:cubicBezTo>
              <a:cubicBezTo>
                <a:pt x="238" y="611"/>
                <a:pt x="191" y="636"/>
                <a:pt x="147" y="687"/>
              </a:cubicBezTo>
              <a:cubicBezTo>
                <a:pt x="103" y="738"/>
                <a:pt x="86" y="786"/>
                <a:pt x="61" y="833"/>
              </a:cubicBezTo>
              <a:cubicBezTo>
                <a:pt x="36" y="881"/>
                <a:pt x="34" y="886"/>
                <a:pt x="23" y="921"/>
              </a:cubicBezTo>
              <a:cubicBezTo>
                <a:pt x="11" y="956"/>
                <a:pt x="7" y="974"/>
                <a:pt x="3" y="1009"/>
              </a:cubicBezTo>
              <a:cubicBezTo>
                <a:pt x="-1" y="1044"/>
                <a:pt x="-1" y="1055"/>
                <a:pt x="3" y="1098"/>
              </a:cubicBezTo>
              <a:cubicBezTo>
                <a:pt x="7" y="1141"/>
                <a:pt x="3" y="1176"/>
                <a:pt x="23" y="1224"/>
              </a:cubicBezTo>
              <a:cubicBezTo>
                <a:pt x="42" y="1273"/>
                <a:pt x="66" y="1308"/>
                <a:pt x="99" y="1342"/>
              </a:cubicBezTo>
              <a:cubicBezTo>
                <a:pt x="132" y="1375"/>
                <a:pt x="149" y="1373"/>
                <a:pt x="186" y="1390"/>
              </a:cubicBezTo>
              <a:cubicBezTo>
                <a:pt x="222" y="1408"/>
                <a:pt x="238" y="1418"/>
                <a:pt x="282" y="1430"/>
              </a:cubicBezTo>
              <a:cubicBezTo>
                <a:pt x="326" y="1442"/>
                <a:pt x="353" y="1447"/>
                <a:pt x="407" y="1449"/>
              </a:cubicBezTo>
              <a:cubicBezTo>
                <a:pt x="460" y="1450"/>
                <a:pt x="496" y="1445"/>
                <a:pt x="550" y="1439"/>
              </a:cubicBezTo>
              <a:cubicBezTo>
                <a:pt x="604" y="1434"/>
                <a:pt x="616" y="1432"/>
                <a:pt x="675" y="1420"/>
              </a:cubicBezTo>
              <a:cubicBezTo>
                <a:pt x="735" y="1408"/>
                <a:pt x="777" y="1398"/>
                <a:pt x="848" y="1381"/>
              </a:cubicBezTo>
              <a:cubicBezTo>
                <a:pt x="919" y="1363"/>
                <a:pt x="963" y="1351"/>
                <a:pt x="1031" y="1331"/>
              </a:cubicBezTo>
              <a:cubicBezTo>
                <a:pt x="1098" y="1311"/>
                <a:pt x="1119" y="1302"/>
                <a:pt x="1184" y="1283"/>
              </a:cubicBezTo>
              <a:cubicBezTo>
                <a:pt x="1249" y="1264"/>
                <a:pt x="1288" y="1256"/>
                <a:pt x="1357" y="1234"/>
              </a:cubicBezTo>
              <a:cubicBezTo>
                <a:pt x="1426" y="1213"/>
                <a:pt x="1464" y="1198"/>
                <a:pt x="1529" y="1175"/>
              </a:cubicBezTo>
              <a:cubicBezTo>
                <a:pt x="1594" y="1152"/>
                <a:pt x="1618" y="1140"/>
                <a:pt x="1683" y="1117"/>
              </a:cubicBezTo>
              <a:cubicBezTo>
                <a:pt x="1748" y="1094"/>
                <a:pt x="1787" y="1082"/>
                <a:pt x="1856" y="1058"/>
              </a:cubicBezTo>
              <a:cubicBezTo>
                <a:pt x="1925" y="1035"/>
                <a:pt x="1959" y="1023"/>
                <a:pt x="2028" y="999"/>
              </a:cubicBezTo>
              <a:cubicBezTo>
                <a:pt x="2097" y="976"/>
                <a:pt x="2140" y="963"/>
                <a:pt x="2201" y="941"/>
              </a:cubicBezTo>
              <a:cubicBezTo>
                <a:pt x="2262" y="920"/>
                <a:pt x="2280" y="909"/>
                <a:pt x="2336" y="892"/>
              </a:cubicBezTo>
              <a:cubicBezTo>
                <a:pt x="2391" y="874"/>
                <a:pt x="2430" y="870"/>
                <a:pt x="2480" y="853"/>
              </a:cubicBezTo>
              <a:cubicBezTo>
                <a:pt x="2530" y="835"/>
                <a:pt x="2537" y="821"/>
                <a:pt x="2585" y="804"/>
              </a:cubicBezTo>
              <a:cubicBezTo>
                <a:pt x="2633" y="786"/>
                <a:pt x="2676" y="777"/>
                <a:pt x="2720" y="765"/>
              </a:cubicBezTo>
              <a:cubicBezTo>
                <a:pt x="2764" y="753"/>
                <a:pt x="2306" y="916"/>
                <a:pt x="2321" y="913"/>
              </a:cubicBezTo>
            </a:path>
          </a:pathLst>
        </a:custGeom>
        <a:noFill/>
        <a:ln w="31750" cap="rnd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1</xdr:row>
      <xdr:rowOff>0</xdr:rowOff>
    </xdr:from>
    <xdr:ext cx="1609725" cy="781050"/>
    <xdr:pic>
      <xdr:nvPicPr>
        <xdr:cNvPr id="2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69545" y="200025"/>
          <a:ext cx="1609725" cy="7810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495300</xdr:colOff>
      <xdr:row>33</xdr:row>
      <xdr:rowOff>142875</xdr:rowOff>
    </xdr:from>
    <xdr:ext cx="1381125" cy="714375"/>
    <xdr:pic>
      <xdr:nvPicPr>
        <xdr:cNvPr id="2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556510" y="8278495"/>
          <a:ext cx="138112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95250</xdr:colOff>
      <xdr:row>34</xdr:row>
      <xdr:rowOff>0</xdr:rowOff>
    </xdr:from>
    <xdr:ext cx="1476375" cy="695325"/>
    <xdr:pic>
      <xdr:nvPicPr>
        <xdr:cNvPr id="3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683375" y="8335645"/>
          <a:ext cx="14763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34</xdr:row>
      <xdr:rowOff>0</xdr:rowOff>
    </xdr:from>
    <xdr:ext cx="1371600" cy="695325"/>
    <xdr:pic>
      <xdr:nvPicPr>
        <xdr:cNvPr id="4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589895" y="8335645"/>
          <a:ext cx="13716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0</xdr:colOff>
      <xdr:row>34</xdr:row>
      <xdr:rowOff>0</xdr:rowOff>
    </xdr:from>
    <xdr:ext cx="1438275" cy="695325"/>
    <xdr:pic>
      <xdr:nvPicPr>
        <xdr:cNvPr id="5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646910" y="8335645"/>
          <a:ext cx="14382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57150</xdr:colOff>
      <xdr:row>38</xdr:row>
      <xdr:rowOff>0</xdr:rowOff>
    </xdr:from>
    <xdr:ext cx="1905000" cy="657225"/>
    <xdr:sp>
      <xdr:nvSpPr>
        <xdr:cNvPr id="10" name="Shape 10"/>
        <xdr:cNvSpPr/>
      </xdr:nvSpPr>
      <xdr:spPr>
        <a:xfrm>
          <a:off x="4479290" y="28936950"/>
          <a:ext cx="1905000" cy="657225"/>
        </a:xfrm>
        <a:custGeom>
          <a:avLst/>
          <a:gdLst/>
          <a:ahLst/>
          <a:cxnLst/>
          <a:rect l="l" t="t" r="r" b="b"/>
          <a:pathLst>
            <a:path w="2723" h="1449" extrusionOk="0">
              <a:moveTo>
                <a:pt x="1836" y="960"/>
              </a:moveTo>
              <a:cubicBezTo>
                <a:pt x="1821" y="956"/>
                <a:pt x="1786" y="947"/>
                <a:pt x="1750" y="931"/>
              </a:cubicBezTo>
              <a:cubicBezTo>
                <a:pt x="1714" y="915"/>
                <a:pt x="1691" y="905"/>
                <a:pt x="1655" y="882"/>
              </a:cubicBezTo>
              <a:cubicBezTo>
                <a:pt x="1618" y="859"/>
                <a:pt x="1604" y="843"/>
                <a:pt x="1568" y="814"/>
              </a:cubicBezTo>
              <a:cubicBezTo>
                <a:pt x="1531" y="784"/>
                <a:pt x="1510" y="770"/>
                <a:pt x="1472" y="735"/>
              </a:cubicBezTo>
              <a:cubicBezTo>
                <a:pt x="1433" y="700"/>
                <a:pt x="1406" y="677"/>
                <a:pt x="1375" y="638"/>
              </a:cubicBezTo>
              <a:cubicBezTo>
                <a:pt x="1345" y="599"/>
                <a:pt x="1334" y="584"/>
                <a:pt x="1318" y="541"/>
              </a:cubicBezTo>
              <a:cubicBezTo>
                <a:pt x="1303" y="497"/>
                <a:pt x="1303" y="470"/>
                <a:pt x="1299" y="423"/>
              </a:cubicBezTo>
              <a:cubicBezTo>
                <a:pt x="1295" y="376"/>
                <a:pt x="1291" y="351"/>
                <a:pt x="1299" y="306"/>
              </a:cubicBezTo>
              <a:cubicBezTo>
                <a:pt x="1306" y="261"/>
                <a:pt x="1316" y="241"/>
                <a:pt x="1337" y="198"/>
              </a:cubicBezTo>
              <a:cubicBezTo>
                <a:pt x="1358" y="155"/>
                <a:pt x="1374" y="126"/>
                <a:pt x="1404" y="91"/>
              </a:cubicBezTo>
              <a:cubicBezTo>
                <a:pt x="1435" y="55"/>
                <a:pt x="1451" y="40"/>
                <a:pt x="1491" y="23"/>
              </a:cubicBezTo>
              <a:cubicBezTo>
                <a:pt x="1531" y="5"/>
                <a:pt x="1560" y="-5"/>
                <a:pt x="1606" y="3"/>
              </a:cubicBezTo>
              <a:cubicBezTo>
                <a:pt x="1652" y="11"/>
                <a:pt x="1683" y="27"/>
                <a:pt x="1721" y="62"/>
              </a:cubicBezTo>
              <a:cubicBezTo>
                <a:pt x="1760" y="97"/>
                <a:pt x="1777" y="136"/>
                <a:pt x="1798" y="179"/>
              </a:cubicBezTo>
              <a:cubicBezTo>
                <a:pt x="1819" y="222"/>
                <a:pt x="1818" y="236"/>
                <a:pt x="1827" y="276"/>
              </a:cubicBezTo>
              <a:cubicBezTo>
                <a:pt x="1836" y="317"/>
                <a:pt x="1840" y="343"/>
                <a:pt x="1846" y="384"/>
              </a:cubicBezTo>
              <a:cubicBezTo>
                <a:pt x="1851" y="425"/>
                <a:pt x="1854" y="434"/>
                <a:pt x="1856" y="482"/>
              </a:cubicBezTo>
              <a:cubicBezTo>
                <a:pt x="1858" y="529"/>
                <a:pt x="1856" y="566"/>
                <a:pt x="1856" y="619"/>
              </a:cubicBezTo>
              <a:cubicBezTo>
                <a:pt x="1856" y="671"/>
                <a:pt x="1860" y="693"/>
                <a:pt x="1856" y="746"/>
              </a:cubicBezTo>
              <a:cubicBezTo>
                <a:pt x="1852" y="798"/>
                <a:pt x="1848" y="827"/>
                <a:pt x="1836" y="882"/>
              </a:cubicBezTo>
              <a:cubicBezTo>
                <a:pt x="1825" y="937"/>
                <a:pt x="1810" y="968"/>
                <a:pt x="1798" y="1019"/>
              </a:cubicBezTo>
              <a:cubicBezTo>
                <a:pt x="1786" y="1070"/>
                <a:pt x="1787" y="1094"/>
                <a:pt x="1779" y="1137"/>
              </a:cubicBezTo>
              <a:cubicBezTo>
                <a:pt x="1771" y="1180"/>
                <a:pt x="1767" y="1197"/>
                <a:pt x="1760" y="1234"/>
              </a:cubicBezTo>
              <a:cubicBezTo>
                <a:pt x="1752" y="1271"/>
                <a:pt x="1756" y="1326"/>
                <a:pt x="1741" y="1322"/>
              </a:cubicBezTo>
              <a:cubicBezTo>
                <a:pt x="1725" y="1318"/>
                <a:pt x="1704" y="1261"/>
                <a:pt x="1683" y="1214"/>
              </a:cubicBezTo>
              <a:cubicBezTo>
                <a:pt x="1662" y="1167"/>
                <a:pt x="1658" y="1136"/>
                <a:pt x="1635" y="1087"/>
              </a:cubicBezTo>
              <a:cubicBezTo>
                <a:pt x="1612" y="1039"/>
                <a:pt x="1597" y="1017"/>
                <a:pt x="1568" y="970"/>
              </a:cubicBezTo>
              <a:cubicBezTo>
                <a:pt x="1539" y="923"/>
                <a:pt x="1525" y="897"/>
                <a:pt x="1491" y="853"/>
              </a:cubicBezTo>
              <a:cubicBezTo>
                <a:pt x="1456" y="808"/>
                <a:pt x="1437" y="785"/>
                <a:pt x="1395" y="746"/>
              </a:cubicBezTo>
              <a:cubicBezTo>
                <a:pt x="1353" y="707"/>
                <a:pt x="1332" y="691"/>
                <a:pt x="1280" y="658"/>
              </a:cubicBezTo>
              <a:cubicBezTo>
                <a:pt x="1228" y="624"/>
                <a:pt x="1193" y="609"/>
                <a:pt x="1136" y="580"/>
              </a:cubicBezTo>
              <a:cubicBezTo>
                <a:pt x="1078" y="550"/>
                <a:pt x="1052" y="533"/>
                <a:pt x="992" y="511"/>
              </a:cubicBezTo>
              <a:cubicBezTo>
                <a:pt x="933" y="490"/>
                <a:pt x="902" y="484"/>
                <a:pt x="839" y="472"/>
              </a:cubicBezTo>
              <a:cubicBezTo>
                <a:pt x="775" y="460"/>
                <a:pt x="739" y="454"/>
                <a:pt x="675" y="452"/>
              </a:cubicBezTo>
              <a:cubicBezTo>
                <a:pt x="612" y="450"/>
                <a:pt x="583" y="446"/>
                <a:pt x="522" y="462"/>
              </a:cubicBezTo>
              <a:cubicBezTo>
                <a:pt x="461" y="478"/>
                <a:pt x="416" y="507"/>
                <a:pt x="368" y="530"/>
              </a:cubicBezTo>
              <a:cubicBezTo>
                <a:pt x="320" y="553"/>
                <a:pt x="326" y="549"/>
                <a:pt x="282" y="580"/>
              </a:cubicBezTo>
              <a:cubicBezTo>
                <a:pt x="238" y="611"/>
                <a:pt x="191" y="636"/>
                <a:pt x="147" y="687"/>
              </a:cubicBezTo>
              <a:cubicBezTo>
                <a:pt x="103" y="738"/>
                <a:pt x="86" y="786"/>
                <a:pt x="61" y="833"/>
              </a:cubicBezTo>
              <a:cubicBezTo>
                <a:pt x="36" y="881"/>
                <a:pt x="34" y="886"/>
                <a:pt x="23" y="921"/>
              </a:cubicBezTo>
              <a:cubicBezTo>
                <a:pt x="11" y="956"/>
                <a:pt x="7" y="974"/>
                <a:pt x="3" y="1009"/>
              </a:cubicBezTo>
              <a:cubicBezTo>
                <a:pt x="-1" y="1044"/>
                <a:pt x="-1" y="1055"/>
                <a:pt x="3" y="1098"/>
              </a:cubicBezTo>
              <a:cubicBezTo>
                <a:pt x="7" y="1141"/>
                <a:pt x="3" y="1176"/>
                <a:pt x="23" y="1224"/>
              </a:cubicBezTo>
              <a:cubicBezTo>
                <a:pt x="42" y="1273"/>
                <a:pt x="66" y="1308"/>
                <a:pt x="99" y="1342"/>
              </a:cubicBezTo>
              <a:cubicBezTo>
                <a:pt x="132" y="1375"/>
                <a:pt x="149" y="1373"/>
                <a:pt x="186" y="1390"/>
              </a:cubicBezTo>
              <a:cubicBezTo>
                <a:pt x="222" y="1408"/>
                <a:pt x="238" y="1418"/>
                <a:pt x="282" y="1430"/>
              </a:cubicBezTo>
              <a:cubicBezTo>
                <a:pt x="326" y="1442"/>
                <a:pt x="353" y="1447"/>
                <a:pt x="407" y="1449"/>
              </a:cubicBezTo>
              <a:cubicBezTo>
                <a:pt x="460" y="1450"/>
                <a:pt x="496" y="1445"/>
                <a:pt x="550" y="1439"/>
              </a:cubicBezTo>
              <a:cubicBezTo>
                <a:pt x="604" y="1434"/>
                <a:pt x="616" y="1432"/>
                <a:pt x="675" y="1420"/>
              </a:cubicBezTo>
              <a:cubicBezTo>
                <a:pt x="735" y="1408"/>
                <a:pt x="777" y="1398"/>
                <a:pt x="848" y="1381"/>
              </a:cubicBezTo>
              <a:cubicBezTo>
                <a:pt x="919" y="1363"/>
                <a:pt x="963" y="1351"/>
                <a:pt x="1031" y="1331"/>
              </a:cubicBezTo>
              <a:cubicBezTo>
                <a:pt x="1098" y="1311"/>
                <a:pt x="1119" y="1302"/>
                <a:pt x="1184" y="1283"/>
              </a:cubicBezTo>
              <a:cubicBezTo>
                <a:pt x="1249" y="1264"/>
                <a:pt x="1288" y="1256"/>
                <a:pt x="1357" y="1234"/>
              </a:cubicBezTo>
              <a:cubicBezTo>
                <a:pt x="1426" y="1213"/>
                <a:pt x="1464" y="1198"/>
                <a:pt x="1529" y="1175"/>
              </a:cubicBezTo>
              <a:cubicBezTo>
                <a:pt x="1594" y="1152"/>
                <a:pt x="1618" y="1140"/>
                <a:pt x="1683" y="1117"/>
              </a:cubicBezTo>
              <a:cubicBezTo>
                <a:pt x="1748" y="1094"/>
                <a:pt x="1787" y="1082"/>
                <a:pt x="1856" y="1058"/>
              </a:cubicBezTo>
              <a:cubicBezTo>
                <a:pt x="1925" y="1035"/>
                <a:pt x="1959" y="1023"/>
                <a:pt x="2028" y="999"/>
              </a:cubicBezTo>
              <a:cubicBezTo>
                <a:pt x="2097" y="976"/>
                <a:pt x="2140" y="963"/>
                <a:pt x="2201" y="941"/>
              </a:cubicBezTo>
              <a:cubicBezTo>
                <a:pt x="2262" y="920"/>
                <a:pt x="2280" y="909"/>
                <a:pt x="2336" y="892"/>
              </a:cubicBezTo>
              <a:cubicBezTo>
                <a:pt x="2391" y="874"/>
                <a:pt x="2430" y="870"/>
                <a:pt x="2480" y="853"/>
              </a:cubicBezTo>
              <a:cubicBezTo>
                <a:pt x="2530" y="835"/>
                <a:pt x="2537" y="821"/>
                <a:pt x="2585" y="804"/>
              </a:cubicBezTo>
              <a:cubicBezTo>
                <a:pt x="2633" y="786"/>
                <a:pt x="2676" y="777"/>
                <a:pt x="2720" y="765"/>
              </a:cubicBezTo>
              <a:cubicBezTo>
                <a:pt x="2764" y="753"/>
                <a:pt x="2306" y="916"/>
                <a:pt x="2321" y="913"/>
              </a:cubicBezTo>
            </a:path>
          </a:pathLst>
        </a:custGeom>
        <a:noFill/>
        <a:ln w="31750" cap="rnd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</xdr:row>
      <xdr:rowOff>0</xdr:rowOff>
    </xdr:from>
    <xdr:ext cx="1571625" cy="771525"/>
    <xdr:pic>
      <xdr:nvPicPr>
        <xdr:cNvPr id="2" name="image2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0970" y="200025"/>
          <a:ext cx="1571625" cy="7715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06CBR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aa_cgk_ops@airasi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iaa_cgk_ops@airasia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://chronos.atfm.co.id/" TargetMode="External"/><Relationship Id="rId8" Type="http://schemas.openxmlformats.org/officeDocument/2006/relationships/hyperlink" Target="https://efpl.airnavindonesia.co.id/?link=login" TargetMode="External"/><Relationship Id="rId7" Type="http://schemas.openxmlformats.org/officeDocument/2006/relationships/hyperlink" Target="http://www.bom.gov.au/info/vaac/advisories.shtml" TargetMode="External"/><Relationship Id="rId6" Type="http://schemas.openxmlformats.org/officeDocument/2006/relationships/hyperlink" Target="http://www.aim-jakarta.co.id/" TargetMode="External"/><Relationship Id="rId5" Type="http://schemas.openxmlformats.org/officeDocument/2006/relationships/hyperlink" Target="http://aamy-xensf01/Citrix/AIMSWeb/" TargetMode="External"/><Relationship Id="rId4" Type="http://schemas.openxmlformats.org/officeDocument/2006/relationships/hyperlink" Target="http://www.meteosoekarnohatta.com/" TargetMode="External"/><Relationship Id="rId33" Type="http://schemas.openxmlformats.org/officeDocument/2006/relationships/hyperlink" Target="http://aim-jakarta.co.id/aim/index.php?link=logout" TargetMode="External"/><Relationship Id="rId32" Type="http://schemas.openxmlformats.org/officeDocument/2006/relationships/hyperlink" Target="http://www.faa.gov/air_traffic/publications/atpubs/aim/aim0501.html--" TargetMode="External"/><Relationship Id="rId31" Type="http://schemas.openxmlformats.org/officeDocument/2006/relationships/hyperlink" Target="http://www.bom.gov.au/aviation/warnings/volcanic-ash/" TargetMode="External"/><Relationship Id="rId30" Type="http://schemas.openxmlformats.org/officeDocument/2006/relationships/hyperlink" Target="http://translate.google.co.id/" TargetMode="External"/><Relationship Id="rId3" Type="http://schemas.openxmlformats.org/officeDocument/2006/relationships/hyperlink" Target="mailto:dcapenang@dca.gov.my" TargetMode="External"/><Relationship Id="rId29" Type="http://schemas.openxmlformats.org/officeDocument/2006/relationships/hyperlink" Target="http://www.perthairport.com.au/FlightInformation/FlightSearch.aspx?Terminal=I&amp;FlightType=A" TargetMode="External"/><Relationship Id="rId28" Type="http://schemas.openxmlformats.org/officeDocument/2006/relationships/hyperlink" Target="http://www.aerostratos.com/eaip/country.php" TargetMode="External"/><Relationship Id="rId27" Type="http://schemas.openxmlformats.org/officeDocument/2006/relationships/hyperlink" Target="https://crewnet.airasia.com/" TargetMode="External"/><Relationship Id="rId26" Type="http://schemas.openxmlformats.org/officeDocument/2006/relationships/hyperlink" Target="http://www.wunderground.com/q/zmw:00000.1.94610" TargetMode="External"/><Relationship Id="rId25" Type="http://schemas.openxmlformats.org/officeDocument/2006/relationships/hyperlink" Target="http://www.perthairport.com.au/index.aspx" TargetMode="External"/><Relationship Id="rId24" Type="http://schemas.openxmlformats.org/officeDocument/2006/relationships/hyperlink" Target="https://airasia.merlot.aero/" TargetMode="External"/><Relationship Id="rId23" Type="http://schemas.openxmlformats.org/officeDocument/2006/relationships/hyperlink" Target="http://redwatch.merlot.aero/crew" TargetMode="External"/><Relationship Id="rId22" Type="http://schemas.openxmlformats.org/officeDocument/2006/relationships/hyperlink" Target="http://redwatch.merlot.aero/aircraft" TargetMode="External"/><Relationship Id="rId21" Type="http://schemas.openxmlformats.org/officeDocument/2006/relationships/hyperlink" Target="https://crewnet.airasia.com/GD/" TargetMode="External"/><Relationship Id="rId20" Type="http://schemas.openxmlformats.org/officeDocument/2006/relationships/hyperlink" Target="https://www.pilotweb.nas.faa.gov/PilotWeb/" TargetMode="External"/><Relationship Id="rId2" Type="http://schemas.openxmlformats.org/officeDocument/2006/relationships/hyperlink" Target="mailto:yuloktavinojulidar@airasia.com,mochamadruslani@airasia.com,nandangprianto@airasia.com,yudhonobudilaksono@airasia.com,ignatiussuryadi@airasia.com,rendisantana@airasia.com,allobudiyanto@airasia.com" TargetMode="External"/><Relationship Id="rId19" Type="http://schemas.openxmlformats.org/officeDocument/2006/relationships/hyperlink" Target="http://172.30.4.58:1880/IframeContainer.aspx" TargetMode="External"/><Relationship Id="rId18" Type="http://schemas.openxmlformats.org/officeDocument/2006/relationships/hyperlink" Target="https://crewnet.airasia.com/VR_New/" TargetMode="External"/><Relationship Id="rId17" Type="http://schemas.openxmlformats.org/officeDocument/2006/relationships/hyperlink" Target="https://149.122.26.44/GDOPS/Index.aspx" TargetMode="External"/><Relationship Id="rId16" Type="http://schemas.openxmlformats.org/officeDocument/2006/relationships/hyperlink" Target="mailto:iaa_dps_ramp@airasia.com" TargetMode="External"/><Relationship Id="rId15" Type="http://schemas.openxmlformats.org/officeDocument/2006/relationships/hyperlink" Target="https://idexmail.airasia.com/owa/redir.aspx?C=d626f6121d2844e0b97e381625d2647d&amp;URL=mailto:atc.messages@flightfocus.net" TargetMode="External"/><Relationship Id="rId14" Type="http://schemas.openxmlformats.org/officeDocument/2006/relationships/hyperlink" Target="mailto:aax_ops_per@airasia.com" TargetMode="External"/><Relationship Id="rId13" Type="http://schemas.openxmlformats.org/officeDocument/2006/relationships/hyperlink" Target="mailto:iaa_dps_ops@airasia.com" TargetMode="External"/><Relationship Id="rId12" Type="http://schemas.openxmlformats.org/officeDocument/2006/relationships/hyperlink" Target="mailto:saa_gscontroller@airasia.com" TargetMode="External"/><Relationship Id="rId11" Type="http://schemas.openxmlformats.org/officeDocument/2006/relationships/hyperlink" Target="mailto:BAGUSHERMAWAN@AIRASIA.COM" TargetMode="External"/><Relationship Id="rId10" Type="http://schemas.openxmlformats.org/officeDocument/2006/relationships/hyperlink" Target="https://www.aviationweather.gov/adds/tafs?station_ids=wiii%20wihh%20wipp%20wimm%20warr%20wadd%20wadl%20waaa%20wsss%20wmkk%20wmkp%20wmkj%20wmsa%20vtbs%20vtbd%20vtbu%20vtcc&amp;std_trans=standard&amp;submit_both=Get%20TAFs%20and%20METARs" TargetMode="External"/><Relationship Id="rId1" Type="http://schemas.openxmlformats.org/officeDocument/2006/relationships/hyperlink" Target="mailto:yuloktavinojulidar@airasia.com,rismono@airasia.com,darmawanwawan@airasia.com,dandungtriehananto@airasia.com,syaifullah@airasia.com,saepulamin@airasia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C1:K1000"/>
  <sheetViews>
    <sheetView workbookViewId="0">
      <selection activeCell="A1" sqref="A1"/>
    </sheetView>
  </sheetViews>
  <sheetFormatPr defaultColWidth="12.6271186440678" defaultRowHeight="15" customHeight="1"/>
  <cols>
    <col min="1" max="2" width="9.1271186440678" customWidth="1"/>
    <col min="3" max="3" width="10.6271186440678" customWidth="1"/>
    <col min="4" max="26" width="9.1271186440678" customWidth="1"/>
  </cols>
  <sheetData>
    <row r="1" ht="14.25" customHeight="1"/>
    <row r="2" ht="14.25" customHeight="1" spans="3:11">
      <c r="C2" s="387">
        <f ca="1">TODAY()</f>
        <v>46283</v>
      </c>
      <c r="I2" s="388" t="s">
        <v>0</v>
      </c>
      <c r="J2" s="15"/>
    </row>
    <row r="3" ht="14.25" customHeight="1" spans="3:11">
      <c r="C3" s="687" t="s">
        <v>1</v>
      </c>
      <c r="I3" s="393">
        <f>F4-K3</f>
        <v>0.98958333333333</v>
      </c>
      <c r="J3" s="150"/>
      <c r="K3" s="394">
        <v>0.25</v>
      </c>
    </row>
    <row r="4" ht="14.25" customHeight="1" spans="3:11">
      <c r="C4" s="688" t="s">
        <v>2</v>
      </c>
      <c r="D4" s="688" t="s">
        <v>3</v>
      </c>
      <c r="E4" s="688" t="s">
        <v>4</v>
      </c>
      <c r="F4" s="689">
        <v>1.23958333333333</v>
      </c>
      <c r="G4" s="689">
        <v>0.326388888888889</v>
      </c>
    </row>
    <row r="5" ht="14.25" customHeight="1" spans="3:11">
      <c r="C5" s="406" t="s">
        <v>5</v>
      </c>
      <c r="D5" s="688" t="str">
        <f>E4</f>
        <v>KUL</v>
      </c>
      <c r="E5" s="688" t="s">
        <v>3</v>
      </c>
      <c r="F5" s="689">
        <v>0.34375</v>
      </c>
      <c r="G5" s="690">
        <v>0.430555555555556</v>
      </c>
      <c r="H5" s="691" t="str">
        <f>C3</f>
        <v>PK-AZI</v>
      </c>
    </row>
    <row r="6" ht="14.25" customHeight="1" spans="3:11">
      <c r="C6" s="413" t="s">
        <v>6</v>
      </c>
      <c r="D6" s="413" t="s">
        <v>3</v>
      </c>
      <c r="E6" s="413" t="s">
        <v>7</v>
      </c>
      <c r="F6" s="414">
        <v>0.5625</v>
      </c>
      <c r="G6" s="414">
        <v>0.635416666666667</v>
      </c>
      <c r="I6" s="692" t="s">
        <v>0</v>
      </c>
      <c r="J6" s="15"/>
    </row>
    <row r="7" ht="14.25" customHeight="1" spans="3:11">
      <c r="C7" s="413" t="s">
        <v>8</v>
      </c>
      <c r="D7" s="413" t="str">
        <f>E6</f>
        <v>SIN</v>
      </c>
      <c r="E7" s="413" t="s">
        <v>3</v>
      </c>
      <c r="F7" s="414">
        <v>0.663194444444444</v>
      </c>
      <c r="G7" s="414">
        <v>0.736111111111111</v>
      </c>
      <c r="I7" s="693">
        <f>F4-K7</f>
        <v>1.11458333333333</v>
      </c>
      <c r="J7" s="150"/>
      <c r="K7" s="694">
        <v>0.125</v>
      </c>
    </row>
    <row r="8" ht="14.25" customHeight="1"/>
    <row r="9" ht="14.25" customHeight="1"/>
    <row r="10" ht="14.25" customHeight="1" spans="3:11">
      <c r="C10" s="429" t="s">
        <v>9</v>
      </c>
      <c r="D10" s="429" t="s">
        <v>10</v>
      </c>
      <c r="E10" s="429" t="s">
        <v>11</v>
      </c>
      <c r="F10" s="429" t="s">
        <v>12</v>
      </c>
      <c r="G10" s="429" t="s">
        <v>13</v>
      </c>
      <c r="H10" s="429"/>
      <c r="I10" s="429" t="s">
        <v>14</v>
      </c>
      <c r="J10" s="429" t="s">
        <v>15</v>
      </c>
      <c r="K10" s="429" t="s">
        <v>16</v>
      </c>
    </row>
    <row r="11" ht="14.25" customHeight="1" spans="3:11">
      <c r="C11" s="435"/>
      <c r="D11" s="435">
        <v>0</v>
      </c>
      <c r="E11" s="435">
        <v>0</v>
      </c>
      <c r="F11" s="435">
        <v>1000</v>
      </c>
      <c r="G11" s="435">
        <f>72+108</f>
        <v>180</v>
      </c>
      <c r="H11" s="435"/>
      <c r="I11" s="435" t="s">
        <v>17</v>
      </c>
      <c r="J11" s="435">
        <v>0</v>
      </c>
      <c r="K11" s="695">
        <v>0</v>
      </c>
    </row>
    <row r="12" ht="14.25" customHeight="1" spans="3:11">
      <c r="C12" s="435"/>
      <c r="D12" s="435">
        <v>0</v>
      </c>
      <c r="E12" s="435">
        <v>0</v>
      </c>
      <c r="F12" s="435">
        <v>1000</v>
      </c>
      <c r="G12" s="435">
        <f>96+108</f>
        <v>204</v>
      </c>
      <c r="H12" s="435"/>
      <c r="I12" s="435" t="s">
        <v>18</v>
      </c>
      <c r="J12" s="696">
        <v>3000</v>
      </c>
      <c r="K12" s="697">
        <v>626.26</v>
      </c>
    </row>
    <row r="13" ht="14.25" customHeight="1" spans="3:11">
      <c r="C13" s="443"/>
      <c r="D13" s="443"/>
      <c r="E13" s="443"/>
      <c r="F13" s="443"/>
      <c r="G13" s="443"/>
      <c r="H13" s="443"/>
      <c r="I13" s="443"/>
      <c r="J13" s="698"/>
      <c r="K13" s="443"/>
    </row>
    <row r="14" ht="14.25" customHeight="1" spans="3:11">
      <c r="C14" s="443"/>
      <c r="D14" s="443"/>
      <c r="E14" s="443"/>
      <c r="F14" s="443"/>
      <c r="G14" s="443"/>
      <c r="H14" s="443"/>
      <c r="I14" s="443"/>
      <c r="J14" s="698"/>
      <c r="K14" s="699"/>
    </row>
    <row r="15" ht="14.25" customHeight="1"/>
    <row r="16" ht="14.25" customHeight="1"/>
    <row r="17" ht="14.25" customHeight="1" spans="3:8">
      <c r="C17" s="52" t="s">
        <v>19</v>
      </c>
      <c r="D17" s="310" t="s">
        <v>20</v>
      </c>
    </row>
    <row r="18" ht="14.25" customHeight="1"/>
    <row r="19" ht="14.25" customHeight="1" spans="3:8">
      <c r="C19" s="52" t="s">
        <v>21</v>
      </c>
      <c r="D19" s="700">
        <v>70794</v>
      </c>
    </row>
    <row r="20" ht="14.25" customHeight="1" spans="3:8">
      <c r="C20" s="52" t="s">
        <v>22</v>
      </c>
      <c r="D20" s="700">
        <v>70795</v>
      </c>
      <c r="H20" s="701" t="s">
        <v>23</v>
      </c>
    </row>
    <row r="21" ht="14.25" customHeight="1" spans="3:8">
      <c r="C21" s="462" t="s">
        <v>24</v>
      </c>
      <c r="D21" s="702"/>
    </row>
    <row r="22" ht="14.25" customHeight="1" spans="3:8">
      <c r="C22" s="462" t="s">
        <v>25</v>
      </c>
      <c r="D22" s="702"/>
    </row>
    <row r="23" ht="14.25" customHeight="1"/>
    <row r="24" ht="14.25" customHeight="1"/>
    <row r="25" ht="14.25" customHeight="1" spans="3:8">
      <c r="C25" s="52" t="s">
        <v>26</v>
      </c>
      <c r="D25" s="52" t="s">
        <v>27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I2:J2"/>
    <mergeCell ref="I3:J3"/>
    <mergeCell ref="I6:J6"/>
    <mergeCell ref="I7:J7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Z1000"/>
  <sheetViews>
    <sheetView workbookViewId="0">
      <selection activeCell="A1" sqref="A1"/>
    </sheetView>
  </sheetViews>
  <sheetFormatPr defaultColWidth="12.6271186440678" defaultRowHeight="15" customHeight="1"/>
  <cols>
    <col min="1" max="1" width="1.88135593220339" customWidth="1"/>
    <col min="2" max="2" width="10.3813559322034" customWidth="1"/>
    <col min="3" max="3" width="10.1271186440678" customWidth="1"/>
    <col min="4" max="4" width="8.6271186440678" customWidth="1"/>
    <col min="5" max="5" width="10.5" customWidth="1"/>
    <col min="6" max="6" width="17.1271186440678" customWidth="1"/>
    <col min="7" max="7" width="8.25423728813559" customWidth="1"/>
    <col min="8" max="8" width="11.5" customWidth="1"/>
    <col min="9" max="9" width="7" customWidth="1"/>
    <col min="10" max="10" width="8.75423728813559" customWidth="1"/>
    <col min="11" max="12" width="9.5" customWidth="1"/>
    <col min="13" max="13" width="10.2542372881356" customWidth="1"/>
    <col min="14" max="14" width="8.38135593220339" customWidth="1"/>
    <col min="15" max="15" width="11.1271186440678" customWidth="1"/>
    <col min="16" max="16" width="13.1271186440678" customWidth="1"/>
    <col min="17" max="17" width="2.5" customWidth="1"/>
    <col min="18" max="18" width="11.1271186440678" customWidth="1"/>
    <col min="19" max="19" width="7.6271186440678" customWidth="1"/>
    <col min="20" max="20" width="1.38135593220339" customWidth="1"/>
    <col min="21" max="26" width="11.5" customWidth="1"/>
  </cols>
  <sheetData>
    <row r="1" ht="15.75" customHeight="1" spans="1:26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67.5" customHeight="1" spans="1:26">
      <c r="A2" s="63"/>
      <c r="B2" s="64" t="s">
        <v>28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  <c r="T2" s="63" t="s">
        <v>29</v>
      </c>
      <c r="U2" s="63"/>
      <c r="V2" s="63"/>
      <c r="W2" s="63"/>
      <c r="X2" s="63"/>
      <c r="Y2" s="63"/>
      <c r="Z2" s="63"/>
    </row>
    <row r="3" ht="22.5" customHeight="1" spans="1:26">
      <c r="A3" s="63"/>
      <c r="B3" s="67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8"/>
      <c r="T3" s="63"/>
      <c r="U3" s="63"/>
      <c r="V3" s="63"/>
      <c r="W3" s="63"/>
      <c r="X3" s="63"/>
      <c r="Y3" s="63"/>
      <c r="Z3" s="63"/>
    </row>
    <row r="4" ht="18.75" customHeight="1" spans="1:26">
      <c r="A4" s="63"/>
      <c r="B4" s="511" t="s">
        <v>30</v>
      </c>
      <c r="C4" s="663" t="s">
        <v>31</v>
      </c>
      <c r="D4" s="71"/>
      <c r="E4" s="72"/>
      <c r="F4" s="664" t="s">
        <v>32</v>
      </c>
      <c r="G4" s="665" t="s">
        <v>33</v>
      </c>
      <c r="H4" s="666"/>
      <c r="I4" s="664" t="s">
        <v>34</v>
      </c>
      <c r="J4" s="665" t="s">
        <v>35</v>
      </c>
      <c r="K4" s="82"/>
      <c r="L4" s="82"/>
      <c r="M4" s="664" t="s">
        <v>36</v>
      </c>
      <c r="N4" s="665" t="str">
        <f>'204'!I11</f>
        <v>WMSA</v>
      </c>
      <c r="O4" s="82"/>
      <c r="P4" s="667" t="s">
        <v>37</v>
      </c>
      <c r="Q4" s="82"/>
      <c r="R4" s="665">
        <f>'204'!D19</f>
        <v>70794</v>
      </c>
      <c r="S4" s="68"/>
      <c r="T4" s="63"/>
      <c r="U4" s="63"/>
      <c r="V4" s="63"/>
      <c r="W4" s="63"/>
      <c r="X4" s="63"/>
      <c r="Y4" s="63"/>
      <c r="Z4" s="63"/>
    </row>
    <row r="5" ht="6" customHeight="1" spans="1:26">
      <c r="A5" s="63"/>
      <c r="B5" s="69"/>
      <c r="C5" s="78"/>
      <c r="D5" s="78"/>
      <c r="E5" s="78"/>
      <c r="F5" s="82"/>
      <c r="G5" s="78"/>
      <c r="H5" s="82"/>
      <c r="I5" s="82"/>
      <c r="J5" s="78"/>
      <c r="K5" s="82"/>
      <c r="L5" s="82"/>
      <c r="M5" s="664"/>
      <c r="N5" s="78"/>
      <c r="O5" s="82"/>
      <c r="P5" s="667"/>
      <c r="Q5" s="82"/>
      <c r="R5" s="78"/>
      <c r="S5" s="68"/>
      <c r="T5" s="63"/>
      <c r="U5" s="63"/>
      <c r="V5" s="63"/>
      <c r="W5" s="63"/>
      <c r="X5" s="63"/>
      <c r="Y5" s="63"/>
      <c r="Z5" s="63"/>
    </row>
    <row r="6" ht="18.75" customHeight="1" spans="1:26">
      <c r="A6" s="63"/>
      <c r="B6" s="511" t="s">
        <v>38</v>
      </c>
      <c r="C6" s="668">
        <f ca="1">TODAY()</f>
        <v>46283</v>
      </c>
      <c r="D6" s="71"/>
      <c r="E6" s="72"/>
      <c r="F6" s="664" t="s">
        <v>39</v>
      </c>
      <c r="G6" s="665" t="str">
        <f>J4</f>
        <v>WMKK</v>
      </c>
      <c r="H6" s="666"/>
      <c r="I6" s="664" t="s">
        <v>40</v>
      </c>
      <c r="J6" s="665" t="s">
        <v>33</v>
      </c>
      <c r="K6" s="82"/>
      <c r="L6" s="82"/>
      <c r="M6" s="664" t="s">
        <v>36</v>
      </c>
      <c r="N6" s="665" t="str">
        <f>'204'!I12</f>
        <v>WILL</v>
      </c>
      <c r="O6" s="82"/>
      <c r="P6" s="667" t="s">
        <v>37</v>
      </c>
      <c r="Q6" s="82"/>
      <c r="R6" s="665">
        <f>'204'!D20</f>
        <v>70795</v>
      </c>
      <c r="S6" s="68"/>
      <c r="T6" s="63"/>
      <c r="U6" s="63"/>
      <c r="V6" s="63"/>
      <c r="W6" s="63"/>
      <c r="X6" s="63"/>
      <c r="Y6" s="63"/>
      <c r="Z6" s="63"/>
    </row>
    <row r="7" ht="6" customHeight="1" spans="1:26">
      <c r="A7" s="63"/>
      <c r="B7" s="511"/>
      <c r="C7" s="669"/>
      <c r="D7" s="78"/>
      <c r="E7" s="78"/>
      <c r="F7" s="82"/>
      <c r="G7" s="82"/>
      <c r="H7" s="82"/>
      <c r="I7" s="82"/>
      <c r="J7" s="82"/>
      <c r="K7" s="82"/>
      <c r="L7" s="82"/>
      <c r="M7" s="82"/>
      <c r="N7" s="82"/>
      <c r="O7" s="82"/>
      <c r="P7" s="667"/>
      <c r="Q7" s="82"/>
      <c r="R7" s="82"/>
      <c r="S7" s="68"/>
      <c r="T7" s="63"/>
      <c r="U7" s="63"/>
      <c r="V7" s="63"/>
      <c r="W7" s="63"/>
      <c r="X7" s="63"/>
      <c r="Y7" s="63"/>
      <c r="Z7" s="63"/>
    </row>
    <row r="8" ht="18.75" customHeight="1" spans="1:26">
      <c r="A8" s="63"/>
      <c r="B8" s="511" t="s">
        <v>41</v>
      </c>
      <c r="C8" s="670" t="str">
        <f>'204'!C3</f>
        <v>PK-AZI</v>
      </c>
      <c r="D8" s="671" t="str">
        <f>'204'!H5</f>
        <v>PK-AZI</v>
      </c>
      <c r="E8" s="672"/>
      <c r="F8" s="673" t="s">
        <v>42</v>
      </c>
      <c r="G8" s="674" t="s">
        <v>33</v>
      </c>
      <c r="H8" s="675"/>
      <c r="I8" s="673" t="s">
        <v>43</v>
      </c>
      <c r="J8" s="674" t="s">
        <v>44</v>
      </c>
      <c r="K8" s="369"/>
      <c r="L8" s="369"/>
      <c r="M8" s="673" t="s">
        <v>36</v>
      </c>
      <c r="N8" s="674" t="s">
        <v>45</v>
      </c>
      <c r="O8" s="369"/>
      <c r="P8" s="676" t="s">
        <v>37</v>
      </c>
      <c r="Q8" s="369"/>
      <c r="R8" s="674" t="s">
        <v>45</v>
      </c>
      <c r="S8" s="68"/>
      <c r="T8" s="63"/>
      <c r="U8" s="63"/>
      <c r="V8" s="63"/>
      <c r="W8" s="63"/>
      <c r="X8" s="63"/>
      <c r="Y8" s="63"/>
      <c r="Z8" s="63"/>
    </row>
    <row r="9" ht="5.25" customHeight="1" spans="1:26">
      <c r="A9" s="63"/>
      <c r="B9" s="90"/>
      <c r="C9" s="82"/>
      <c r="D9" s="82"/>
      <c r="E9" s="82"/>
      <c r="F9" s="677"/>
      <c r="G9" s="677"/>
      <c r="H9" s="369"/>
      <c r="I9" s="677"/>
      <c r="J9" s="369"/>
      <c r="K9" s="677"/>
      <c r="L9" s="677"/>
      <c r="M9" s="369"/>
      <c r="N9" s="369"/>
      <c r="O9" s="369"/>
      <c r="P9" s="676"/>
      <c r="Q9" s="369"/>
      <c r="R9" s="369"/>
      <c r="S9" s="68"/>
      <c r="T9" s="63"/>
      <c r="U9" s="63"/>
      <c r="V9" s="63"/>
      <c r="W9" s="63"/>
      <c r="X9" s="63"/>
      <c r="Y9" s="63"/>
      <c r="Z9" s="63"/>
    </row>
    <row r="10" ht="15.75" customHeight="1" spans="1:26">
      <c r="A10" s="63"/>
      <c r="B10" s="67"/>
      <c r="C10" s="82"/>
      <c r="D10" s="82"/>
      <c r="E10" s="82"/>
      <c r="F10" s="673" t="s">
        <v>46</v>
      </c>
      <c r="G10" s="674" t="str">
        <f>J8</f>
        <v>WSSS</v>
      </c>
      <c r="H10" s="675"/>
      <c r="I10" s="673" t="s">
        <v>47</v>
      </c>
      <c r="J10" s="674" t="s">
        <v>33</v>
      </c>
      <c r="K10" s="369"/>
      <c r="L10" s="369"/>
      <c r="M10" s="673" t="s">
        <v>36</v>
      </c>
      <c r="N10" s="674" t="s">
        <v>45</v>
      </c>
      <c r="O10" s="369"/>
      <c r="P10" s="676" t="s">
        <v>37</v>
      </c>
      <c r="Q10" s="369"/>
      <c r="R10" s="674" t="s">
        <v>45</v>
      </c>
      <c r="S10" s="68"/>
      <c r="T10" s="63"/>
      <c r="U10" s="63"/>
      <c r="V10" s="63"/>
      <c r="W10" s="63"/>
      <c r="X10" s="63"/>
      <c r="Y10" s="63"/>
      <c r="Z10" s="63"/>
    </row>
    <row r="11" ht="6" customHeight="1" spans="1:26">
      <c r="A11" s="63"/>
      <c r="B11" s="67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8"/>
      <c r="T11" s="63"/>
      <c r="U11" s="63"/>
      <c r="V11" s="63"/>
      <c r="W11" s="63"/>
      <c r="X11" s="63"/>
      <c r="Y11" s="63"/>
      <c r="Z11" s="63"/>
    </row>
    <row r="12" ht="18.75" customHeight="1" spans="1:26">
      <c r="A12" s="63"/>
      <c r="B12" s="67"/>
      <c r="C12" s="82" t="s">
        <v>48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517"/>
      <c r="S12" s="68"/>
      <c r="T12" s="63"/>
      <c r="U12" s="63"/>
      <c r="V12" s="63"/>
      <c r="W12" s="63"/>
      <c r="X12" s="63"/>
      <c r="Y12" s="63"/>
      <c r="Z12" s="63"/>
    </row>
    <row r="13" ht="72.75" customHeight="1" spans="1:26">
      <c r="A13" s="63"/>
      <c r="B13" s="67"/>
      <c r="C13" s="95" t="s">
        <v>33</v>
      </c>
      <c r="D13" s="96" t="s">
        <v>49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8"/>
      <c r="S13" s="99"/>
      <c r="T13" s="63"/>
      <c r="U13" s="63"/>
      <c r="V13" s="63"/>
      <c r="W13" s="63"/>
      <c r="X13" s="63"/>
      <c r="Y13" s="63"/>
      <c r="Z13" s="63"/>
    </row>
    <row r="14" ht="57" customHeight="1" spans="1:26">
      <c r="A14" s="63"/>
      <c r="B14" s="67"/>
      <c r="C14" s="95" t="s">
        <v>35</v>
      </c>
      <c r="D14" s="96" t="s">
        <v>50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8"/>
      <c r="S14" s="99"/>
      <c r="T14" s="63"/>
      <c r="U14" s="63"/>
      <c r="V14" s="63"/>
      <c r="W14" s="63"/>
      <c r="X14" s="63"/>
      <c r="Y14" s="63"/>
      <c r="Z14" s="63"/>
    </row>
    <row r="15" ht="90.75" customHeight="1" spans="1:26">
      <c r="A15" s="63"/>
      <c r="B15" s="67"/>
      <c r="C15" s="95" t="s">
        <v>17</v>
      </c>
      <c r="D15" s="96" t="s">
        <v>51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  <c r="S15" s="100"/>
      <c r="T15" s="63"/>
      <c r="U15" s="63"/>
      <c r="V15" s="63"/>
      <c r="W15" s="63"/>
      <c r="X15" s="63"/>
      <c r="Y15" s="63"/>
      <c r="Z15" s="63"/>
    </row>
    <row r="16" ht="69" customHeight="1" spans="1:26">
      <c r="A16" s="63"/>
      <c r="B16" s="67"/>
      <c r="C16" s="95" t="s">
        <v>52</v>
      </c>
      <c r="D16" s="96" t="s">
        <v>53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8"/>
      <c r="S16" s="620"/>
      <c r="T16" s="63"/>
      <c r="U16" s="63"/>
      <c r="V16" s="63"/>
      <c r="W16" s="63"/>
      <c r="X16" s="63"/>
      <c r="Y16" s="63"/>
      <c r="Z16" s="63"/>
    </row>
    <row r="17" ht="51" customHeight="1" spans="1:26">
      <c r="A17" s="63"/>
      <c r="B17" s="67"/>
      <c r="C17" s="95" t="s">
        <v>18</v>
      </c>
      <c r="D17" s="96" t="s">
        <v>54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8"/>
      <c r="S17" s="620"/>
      <c r="T17" s="63"/>
      <c r="U17" s="63"/>
      <c r="V17" s="63"/>
      <c r="W17" s="63"/>
      <c r="X17" s="63"/>
      <c r="Y17" s="63"/>
      <c r="Z17" s="63"/>
    </row>
    <row r="18" ht="54.75" customHeight="1" spans="1:26">
      <c r="A18" s="63"/>
      <c r="B18" s="67"/>
      <c r="C18" s="95" t="s">
        <v>55</v>
      </c>
      <c r="D18" s="96" t="s">
        <v>56</v>
      </c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8"/>
      <c r="S18" s="620"/>
      <c r="T18" s="63"/>
      <c r="U18" s="63"/>
      <c r="V18" s="63"/>
      <c r="W18" s="63"/>
      <c r="X18" s="63"/>
      <c r="Y18" s="63"/>
      <c r="Z18" s="63"/>
    </row>
    <row r="19" ht="15.75" customHeight="1" spans="1:26">
      <c r="A19" s="63"/>
      <c r="B19" s="67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101"/>
      <c r="S19" s="68"/>
      <c r="T19" s="63"/>
      <c r="U19" s="63"/>
      <c r="V19" s="63"/>
      <c r="W19" s="63"/>
      <c r="X19" s="63"/>
      <c r="Y19" s="63"/>
      <c r="Z19" s="63"/>
    </row>
    <row r="20" ht="15.75" customHeight="1" spans="1:26">
      <c r="A20" s="63"/>
      <c r="B20" s="67"/>
      <c r="C20" s="102"/>
      <c r="D20" s="621" t="s">
        <v>57</v>
      </c>
      <c r="E20" s="102" t="s">
        <v>58</v>
      </c>
      <c r="F20" s="103" t="s">
        <v>59</v>
      </c>
      <c r="G20" s="104"/>
      <c r="H20" s="104"/>
      <c r="I20" s="104"/>
      <c r="J20" s="105"/>
      <c r="K20" s="621" t="s">
        <v>57</v>
      </c>
      <c r="L20" s="621" t="s">
        <v>57</v>
      </c>
      <c r="M20" s="102" t="s">
        <v>58</v>
      </c>
      <c r="N20" s="103" t="s">
        <v>59</v>
      </c>
      <c r="O20" s="104"/>
      <c r="P20" s="104"/>
      <c r="Q20" s="104"/>
      <c r="R20" s="105"/>
      <c r="S20" s="106"/>
      <c r="T20" s="63"/>
      <c r="U20" s="63"/>
      <c r="V20" s="63"/>
      <c r="W20" s="63"/>
      <c r="X20" s="63"/>
      <c r="Y20" s="63"/>
      <c r="Z20" s="63"/>
    </row>
    <row r="21" ht="15.75" customHeight="1" spans="1:26">
      <c r="A21" s="63"/>
      <c r="B21" s="67"/>
      <c r="C21" s="107"/>
      <c r="D21" s="678" t="s">
        <v>60</v>
      </c>
      <c r="E21" s="107"/>
      <c r="F21" s="109"/>
      <c r="G21" s="20"/>
      <c r="H21" s="20"/>
      <c r="I21" s="20"/>
      <c r="J21" s="110"/>
      <c r="K21" s="678" t="s">
        <v>60</v>
      </c>
      <c r="L21" s="678" t="s">
        <v>60</v>
      </c>
      <c r="M21" s="107"/>
      <c r="N21" s="109"/>
      <c r="O21" s="20"/>
      <c r="P21" s="20"/>
      <c r="Q21" s="20"/>
      <c r="R21" s="110"/>
      <c r="S21" s="106"/>
      <c r="T21" s="63"/>
      <c r="U21" s="63"/>
      <c r="V21" s="63"/>
      <c r="W21" s="63"/>
      <c r="X21" s="63"/>
      <c r="Y21" s="63"/>
      <c r="Z21" s="63"/>
    </row>
    <row r="22" ht="49.5" customHeight="1" spans="1:26">
      <c r="A22" s="63"/>
      <c r="B22" s="67"/>
      <c r="C22" s="38" t="s">
        <v>32</v>
      </c>
      <c r="D22" s="38" t="s">
        <v>33</v>
      </c>
      <c r="E22" s="111">
        <f>'204'!F4</f>
        <v>1.23958333333333</v>
      </c>
      <c r="F22" s="112" t="s">
        <v>61</v>
      </c>
      <c r="G22" s="97"/>
      <c r="H22" s="97"/>
      <c r="I22" s="97"/>
      <c r="J22" s="98"/>
      <c r="K22" s="373" t="s">
        <v>42</v>
      </c>
      <c r="L22" s="373" t="str">
        <f>G8</f>
        <v>WIII</v>
      </c>
      <c r="M22" s="380" t="s">
        <v>45</v>
      </c>
      <c r="N22" s="679"/>
      <c r="O22" s="97"/>
      <c r="P22" s="97"/>
      <c r="Q22" s="97"/>
      <c r="R22" s="98"/>
      <c r="S22" s="106"/>
      <c r="T22" s="63"/>
      <c r="U22" s="63"/>
      <c r="V22" s="63"/>
      <c r="W22" s="63"/>
      <c r="X22" s="63"/>
      <c r="Y22" s="63"/>
      <c r="Z22" s="63"/>
    </row>
    <row r="23" ht="49.5" customHeight="1" spans="1:26">
      <c r="A23" s="63"/>
      <c r="B23" s="67"/>
      <c r="C23" s="38" t="s">
        <v>34</v>
      </c>
      <c r="D23" s="38" t="str">
        <f>J4</f>
        <v>WMKK</v>
      </c>
      <c r="E23" s="111">
        <f>'204'!G4</f>
        <v>0.326388888888889</v>
      </c>
      <c r="F23" s="112" t="s">
        <v>62</v>
      </c>
      <c r="G23" s="97"/>
      <c r="H23" s="97"/>
      <c r="I23" s="97"/>
      <c r="J23" s="98"/>
      <c r="K23" s="373" t="s">
        <v>43</v>
      </c>
      <c r="L23" s="373" t="str">
        <f>J8</f>
        <v>WSSS</v>
      </c>
      <c r="M23" s="380" t="s">
        <v>45</v>
      </c>
      <c r="N23" s="379"/>
      <c r="O23" s="97"/>
      <c r="P23" s="97"/>
      <c r="Q23" s="97"/>
      <c r="R23" s="98"/>
      <c r="S23" s="106"/>
      <c r="T23" s="63"/>
      <c r="U23" s="63"/>
      <c r="V23" s="63"/>
      <c r="W23" s="63"/>
      <c r="X23" s="63"/>
      <c r="Y23" s="63"/>
      <c r="Z23" s="63"/>
    </row>
    <row r="24" ht="49.5" customHeight="1" spans="1:26">
      <c r="A24" s="63"/>
      <c r="B24" s="67"/>
      <c r="C24" s="38" t="s">
        <v>39</v>
      </c>
      <c r="D24" s="117" t="str">
        <f>G6</f>
        <v>WMKK</v>
      </c>
      <c r="E24" s="111">
        <f>'204'!F5</f>
        <v>0.34375</v>
      </c>
      <c r="F24" s="112" t="s">
        <v>62</v>
      </c>
      <c r="G24" s="97"/>
      <c r="H24" s="97"/>
      <c r="I24" s="97"/>
      <c r="J24" s="98"/>
      <c r="K24" s="373" t="s">
        <v>46</v>
      </c>
      <c r="L24" s="375" t="str">
        <f>G10</f>
        <v>WSSS</v>
      </c>
      <c r="M24" s="380" t="s">
        <v>45</v>
      </c>
      <c r="N24" s="379"/>
      <c r="O24" s="97"/>
      <c r="P24" s="97"/>
      <c r="Q24" s="97"/>
      <c r="R24" s="98"/>
      <c r="S24" s="106"/>
      <c r="T24" s="63"/>
      <c r="U24" s="63"/>
      <c r="V24" s="63"/>
      <c r="W24" s="63"/>
      <c r="X24" s="63"/>
      <c r="Y24" s="63"/>
      <c r="Z24" s="63"/>
    </row>
    <row r="25" ht="49.5" customHeight="1" spans="1:26">
      <c r="A25" s="63"/>
      <c r="B25" s="67"/>
      <c r="C25" s="38" t="s">
        <v>40</v>
      </c>
      <c r="D25" s="38" t="str">
        <f>J6</f>
        <v>WIII</v>
      </c>
      <c r="E25" s="111">
        <f>'204'!G5</f>
        <v>0.430555555555556</v>
      </c>
      <c r="F25" s="112" t="s">
        <v>61</v>
      </c>
      <c r="G25" s="97"/>
      <c r="H25" s="97"/>
      <c r="I25" s="97"/>
      <c r="J25" s="98"/>
      <c r="K25" s="373" t="s">
        <v>47</v>
      </c>
      <c r="L25" s="373" t="str">
        <f>J10</f>
        <v>WIII</v>
      </c>
      <c r="M25" s="380" t="s">
        <v>45</v>
      </c>
      <c r="N25" s="679"/>
      <c r="O25" s="97"/>
      <c r="P25" s="97"/>
      <c r="Q25" s="97"/>
      <c r="R25" s="98"/>
      <c r="S25" s="106"/>
      <c r="T25" s="63"/>
      <c r="U25" s="63"/>
      <c r="V25" s="63"/>
      <c r="W25" s="63"/>
      <c r="X25" s="63"/>
      <c r="Y25" s="63"/>
      <c r="Z25" s="63"/>
    </row>
    <row r="26" ht="6" customHeight="1" spans="1:26">
      <c r="A26" s="63"/>
      <c r="B26" s="67"/>
      <c r="C26" s="38"/>
      <c r="D26" s="38"/>
      <c r="E26" s="117"/>
      <c r="F26" s="520"/>
      <c r="G26" s="97"/>
      <c r="H26" s="97"/>
      <c r="I26" s="97"/>
      <c r="J26" s="98"/>
      <c r="K26" s="38"/>
      <c r="L26" s="38"/>
      <c r="M26" s="117"/>
      <c r="N26" s="521"/>
      <c r="O26" s="521"/>
      <c r="P26" s="521"/>
      <c r="Q26" s="521"/>
      <c r="R26" s="522"/>
      <c r="S26" s="68"/>
      <c r="T26" s="63"/>
      <c r="U26" s="63"/>
      <c r="V26" s="63"/>
      <c r="W26" s="63"/>
      <c r="X26" s="63"/>
      <c r="Y26" s="63"/>
      <c r="Z26" s="63"/>
    </row>
    <row r="27" ht="15.75" customHeight="1" spans="1:26">
      <c r="A27" s="63"/>
      <c r="B27" s="67"/>
      <c r="C27" s="58"/>
      <c r="D27" s="58"/>
      <c r="E27" s="119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120"/>
      <c r="S27" s="106"/>
      <c r="T27" s="63"/>
      <c r="U27" s="63"/>
      <c r="V27" s="63"/>
      <c r="W27" s="63"/>
      <c r="X27" s="63"/>
      <c r="Y27" s="63"/>
      <c r="Z27" s="63"/>
    </row>
    <row r="28" ht="15.75" customHeight="1" spans="1:26">
      <c r="A28" s="63"/>
      <c r="B28" s="67"/>
      <c r="C28" s="102"/>
      <c r="D28" s="680" t="s">
        <v>57</v>
      </c>
      <c r="E28" s="103" t="s">
        <v>63</v>
      </c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5"/>
      <c r="S28" s="106"/>
      <c r="T28" s="63"/>
      <c r="U28" s="63"/>
      <c r="V28" s="63"/>
      <c r="W28" s="63"/>
      <c r="X28" s="63"/>
      <c r="Y28" s="63"/>
      <c r="Z28" s="63"/>
    </row>
    <row r="29" ht="15.75" customHeight="1" spans="1:26">
      <c r="A29" s="63"/>
      <c r="B29" s="67"/>
      <c r="C29" s="107"/>
      <c r="D29" s="681" t="s">
        <v>60</v>
      </c>
      <c r="E29" s="10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10"/>
      <c r="S29" s="106"/>
      <c r="T29" s="63"/>
      <c r="U29" s="63"/>
      <c r="V29" s="63"/>
      <c r="W29" s="63"/>
      <c r="X29" s="63"/>
      <c r="Y29" s="63"/>
      <c r="Z29" s="63"/>
    </row>
    <row r="30" ht="3" customHeight="1" spans="1:26">
      <c r="A30" s="63"/>
      <c r="B30" s="67"/>
      <c r="C30" s="123"/>
      <c r="D30" s="123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6"/>
      <c r="S30" s="127"/>
      <c r="T30" s="63"/>
      <c r="U30" s="63"/>
      <c r="V30" s="63"/>
      <c r="W30" s="63"/>
      <c r="X30" s="63"/>
      <c r="Y30" s="63"/>
      <c r="Z30" s="63"/>
    </row>
    <row r="31" ht="264" customHeight="1" spans="1:26">
      <c r="A31" s="63"/>
      <c r="B31" s="67"/>
      <c r="C31" s="128"/>
      <c r="D31" s="129" t="s">
        <v>33</v>
      </c>
      <c r="E31" s="130" t="e">
        <f>#REF!</f>
        <v>#REF!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127"/>
      <c r="T31" s="63"/>
      <c r="U31" s="63"/>
      <c r="V31" s="63"/>
      <c r="W31" s="63"/>
      <c r="X31" s="63"/>
      <c r="Y31" s="63"/>
      <c r="Z31" s="63"/>
    </row>
    <row r="32" ht="304.5" customHeight="1" spans="1:26">
      <c r="A32" s="63"/>
      <c r="B32" s="67"/>
      <c r="C32" s="123"/>
      <c r="D32" s="95" t="s">
        <v>35</v>
      </c>
      <c r="E32" s="130" t="e">
        <f>#REF!</f>
        <v>#REF!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8"/>
      <c r="S32" s="127"/>
      <c r="T32" s="63"/>
      <c r="U32" s="63"/>
      <c r="V32" s="63"/>
      <c r="W32" s="63"/>
      <c r="X32" s="63"/>
      <c r="Y32" s="63"/>
      <c r="Z32" s="63"/>
    </row>
    <row r="33" ht="222.75" customHeight="1" spans="1:26">
      <c r="A33" s="63"/>
      <c r="B33" s="67"/>
      <c r="C33" s="38"/>
      <c r="D33" s="131" t="s">
        <v>17</v>
      </c>
      <c r="E33" s="130" t="e">
        <f>#REF!</f>
        <v>#REF!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8"/>
      <c r="S33" s="127"/>
      <c r="T33" s="63"/>
      <c r="U33" s="63"/>
      <c r="V33" s="63"/>
      <c r="W33" s="63"/>
      <c r="X33" s="63"/>
      <c r="Y33" s="63"/>
      <c r="Z33" s="63"/>
    </row>
    <row r="34" ht="249" customHeight="1" spans="1:26">
      <c r="A34" s="63"/>
      <c r="B34" s="67"/>
      <c r="C34" s="682"/>
      <c r="D34" s="683" t="s">
        <v>52</v>
      </c>
      <c r="E34" s="134" t="e">
        <f>#REF!</f>
        <v>#REF!</v>
      </c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5"/>
      <c r="S34" s="127"/>
      <c r="T34" s="63"/>
      <c r="U34" s="63"/>
      <c r="V34" s="63"/>
      <c r="W34" s="63"/>
      <c r="X34" s="63"/>
      <c r="Y34" s="63"/>
      <c r="Z34" s="63"/>
    </row>
    <row r="35" ht="51" customHeight="1" spans="1:26">
      <c r="A35" s="63"/>
      <c r="B35" s="684"/>
      <c r="C35" s="38"/>
      <c r="D35" s="95" t="s">
        <v>18</v>
      </c>
      <c r="E35" s="134" t="e">
        <f>#REF!</f>
        <v>#REF!</v>
      </c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  <c r="S35" s="127"/>
      <c r="T35" s="63"/>
      <c r="U35" s="63"/>
      <c r="V35" s="63"/>
      <c r="W35" s="63"/>
      <c r="X35" s="63"/>
      <c r="Y35" s="63"/>
      <c r="Z35" s="63"/>
    </row>
    <row r="36" ht="135.75" customHeight="1" spans="1:26">
      <c r="A36" s="63"/>
      <c r="B36" s="67"/>
      <c r="C36" s="685"/>
      <c r="D36" s="279" t="s">
        <v>55</v>
      </c>
      <c r="E36" s="134" t="e">
        <f>#REF!</f>
        <v>#REF!</v>
      </c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5"/>
      <c r="S36" s="523"/>
      <c r="T36" s="63"/>
      <c r="U36" s="63"/>
      <c r="V36" s="63"/>
      <c r="W36" s="63"/>
      <c r="X36" s="63"/>
      <c r="Y36" s="63"/>
      <c r="Z36" s="63"/>
    </row>
    <row r="37" ht="21" customHeight="1" spans="1:26">
      <c r="A37" s="63"/>
      <c r="B37" s="67"/>
      <c r="C37" s="135" t="s">
        <v>64</v>
      </c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8"/>
      <c r="S37" s="68"/>
      <c r="T37" s="63"/>
      <c r="U37" s="63"/>
      <c r="V37" s="63"/>
      <c r="W37" s="63"/>
      <c r="X37" s="63"/>
      <c r="Y37" s="63"/>
      <c r="Z37" s="63"/>
    </row>
    <row r="38" ht="15.75" customHeight="1" spans="1:26">
      <c r="A38" s="63"/>
      <c r="B38" s="67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68"/>
      <c r="T38" s="63"/>
      <c r="U38" s="63"/>
      <c r="V38" s="63"/>
      <c r="W38" s="63"/>
      <c r="X38" s="63"/>
      <c r="Y38" s="63"/>
      <c r="Z38" s="63"/>
    </row>
    <row r="39" ht="15.75" customHeight="1" spans="1:26">
      <c r="A39" s="63"/>
      <c r="B39" s="67"/>
      <c r="C39" s="82"/>
      <c r="D39" s="82"/>
      <c r="E39" s="82"/>
      <c r="F39" s="82"/>
      <c r="G39" s="82"/>
      <c r="H39" s="58" t="s">
        <v>65</v>
      </c>
      <c r="I39" s="82"/>
      <c r="J39" s="82"/>
      <c r="K39" s="82"/>
      <c r="L39" s="82"/>
      <c r="M39" s="82"/>
      <c r="N39" s="82"/>
      <c r="O39" s="82"/>
      <c r="P39" s="58" t="s">
        <v>66</v>
      </c>
      <c r="Q39" s="82"/>
      <c r="R39" s="82"/>
      <c r="S39" s="68"/>
      <c r="T39" s="63"/>
      <c r="U39" s="63"/>
      <c r="V39" s="63"/>
      <c r="W39" s="63"/>
      <c r="X39" s="63"/>
      <c r="Y39" s="63"/>
      <c r="Z39" s="63"/>
    </row>
    <row r="40" ht="15.75" customHeight="1" spans="1:26">
      <c r="A40" s="63"/>
      <c r="B40" s="67"/>
      <c r="C40" s="82"/>
      <c r="D40" s="82"/>
      <c r="E40" s="82"/>
      <c r="F40" s="82"/>
      <c r="G40" s="82"/>
      <c r="H40" s="58" t="s">
        <v>67</v>
      </c>
      <c r="I40" s="82"/>
      <c r="J40" s="82"/>
      <c r="K40" s="82"/>
      <c r="L40" s="82"/>
      <c r="M40" s="82"/>
      <c r="N40" s="82"/>
      <c r="O40" s="82"/>
      <c r="P40" s="58" t="s">
        <v>67</v>
      </c>
      <c r="Q40" s="82"/>
      <c r="R40" s="82"/>
      <c r="S40" s="68"/>
      <c r="T40" s="63"/>
      <c r="U40" s="63"/>
      <c r="V40" s="63"/>
      <c r="W40" s="63"/>
      <c r="X40" s="63"/>
      <c r="Y40" s="63"/>
      <c r="Z40" s="63"/>
    </row>
    <row r="41" ht="19.5" customHeight="1" spans="1:26">
      <c r="A41" s="63"/>
      <c r="B41" s="67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68"/>
      <c r="T41" s="63"/>
      <c r="U41" s="63"/>
      <c r="V41" s="63"/>
      <c r="W41" s="63"/>
      <c r="X41" s="63"/>
      <c r="Y41" s="63"/>
      <c r="Z41" s="63"/>
    </row>
    <row r="42" ht="19.5" customHeight="1" spans="1:26">
      <c r="A42" s="63"/>
      <c r="B42" s="67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68"/>
      <c r="T42" s="63"/>
      <c r="U42" s="63"/>
      <c r="V42" s="63"/>
      <c r="W42" s="63"/>
      <c r="X42" s="63"/>
      <c r="Y42" s="63"/>
      <c r="Z42" s="63"/>
    </row>
    <row r="43" ht="17.25" customHeight="1" spans="1:26">
      <c r="A43" s="63"/>
      <c r="B43" s="67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68"/>
      <c r="T43" s="63"/>
      <c r="U43" s="63"/>
      <c r="V43" s="63"/>
      <c r="W43" s="63"/>
      <c r="X43" s="63"/>
      <c r="Y43" s="63"/>
      <c r="Z43" s="63"/>
    </row>
    <row r="44" ht="15.75" customHeight="1" spans="1:26">
      <c r="A44" s="63"/>
      <c r="B44" s="67"/>
      <c r="C44" s="82"/>
      <c r="D44" s="82"/>
      <c r="E44" s="82"/>
      <c r="F44" s="82"/>
      <c r="G44" s="136" t="s">
        <v>68</v>
      </c>
      <c r="J44" s="82"/>
      <c r="K44" s="82"/>
      <c r="L44" s="82"/>
      <c r="M44" s="82"/>
      <c r="N44" s="82"/>
      <c r="O44" s="136" t="str">
        <f>'204'!D17</f>
        <v>CAPT.  SUHANDI</v>
      </c>
      <c r="S44" s="68"/>
      <c r="T44" s="63"/>
      <c r="U44" s="63"/>
      <c r="V44" s="63"/>
      <c r="W44" s="63"/>
      <c r="X44" s="63"/>
      <c r="Y44" s="63"/>
      <c r="Z44" s="63"/>
    </row>
    <row r="45" ht="15.75" customHeight="1" spans="1:26">
      <c r="A45" s="63"/>
      <c r="B45" s="137"/>
      <c r="C45" s="686"/>
      <c r="D45" s="686"/>
      <c r="E45" s="686"/>
      <c r="F45" s="686"/>
      <c r="G45" s="686"/>
      <c r="H45" s="686" t="s">
        <v>69</v>
      </c>
      <c r="I45" s="686"/>
      <c r="J45" s="686"/>
      <c r="K45" s="686"/>
      <c r="L45" s="686"/>
      <c r="M45" s="686"/>
      <c r="N45" s="686"/>
      <c r="O45" s="686"/>
      <c r="P45" s="686" t="s">
        <v>70</v>
      </c>
      <c r="Q45" s="686"/>
      <c r="R45" s="686"/>
      <c r="S45" s="139"/>
      <c r="T45" s="63"/>
      <c r="U45" s="63"/>
      <c r="V45" s="63"/>
      <c r="W45" s="63"/>
      <c r="X45" s="63"/>
      <c r="Y45" s="63"/>
      <c r="Z45" s="63"/>
    </row>
    <row r="46" ht="15.75" customHeight="1" spans="1:2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 spans="1:26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 spans="1:26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 spans="1:26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 spans="1:26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 spans="1:26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 spans="1:26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 spans="1:26">
      <c r="A53" s="63"/>
      <c r="B53" s="63"/>
      <c r="C53" s="63"/>
      <c r="D53" s="63"/>
      <c r="E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 spans="1:26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 spans="1:26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 spans="1:2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 spans="1:26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 spans="1:26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 spans="1:26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 spans="1:26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 spans="1:26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 spans="1:26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 spans="1:26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 spans="1:26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 spans="1:26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 spans="1:2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 spans="1:26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 spans="1:26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 spans="1:26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 spans="1:26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 spans="1:26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 spans="1:26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 spans="1:26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 spans="1:26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 spans="1:26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 spans="1:2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 spans="1:26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 spans="1:26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 spans="1:26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 spans="1:26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 spans="1:26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 spans="1:26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 spans="1:26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 spans="1:26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 spans="1:26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 spans="1:2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 spans="1:26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 spans="1:26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 spans="1:26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 spans="1:26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 spans="1:26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 spans="1:26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 spans="1:26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 spans="1:26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 spans="1:26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 spans="1:2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 spans="1:26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 spans="1:26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 spans="1:26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 spans="1:26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 spans="1:26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 spans="1:26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 spans="1:26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 spans="1:26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 spans="1:26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 spans="1:2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 spans="1:26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 spans="1:26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 spans="1:26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 spans="1:26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 spans="1:26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 spans="1:26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 spans="1:26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 spans="1:26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 spans="1:26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 spans="1:2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 spans="1:26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 spans="1:26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 spans="1:26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 spans="1:26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 spans="1:26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 spans="1:26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 spans="1:26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 spans="1:26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 spans="1:26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 spans="1: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 spans="1:26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 spans="1:26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 spans="1:26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 spans="1:26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 spans="1:26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 spans="1:26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 spans="1:26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 spans="1:26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 spans="1:26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 spans="1:2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 spans="1:26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 spans="1:26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 spans="1:26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 spans="1:26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 spans="1:26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 spans="1:26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 spans="1:26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 spans="1:26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 spans="1:26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 spans="1:2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 spans="1:26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 spans="1:26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 spans="1:26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 spans="1:26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 spans="1:26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 spans="1:26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 spans="1:26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 spans="1:26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 spans="1:26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 spans="1:2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 spans="1:26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 spans="1:26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 spans="1:26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 spans="1:26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 spans="1:26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 spans="1:26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 spans="1:26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 spans="1:26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 spans="1:26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 spans="1:2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 spans="1:26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 spans="1:26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 spans="1:26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 spans="1:26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 spans="1:26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 spans="1:26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 spans="1:26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 spans="1:26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 spans="1:26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 spans="1:2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 spans="1:26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 spans="1:26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 spans="1:26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 spans="1:26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 spans="1:26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 spans="1:26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 spans="1:26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 spans="1:26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 spans="1:26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 spans="1:2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 spans="1:26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 spans="1:26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 spans="1:26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 spans="1:26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 spans="1:26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 spans="1:26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 spans="1:26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 spans="1:26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 spans="1:26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 spans="1:2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 spans="1:26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 spans="1:26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 spans="1:26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 spans="1:26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 spans="1:26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 spans="1:26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 spans="1:26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 spans="1:26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 spans="1:26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 spans="1:2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 spans="1:26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 spans="1:26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 spans="1:26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 spans="1:26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 spans="1:26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 spans="1:26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 spans="1:26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 spans="1:26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 spans="1:26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 spans="1:2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 spans="1:26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 spans="1:26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 spans="1:26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 spans="1:26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 spans="1:26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 spans="1:26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 spans="1:26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 spans="1:26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 spans="1:26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 spans="1: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 spans="1:26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 spans="1:26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 spans="1:26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 spans="1:26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 spans="1:26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 spans="1:26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 spans="1:26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 spans="1:26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 spans="1:26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 spans="1:2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 spans="1:26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 spans="1:26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 spans="1:26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 spans="1:26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 spans="1:26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 spans="1:26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 spans="1:26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 spans="1:26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2:S2"/>
    <mergeCell ref="C4:E4"/>
    <mergeCell ref="C6:E6"/>
    <mergeCell ref="D8:E8"/>
    <mergeCell ref="D13:R13"/>
    <mergeCell ref="D14:R14"/>
    <mergeCell ref="D15:R15"/>
    <mergeCell ref="D16:R16"/>
    <mergeCell ref="D17:R17"/>
    <mergeCell ref="D18:R18"/>
    <mergeCell ref="F22:J22"/>
    <mergeCell ref="N22:R22"/>
    <mergeCell ref="F23:J23"/>
    <mergeCell ref="N23:R23"/>
    <mergeCell ref="F24:J24"/>
    <mergeCell ref="N24:R24"/>
    <mergeCell ref="F25:J25"/>
    <mergeCell ref="N25:R25"/>
    <mergeCell ref="F26:J26"/>
    <mergeCell ref="E31:R31"/>
    <mergeCell ref="E32:R32"/>
    <mergeCell ref="E33:R33"/>
    <mergeCell ref="E34:R34"/>
    <mergeCell ref="E35:R35"/>
    <mergeCell ref="E36:R36"/>
    <mergeCell ref="C37:R37"/>
    <mergeCell ref="G44:I44"/>
    <mergeCell ref="O44:R44"/>
    <mergeCell ref="C20:C21"/>
    <mergeCell ref="C28:C29"/>
    <mergeCell ref="E20:E21"/>
    <mergeCell ref="M20:M21"/>
    <mergeCell ref="N20:R21"/>
    <mergeCell ref="F20:J21"/>
    <mergeCell ref="E28:R29"/>
  </mergeCells>
  <printOptions horizontalCentered="1" verticalCentered="1"/>
  <pageMargins left="0" right="0" top="0" bottom="0" header="0" footer="0"/>
  <pageSetup paperSize="9" orientation="portrait"/>
  <headerFooter/>
  <rowBreaks count="1" manualBreakCount="1">
    <brk id="32" max="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BJ1000"/>
  <sheetViews>
    <sheetView workbookViewId="0">
      <selection activeCell="A1" sqref="A1"/>
    </sheetView>
  </sheetViews>
  <sheetFormatPr defaultColWidth="12.6271186440678" defaultRowHeight="15" customHeight="1"/>
  <cols>
    <col min="1" max="1" width="3.5" customWidth="1"/>
    <col min="2" max="2" width="3" customWidth="1"/>
    <col min="3" max="3" width="8" customWidth="1"/>
    <col min="4" max="4" width="1.6271186440678" customWidth="1"/>
    <col min="5" max="5" width="4.5" customWidth="1"/>
    <col min="6" max="6" width="6.1271186440678" customWidth="1"/>
    <col min="7" max="7" width="8.25423728813559" customWidth="1"/>
    <col min="8" max="8" width="2.38135593220339" customWidth="1"/>
    <col min="9" max="10" width="2.1271186440678" customWidth="1"/>
    <col min="11" max="11" width="2" customWidth="1"/>
    <col min="12" max="12" width="4.5" customWidth="1"/>
    <col min="13" max="13" width="2.1271186440678" customWidth="1"/>
    <col min="14" max="14" width="3.5" customWidth="1"/>
    <col min="15" max="15" width="3" customWidth="1"/>
    <col min="16" max="16" width="8" customWidth="1"/>
    <col min="17" max="17" width="1.6271186440678" customWidth="1"/>
    <col min="18" max="18" width="4.5" customWidth="1"/>
    <col min="19" max="19" width="6.25423728813559" customWidth="1"/>
    <col min="20" max="20" width="8.25423728813559" customWidth="1"/>
    <col min="21" max="21" width="2.38135593220339" customWidth="1"/>
    <col min="22" max="23" width="2.1271186440678" customWidth="1"/>
    <col min="24" max="24" width="2" customWidth="1"/>
    <col min="25" max="25" width="4.5" customWidth="1"/>
    <col min="26" max="26" width="1.75423728813559" customWidth="1"/>
    <col min="27" max="27" width="3.5" customWidth="1"/>
    <col min="28" max="28" width="3" customWidth="1"/>
    <col min="29" max="29" width="8" customWidth="1"/>
    <col min="30" max="30" width="1.6271186440678" customWidth="1"/>
    <col min="31" max="31" width="4.5" customWidth="1"/>
    <col min="32" max="32" width="7.38135593220339" customWidth="1"/>
    <col min="33" max="33" width="8.25423728813559" customWidth="1"/>
    <col min="34" max="34" width="2.38135593220339" customWidth="1"/>
    <col min="35" max="36" width="2.1271186440678" customWidth="1"/>
    <col min="37" max="37" width="2" customWidth="1"/>
    <col min="38" max="38" width="4.5" customWidth="1"/>
    <col min="39" max="40" width="2.38135593220339" customWidth="1"/>
    <col min="41" max="41" width="3" customWidth="1"/>
    <col min="42" max="42" width="8" customWidth="1"/>
    <col min="43" max="43" width="1.6271186440678" customWidth="1"/>
    <col min="44" max="44" width="4.5" customWidth="1"/>
    <col min="45" max="45" width="6.1271186440678" customWidth="1"/>
    <col min="46" max="46" width="8.25423728813559" customWidth="1"/>
    <col min="47" max="47" width="2.38135593220339" customWidth="1"/>
    <col min="48" max="49" width="2.1271186440678" customWidth="1"/>
    <col min="50" max="50" width="2" customWidth="1"/>
    <col min="51" max="51" width="2.88135593220339" customWidth="1"/>
    <col min="52" max="52" width="3.38135593220339" customWidth="1"/>
    <col min="53" max="53" width="2.6271186440678" customWidth="1"/>
    <col min="54" max="54" width="12.5" customWidth="1"/>
    <col min="55" max="62" width="8" customWidth="1"/>
  </cols>
  <sheetData>
    <row r="1" ht="15.8" spans="1:62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459"/>
      <c r="AB1" s="459"/>
      <c r="AC1" s="459"/>
      <c r="AD1" s="459"/>
      <c r="AE1" s="459"/>
      <c r="AF1" s="459"/>
      <c r="AG1" s="459"/>
      <c r="AH1" s="459"/>
      <c r="AI1" s="459"/>
      <c r="AJ1" s="459"/>
      <c r="AK1" s="459"/>
      <c r="AL1" s="459"/>
      <c r="AM1" s="459"/>
      <c r="AN1" s="459"/>
      <c r="AO1" s="459"/>
      <c r="AP1" s="459"/>
      <c r="AQ1" s="459"/>
      <c r="AR1" s="459"/>
      <c r="AS1" s="459"/>
      <c r="AT1" s="459"/>
      <c r="AU1" s="459"/>
      <c r="AV1" s="459"/>
      <c r="AW1" s="459"/>
      <c r="AX1" s="459"/>
      <c r="AY1" s="459"/>
      <c r="AZ1" s="459"/>
      <c r="BA1" s="459"/>
      <c r="BB1" s="459"/>
      <c r="BC1" s="459"/>
      <c r="BD1" s="459"/>
      <c r="BE1" s="459"/>
      <c r="BF1" s="459"/>
      <c r="BG1" s="459"/>
      <c r="BH1" s="459"/>
      <c r="BI1" s="459"/>
      <c r="BJ1" s="459"/>
    </row>
    <row r="2" ht="19.05" spans="1:62">
      <c r="A2" s="140" t="str">
        <f>BB3</f>
        <v>PKAZL</v>
      </c>
      <c r="B2" s="65"/>
      <c r="C2" s="65"/>
      <c r="D2" s="65"/>
      <c r="E2" s="65"/>
      <c r="F2" s="66"/>
      <c r="G2" s="52"/>
      <c r="H2" s="52"/>
      <c r="I2" s="52"/>
      <c r="J2" s="52"/>
      <c r="K2" s="52"/>
      <c r="L2" s="52"/>
      <c r="M2" s="52"/>
      <c r="N2" s="636"/>
      <c r="T2" s="52"/>
      <c r="U2" s="52"/>
      <c r="V2" s="52"/>
      <c r="W2" s="52"/>
      <c r="X2" s="52"/>
      <c r="Y2" s="52"/>
      <c r="Z2" s="52"/>
      <c r="AA2" s="636"/>
      <c r="AG2" s="459"/>
      <c r="AH2" s="459"/>
      <c r="AI2" s="459"/>
      <c r="AJ2" s="459"/>
      <c r="AK2" s="459"/>
      <c r="AL2" s="459"/>
      <c r="AM2" s="459"/>
      <c r="AN2" s="636"/>
      <c r="AT2" s="459"/>
      <c r="AU2" s="459"/>
      <c r="AV2" s="459"/>
      <c r="AW2" s="459"/>
      <c r="AX2" s="459"/>
      <c r="AY2" s="459"/>
      <c r="AZ2" s="459"/>
      <c r="BA2" s="459"/>
      <c r="BB2" s="482">
        <f ca="1">TODAY()</f>
        <v>46283</v>
      </c>
      <c r="BC2" s="504"/>
      <c r="BD2" s="504"/>
      <c r="BE2" s="504"/>
      <c r="BF2" s="504"/>
      <c r="BG2" s="504"/>
      <c r="BH2" s="483" t="s">
        <v>0</v>
      </c>
      <c r="BI2" s="15"/>
      <c r="BJ2" s="504"/>
    </row>
    <row r="3" ht="19.05" spans="1:62">
      <c r="A3" s="637" t="s">
        <v>71</v>
      </c>
      <c r="B3" s="638"/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9"/>
      <c r="N3" s="637" t="s">
        <v>71</v>
      </c>
      <c r="O3" s="638"/>
      <c r="P3" s="638"/>
      <c r="Q3" s="638"/>
      <c r="R3" s="638"/>
      <c r="S3" s="638"/>
      <c r="T3" s="638"/>
      <c r="U3" s="638"/>
      <c r="V3" s="638"/>
      <c r="W3" s="638"/>
      <c r="X3" s="638"/>
      <c r="Y3" s="638"/>
      <c r="Z3" s="639"/>
      <c r="AA3" s="145" t="s">
        <v>71</v>
      </c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7"/>
      <c r="AN3" s="145" t="s">
        <v>71</v>
      </c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7"/>
      <c r="BA3" s="459"/>
      <c r="BB3" s="392" t="s">
        <v>72</v>
      </c>
      <c r="BC3" s="504"/>
      <c r="BD3" s="504"/>
      <c r="BE3" s="504"/>
      <c r="BF3" s="504"/>
      <c r="BG3" s="504"/>
      <c r="BH3" s="484">
        <f>BE4-BJ3</f>
        <v>0.97222222222222</v>
      </c>
      <c r="BI3" s="150"/>
      <c r="BJ3" s="485">
        <v>0.25</v>
      </c>
    </row>
    <row r="4" ht="19.05" spans="1:62">
      <c r="A4" s="157"/>
      <c r="B4" s="153" t="s">
        <v>73</v>
      </c>
      <c r="C4" s="154"/>
      <c r="D4" s="154"/>
      <c r="E4" s="154"/>
      <c r="F4" s="154"/>
      <c r="G4" s="153"/>
      <c r="H4" s="153"/>
      <c r="I4" s="153"/>
      <c r="J4" s="155">
        <v>1</v>
      </c>
      <c r="K4" s="65"/>
      <c r="L4" s="66"/>
      <c r="M4" s="156"/>
      <c r="N4" s="157"/>
      <c r="O4" s="153" t="s">
        <v>73</v>
      </c>
      <c r="P4" s="154"/>
      <c r="Q4" s="154"/>
      <c r="R4" s="154"/>
      <c r="S4" s="154"/>
      <c r="T4" s="153"/>
      <c r="U4" s="153"/>
      <c r="V4" s="153"/>
      <c r="W4" s="155">
        <v>2</v>
      </c>
      <c r="X4" s="65"/>
      <c r="Y4" s="66"/>
      <c r="Z4" s="156"/>
      <c r="AA4" s="152"/>
      <c r="AB4" s="158" t="s">
        <v>73</v>
      </c>
      <c r="AC4" s="154"/>
      <c r="AD4" s="154"/>
      <c r="AE4" s="154"/>
      <c r="AF4" s="154"/>
      <c r="AG4" s="158"/>
      <c r="AH4" s="158"/>
      <c r="AI4" s="158"/>
      <c r="AJ4" s="159">
        <v>1</v>
      </c>
      <c r="AK4" s="65"/>
      <c r="AL4" s="66"/>
      <c r="AM4" s="160"/>
      <c r="AN4" s="152"/>
      <c r="AO4" s="158" t="s">
        <v>73</v>
      </c>
      <c r="AP4" s="154"/>
      <c r="AQ4" s="154"/>
      <c r="AR4" s="154"/>
      <c r="AS4" s="154"/>
      <c r="AT4" s="158"/>
      <c r="AU4" s="158"/>
      <c r="AV4" s="158"/>
      <c r="AW4" s="159">
        <v>2</v>
      </c>
      <c r="AX4" s="65"/>
      <c r="AY4" s="66"/>
      <c r="AZ4" s="160"/>
      <c r="BA4" s="459"/>
      <c r="BB4" s="487" t="s">
        <v>74</v>
      </c>
      <c r="BC4" s="487" t="s">
        <v>3</v>
      </c>
      <c r="BD4" s="487" t="s">
        <v>75</v>
      </c>
      <c r="BE4" s="488">
        <v>1.22222222222222</v>
      </c>
      <c r="BF4" s="488">
        <v>0.329861111111111</v>
      </c>
      <c r="BG4" s="504"/>
      <c r="BH4" s="504"/>
      <c r="BI4" s="504"/>
      <c r="BJ4" s="504"/>
    </row>
    <row r="5" ht="18.3" spans="1:62">
      <c r="A5" s="157"/>
      <c r="B5" s="163"/>
      <c r="C5" s="163"/>
      <c r="D5" s="164"/>
      <c r="E5" s="165"/>
      <c r="F5" s="165"/>
      <c r="G5" s="165"/>
      <c r="H5" s="165"/>
      <c r="I5" s="165"/>
      <c r="J5" s="164"/>
      <c r="K5" s="164"/>
      <c r="L5" s="166"/>
      <c r="M5" s="156"/>
      <c r="N5" s="157"/>
      <c r="O5" s="163"/>
      <c r="P5" s="163"/>
      <c r="Q5" s="164"/>
      <c r="R5" s="165"/>
      <c r="S5" s="165"/>
      <c r="T5" s="165"/>
      <c r="U5" s="165"/>
      <c r="V5" s="165"/>
      <c r="W5" s="164"/>
      <c r="X5" s="164"/>
      <c r="Y5" s="166"/>
      <c r="Z5" s="156"/>
      <c r="AA5" s="152"/>
      <c r="AB5" s="167"/>
      <c r="AC5" s="167"/>
      <c r="AD5" s="168"/>
      <c r="AE5" s="169"/>
      <c r="AF5" s="169"/>
      <c r="AG5" s="169"/>
      <c r="AH5" s="169"/>
      <c r="AI5" s="169"/>
      <c r="AJ5" s="168"/>
      <c r="AK5" s="168"/>
      <c r="AL5" s="170"/>
      <c r="AM5" s="160"/>
      <c r="AN5" s="152"/>
      <c r="AO5" s="167"/>
      <c r="AP5" s="167"/>
      <c r="AQ5" s="168"/>
      <c r="AR5" s="169"/>
      <c r="AS5" s="169"/>
      <c r="AT5" s="169"/>
      <c r="AU5" s="169"/>
      <c r="AV5" s="169"/>
      <c r="AW5" s="168"/>
      <c r="AX5" s="168"/>
      <c r="AY5" s="170"/>
      <c r="AZ5" s="160"/>
      <c r="BA5" s="459"/>
      <c r="BB5" s="487" t="s">
        <v>76</v>
      </c>
      <c r="BC5" s="487" t="str">
        <f>BD4</f>
        <v>BKI</v>
      </c>
      <c r="BD5" s="487" t="s">
        <v>3</v>
      </c>
      <c r="BE5" s="488">
        <v>0.357638888888889</v>
      </c>
      <c r="BF5" s="488">
        <v>0.46875</v>
      </c>
      <c r="BG5" s="504"/>
      <c r="BH5" s="504"/>
      <c r="BI5" s="504"/>
      <c r="BJ5" s="504"/>
    </row>
    <row r="6" ht="18" customHeight="1" spans="1:62">
      <c r="A6" s="157"/>
      <c r="B6" s="172" t="s">
        <v>77</v>
      </c>
      <c r="C6" s="97"/>
      <c r="D6" s="98"/>
      <c r="E6" s="173" t="str">
        <f>BB4</f>
        <v>AWQ 526</v>
      </c>
      <c r="F6" s="98"/>
      <c r="G6" s="409" t="s">
        <v>78</v>
      </c>
      <c r="H6" s="173"/>
      <c r="I6" s="97"/>
      <c r="J6" s="97"/>
      <c r="K6" s="97"/>
      <c r="L6" s="98"/>
      <c r="M6" s="156"/>
      <c r="N6" s="157"/>
      <c r="O6" s="172" t="s">
        <v>77</v>
      </c>
      <c r="P6" s="97"/>
      <c r="Q6" s="98"/>
      <c r="R6" s="173" t="str">
        <f>BB5</f>
        <v>AWQ 527</v>
      </c>
      <c r="S6" s="98"/>
      <c r="T6" s="409" t="s">
        <v>78</v>
      </c>
      <c r="U6" s="173"/>
      <c r="V6" s="97"/>
      <c r="W6" s="97"/>
      <c r="X6" s="97"/>
      <c r="Y6" s="98"/>
      <c r="Z6" s="156"/>
      <c r="AA6" s="152"/>
      <c r="AB6" s="176" t="s">
        <v>77</v>
      </c>
      <c r="AC6" s="97"/>
      <c r="AD6" s="98"/>
      <c r="AE6" s="640" t="str">
        <f>BB6</f>
        <v>AWQ 814</v>
      </c>
      <c r="AF6" s="98"/>
      <c r="AG6" s="527" t="s">
        <v>78</v>
      </c>
      <c r="AH6" s="640"/>
      <c r="AI6" s="97"/>
      <c r="AJ6" s="97"/>
      <c r="AK6" s="97"/>
      <c r="AL6" s="98"/>
      <c r="AM6" s="160"/>
      <c r="AN6" s="152"/>
      <c r="AO6" s="176" t="s">
        <v>77</v>
      </c>
      <c r="AP6" s="97"/>
      <c r="AQ6" s="98"/>
      <c r="AR6" s="640" t="str">
        <f>BB7</f>
        <v>AWQ 815</v>
      </c>
      <c r="AS6" s="98"/>
      <c r="AT6" s="527" t="s">
        <v>78</v>
      </c>
      <c r="AU6" s="640"/>
      <c r="AV6" s="97"/>
      <c r="AW6" s="97"/>
      <c r="AX6" s="97"/>
      <c r="AY6" s="98"/>
      <c r="AZ6" s="160"/>
      <c r="BA6" s="459"/>
      <c r="BB6" s="492" t="s">
        <v>79</v>
      </c>
      <c r="BC6" s="492" t="s">
        <v>3</v>
      </c>
      <c r="BD6" s="492" t="s">
        <v>80</v>
      </c>
      <c r="BE6" s="493">
        <v>0.34375</v>
      </c>
      <c r="BF6" s="493">
        <v>0.413194444444444</v>
      </c>
      <c r="BG6" s="484"/>
      <c r="BH6" s="150"/>
      <c r="BI6" s="504"/>
      <c r="BJ6" s="504"/>
    </row>
    <row r="7" ht="18" customHeight="1" spans="1:62">
      <c r="A7" s="157"/>
      <c r="B7" s="172" t="s">
        <v>81</v>
      </c>
      <c r="C7" s="97"/>
      <c r="D7" s="98"/>
      <c r="E7" s="182" t="str">
        <f>BB3</f>
        <v>PKAZL</v>
      </c>
      <c r="F7" s="98"/>
      <c r="G7" s="409" t="s">
        <v>82</v>
      </c>
      <c r="H7" s="183">
        <f>BE4</f>
        <v>1.22222222222222</v>
      </c>
      <c r="I7" s="97"/>
      <c r="J7" s="97"/>
      <c r="K7" s="97"/>
      <c r="L7" s="98"/>
      <c r="M7" s="184"/>
      <c r="N7" s="157"/>
      <c r="O7" s="172" t="s">
        <v>81</v>
      </c>
      <c r="P7" s="97"/>
      <c r="Q7" s="98"/>
      <c r="R7" s="182" t="str">
        <f>E7</f>
        <v>PKAZL</v>
      </c>
      <c r="S7" s="98"/>
      <c r="T7" s="409" t="s">
        <v>82</v>
      </c>
      <c r="U7" s="183">
        <f>BE5</f>
        <v>0.357638888888889</v>
      </c>
      <c r="V7" s="97"/>
      <c r="W7" s="97"/>
      <c r="X7" s="97"/>
      <c r="Y7" s="98"/>
      <c r="Z7" s="184"/>
      <c r="AA7" s="152"/>
      <c r="AB7" s="176" t="s">
        <v>81</v>
      </c>
      <c r="AC7" s="97"/>
      <c r="AD7" s="98"/>
      <c r="AE7" s="641" t="str">
        <f>R7</f>
        <v>PKAZL</v>
      </c>
      <c r="AF7" s="98"/>
      <c r="AG7" s="527" t="s">
        <v>82</v>
      </c>
      <c r="AH7" s="642">
        <f>BE6</f>
        <v>0.34375</v>
      </c>
      <c r="AI7" s="97"/>
      <c r="AJ7" s="97"/>
      <c r="AK7" s="97"/>
      <c r="AL7" s="98"/>
      <c r="AM7" s="189"/>
      <c r="AN7" s="152"/>
      <c r="AO7" s="176" t="s">
        <v>81</v>
      </c>
      <c r="AP7" s="97"/>
      <c r="AQ7" s="98"/>
      <c r="AR7" s="641" t="str">
        <f>AE7</f>
        <v>PKAZL</v>
      </c>
      <c r="AS7" s="98"/>
      <c r="AT7" s="527" t="s">
        <v>82</v>
      </c>
      <c r="AU7" s="642">
        <f>BE7</f>
        <v>0.430555555555556</v>
      </c>
      <c r="AV7" s="97"/>
      <c r="AW7" s="97"/>
      <c r="AX7" s="97"/>
      <c r="AY7" s="98"/>
      <c r="AZ7" s="189"/>
      <c r="BA7" s="459"/>
      <c r="BB7" s="492" t="s">
        <v>83</v>
      </c>
      <c r="BC7" s="492" t="str">
        <f>BD6</f>
        <v>PNK</v>
      </c>
      <c r="BD7" s="492" t="s">
        <v>3</v>
      </c>
      <c r="BE7" s="493">
        <v>0.430555555555556</v>
      </c>
      <c r="BF7" s="493">
        <v>0.493055555555556</v>
      </c>
      <c r="BG7" s="504"/>
      <c r="BH7" s="504"/>
      <c r="BI7" s="504"/>
      <c r="BJ7" s="504"/>
    </row>
    <row r="8" ht="18" customHeight="1" spans="1:62">
      <c r="A8" s="157"/>
      <c r="B8" s="172" t="s">
        <v>84</v>
      </c>
      <c r="C8" s="97"/>
      <c r="D8" s="98"/>
      <c r="E8" s="173" t="str">
        <f>BC4</f>
        <v>CGK</v>
      </c>
      <c r="F8" s="98"/>
      <c r="G8" s="409" t="s">
        <v>85</v>
      </c>
      <c r="H8" s="192">
        <f>BD11</f>
        <v>0</v>
      </c>
      <c r="I8" s="97"/>
      <c r="J8" s="97"/>
      <c r="K8" s="97"/>
      <c r="L8" s="98"/>
      <c r="M8" s="184"/>
      <c r="N8" s="157"/>
      <c r="O8" s="172" t="s">
        <v>84</v>
      </c>
      <c r="P8" s="97"/>
      <c r="Q8" s="98"/>
      <c r="R8" s="173" t="str">
        <f>BC5</f>
        <v>BKI</v>
      </c>
      <c r="S8" s="98"/>
      <c r="T8" s="409" t="s">
        <v>85</v>
      </c>
      <c r="U8" s="192">
        <f>BD12</f>
        <v>0</v>
      </c>
      <c r="V8" s="97"/>
      <c r="W8" s="97"/>
      <c r="X8" s="97"/>
      <c r="Y8" s="98"/>
      <c r="Z8" s="184"/>
      <c r="AA8" s="152"/>
      <c r="AB8" s="176" t="s">
        <v>84</v>
      </c>
      <c r="AC8" s="97"/>
      <c r="AD8" s="98"/>
      <c r="AE8" s="640" t="str">
        <f>BC6</f>
        <v>CGK</v>
      </c>
      <c r="AF8" s="98"/>
      <c r="AG8" s="527" t="s">
        <v>85</v>
      </c>
      <c r="AH8" s="643">
        <f>BD13</f>
        <v>0</v>
      </c>
      <c r="AI8" s="97"/>
      <c r="AJ8" s="97"/>
      <c r="AK8" s="97"/>
      <c r="AL8" s="98"/>
      <c r="AM8" s="189"/>
      <c r="AN8" s="152"/>
      <c r="AO8" s="176" t="s">
        <v>84</v>
      </c>
      <c r="AP8" s="97"/>
      <c r="AQ8" s="98"/>
      <c r="AR8" s="640" t="str">
        <f>BC7</f>
        <v>PNK</v>
      </c>
      <c r="AS8" s="98"/>
      <c r="AT8" s="527" t="s">
        <v>85</v>
      </c>
      <c r="AU8" s="643">
        <f>BD14</f>
        <v>0</v>
      </c>
      <c r="AV8" s="97"/>
      <c r="AW8" s="97"/>
      <c r="AX8" s="97"/>
      <c r="AY8" s="98"/>
      <c r="AZ8" s="189"/>
      <c r="BA8" s="459"/>
      <c r="BB8" s="504"/>
      <c r="BC8" s="504"/>
      <c r="BD8" s="504"/>
      <c r="BE8" s="504"/>
      <c r="BF8" s="504"/>
      <c r="BG8" s="504"/>
      <c r="BH8" s="504"/>
      <c r="BI8" s="504"/>
      <c r="BJ8" s="504"/>
    </row>
    <row r="9" ht="18" customHeight="1" spans="1:62">
      <c r="A9" s="157"/>
      <c r="B9" s="172" t="s">
        <v>86</v>
      </c>
      <c r="C9" s="97"/>
      <c r="D9" s="98"/>
      <c r="E9" s="195">
        <f ca="1">BB2</f>
        <v>46283</v>
      </c>
      <c r="F9" s="98"/>
      <c r="G9" s="409" t="s">
        <v>87</v>
      </c>
      <c r="H9" s="192">
        <f>BB11</f>
        <v>0</v>
      </c>
      <c r="I9" s="97"/>
      <c r="J9" s="97"/>
      <c r="K9" s="97"/>
      <c r="L9" s="98"/>
      <c r="M9" s="184"/>
      <c r="N9" s="157"/>
      <c r="O9" s="172" t="s">
        <v>86</v>
      </c>
      <c r="P9" s="97"/>
      <c r="Q9" s="98"/>
      <c r="R9" s="195">
        <f ca="1">E9</f>
        <v>46283</v>
      </c>
      <c r="S9" s="98"/>
      <c r="T9" s="409" t="s">
        <v>87</v>
      </c>
      <c r="U9" s="192">
        <f>BB12</f>
        <v>0</v>
      </c>
      <c r="V9" s="97"/>
      <c r="W9" s="97"/>
      <c r="X9" s="97"/>
      <c r="Y9" s="98"/>
      <c r="Z9" s="184"/>
      <c r="AA9" s="152"/>
      <c r="AB9" s="176" t="s">
        <v>86</v>
      </c>
      <c r="AC9" s="97"/>
      <c r="AD9" s="98"/>
      <c r="AE9" s="644">
        <f ca="1">R9</f>
        <v>46283</v>
      </c>
      <c r="AF9" s="98"/>
      <c r="AG9" s="527" t="s">
        <v>87</v>
      </c>
      <c r="AH9" s="643">
        <f>BB13</f>
        <v>0</v>
      </c>
      <c r="AI9" s="97"/>
      <c r="AJ9" s="97"/>
      <c r="AK9" s="97"/>
      <c r="AL9" s="98"/>
      <c r="AM9" s="189"/>
      <c r="AN9" s="152"/>
      <c r="AO9" s="176" t="s">
        <v>86</v>
      </c>
      <c r="AP9" s="97"/>
      <c r="AQ9" s="98"/>
      <c r="AR9" s="644">
        <f ca="1">AE9</f>
        <v>46283</v>
      </c>
      <c r="AS9" s="98"/>
      <c r="AT9" s="527" t="s">
        <v>87</v>
      </c>
      <c r="AU9" s="643">
        <f>BB14</f>
        <v>0</v>
      </c>
      <c r="AV9" s="97"/>
      <c r="AW9" s="97"/>
      <c r="AX9" s="97"/>
      <c r="AY9" s="98"/>
      <c r="AZ9" s="189"/>
      <c r="BA9" s="459"/>
      <c r="BB9" s="504"/>
      <c r="BC9" s="504"/>
      <c r="BD9" s="504"/>
      <c r="BE9" s="504"/>
      <c r="BF9" s="504"/>
      <c r="BG9" s="504"/>
      <c r="BH9" s="504"/>
      <c r="BI9" s="504"/>
      <c r="BJ9" s="504"/>
    </row>
    <row r="10" ht="23.25" customHeight="1" spans="1:62">
      <c r="A10" s="157"/>
      <c r="B10" s="197"/>
      <c r="C10" s="197"/>
      <c r="D10" s="198"/>
      <c r="E10" s="198"/>
      <c r="F10" s="199"/>
      <c r="G10" s="199"/>
      <c r="H10" s="200"/>
      <c r="I10" s="199"/>
      <c r="J10" s="199"/>
      <c r="K10" s="199"/>
      <c r="L10" s="199"/>
      <c r="M10" s="201"/>
      <c r="N10" s="157"/>
      <c r="O10" s="197"/>
      <c r="P10" s="197"/>
      <c r="Q10" s="198"/>
      <c r="R10" s="198"/>
      <c r="S10" s="199"/>
      <c r="T10" s="199"/>
      <c r="U10" s="200"/>
      <c r="V10" s="199"/>
      <c r="W10" s="199"/>
      <c r="X10" s="199"/>
      <c r="Y10" s="199"/>
      <c r="Z10" s="201"/>
      <c r="AA10" s="152"/>
      <c r="AB10" s="205"/>
      <c r="AC10" s="205"/>
      <c r="AD10" s="206"/>
      <c r="AE10" s="206"/>
      <c r="AF10" s="533"/>
      <c r="AG10" s="533"/>
      <c r="AH10" s="534"/>
      <c r="AI10" s="533"/>
      <c r="AJ10" s="533"/>
      <c r="AK10" s="533"/>
      <c r="AL10" s="533"/>
      <c r="AM10" s="210"/>
      <c r="AN10" s="152"/>
      <c r="AO10" s="205"/>
      <c r="AP10" s="205"/>
      <c r="AQ10" s="206"/>
      <c r="AR10" s="206"/>
      <c r="AS10" s="533"/>
      <c r="AT10" s="533"/>
      <c r="AU10" s="534"/>
      <c r="AV10" s="533"/>
      <c r="AW10" s="533"/>
      <c r="AX10" s="533"/>
      <c r="AY10" s="533"/>
      <c r="AZ10" s="210"/>
      <c r="BA10" s="459"/>
      <c r="BB10" s="496" t="s">
        <v>9</v>
      </c>
      <c r="BC10" s="496" t="s">
        <v>10</v>
      </c>
      <c r="BD10" s="496" t="s">
        <v>88</v>
      </c>
      <c r="BE10" s="496" t="s">
        <v>12</v>
      </c>
      <c r="BF10" s="496" t="s">
        <v>13</v>
      </c>
      <c r="BG10" s="496" t="s">
        <v>89</v>
      </c>
      <c r="BH10" s="496" t="s">
        <v>90</v>
      </c>
      <c r="BI10" s="496" t="s">
        <v>15</v>
      </c>
      <c r="BJ10" s="496" t="s">
        <v>16</v>
      </c>
    </row>
    <row r="11" ht="19.5" customHeight="1" spans="1:62">
      <c r="A11" s="157"/>
      <c r="B11" s="212" t="s">
        <v>91</v>
      </c>
      <c r="C11" s="212"/>
      <c r="D11" s="212"/>
      <c r="E11" s="212"/>
      <c r="F11" s="212"/>
      <c r="G11" s="214">
        <v>66000</v>
      </c>
      <c r="H11" s="97"/>
      <c r="I11" s="97"/>
      <c r="J11" s="97"/>
      <c r="K11" s="97"/>
      <c r="L11" s="98"/>
      <c r="M11" s="215"/>
      <c r="N11" s="157"/>
      <c r="O11" s="212" t="s">
        <v>91</v>
      </c>
      <c r="P11" s="212"/>
      <c r="Q11" s="212"/>
      <c r="R11" s="213"/>
      <c r="S11" s="213"/>
      <c r="T11" s="214">
        <v>66000</v>
      </c>
      <c r="U11" s="97"/>
      <c r="V11" s="97"/>
      <c r="W11" s="97"/>
      <c r="X11" s="97"/>
      <c r="Y11" s="98"/>
      <c r="Z11" s="215"/>
      <c r="AA11" s="152"/>
      <c r="AB11" s="216" t="s">
        <v>91</v>
      </c>
      <c r="AC11" s="216"/>
      <c r="AD11" s="216"/>
      <c r="AE11" s="645"/>
      <c r="AF11" s="645"/>
      <c r="AG11" s="646">
        <v>66000</v>
      </c>
      <c r="AH11" s="97"/>
      <c r="AI11" s="97"/>
      <c r="AJ11" s="97"/>
      <c r="AK11" s="97"/>
      <c r="AL11" s="98"/>
      <c r="AM11" s="218"/>
      <c r="AN11" s="152"/>
      <c r="AO11" s="216" t="s">
        <v>91</v>
      </c>
      <c r="AP11" s="216"/>
      <c r="AQ11" s="216"/>
      <c r="AR11" s="216"/>
      <c r="AS11" s="216"/>
      <c r="AT11" s="646">
        <v>66000</v>
      </c>
      <c r="AU11" s="97"/>
      <c r="AV11" s="97"/>
      <c r="AW11" s="97"/>
      <c r="AX11" s="97"/>
      <c r="AY11" s="98"/>
      <c r="AZ11" s="218"/>
      <c r="BA11" s="459"/>
      <c r="BB11" s="486"/>
      <c r="BC11" s="486">
        <v>0</v>
      </c>
      <c r="BD11" s="486">
        <v>0</v>
      </c>
      <c r="BE11" s="486">
        <v>1000</v>
      </c>
      <c r="BF11" s="486">
        <f>72+48</f>
        <v>120</v>
      </c>
      <c r="BG11" s="486"/>
      <c r="BH11" s="486" t="s">
        <v>92</v>
      </c>
      <c r="BI11" s="486">
        <v>0</v>
      </c>
      <c r="BJ11" s="647">
        <v>0</v>
      </c>
    </row>
    <row r="12" ht="19.5" customHeight="1" spans="1:62">
      <c r="A12" s="157"/>
      <c r="B12" s="212" t="s">
        <v>93</v>
      </c>
      <c r="C12" s="212"/>
      <c r="D12" s="212"/>
      <c r="E12" s="212"/>
      <c r="F12" s="212"/>
      <c r="G12" s="221">
        <f>H8</f>
        <v>0</v>
      </c>
      <c r="H12" s="97"/>
      <c r="I12" s="97"/>
      <c r="J12" s="97"/>
      <c r="K12" s="97"/>
      <c r="L12" s="98"/>
      <c r="M12" s="184"/>
      <c r="N12" s="157"/>
      <c r="O12" s="212" t="s">
        <v>93</v>
      </c>
      <c r="P12" s="212"/>
      <c r="Q12" s="212"/>
      <c r="R12" s="213"/>
      <c r="S12" s="213"/>
      <c r="T12" s="221">
        <f>U8</f>
        <v>0</v>
      </c>
      <c r="U12" s="97"/>
      <c r="V12" s="97"/>
      <c r="W12" s="97"/>
      <c r="X12" s="97"/>
      <c r="Y12" s="98"/>
      <c r="Z12" s="184"/>
      <c r="AA12" s="152"/>
      <c r="AB12" s="216" t="s">
        <v>93</v>
      </c>
      <c r="AC12" s="216"/>
      <c r="AD12" s="216"/>
      <c r="AE12" s="645"/>
      <c r="AF12" s="645"/>
      <c r="AG12" s="648">
        <f>AH8</f>
        <v>0</v>
      </c>
      <c r="AH12" s="97"/>
      <c r="AI12" s="97"/>
      <c r="AJ12" s="97"/>
      <c r="AK12" s="97"/>
      <c r="AL12" s="98"/>
      <c r="AM12" s="189"/>
      <c r="AN12" s="152"/>
      <c r="AO12" s="216" t="s">
        <v>93</v>
      </c>
      <c r="AP12" s="216"/>
      <c r="AQ12" s="216"/>
      <c r="AR12" s="216"/>
      <c r="AS12" s="216"/>
      <c r="AT12" s="648">
        <f>BD14</f>
        <v>0</v>
      </c>
      <c r="AU12" s="97"/>
      <c r="AV12" s="97"/>
      <c r="AW12" s="97"/>
      <c r="AX12" s="97"/>
      <c r="AY12" s="98"/>
      <c r="AZ12" s="189"/>
      <c r="BA12" s="459"/>
      <c r="BB12" s="486"/>
      <c r="BC12" s="486">
        <v>0</v>
      </c>
      <c r="BD12" s="486">
        <v>0</v>
      </c>
      <c r="BE12" s="486">
        <v>1000</v>
      </c>
      <c r="BF12" s="486">
        <f>120+120</f>
        <v>240</v>
      </c>
      <c r="BG12" s="486"/>
      <c r="BH12" s="486" t="s">
        <v>55</v>
      </c>
      <c r="BI12" s="497">
        <v>3000</v>
      </c>
      <c r="BJ12" s="497">
        <v>329.75</v>
      </c>
    </row>
    <row r="13" ht="19.5" customHeight="1" spans="1:62">
      <c r="A13" s="157"/>
      <c r="B13" s="212" t="s">
        <v>94</v>
      </c>
      <c r="C13" s="212"/>
      <c r="D13" s="212"/>
      <c r="E13" s="212"/>
      <c r="F13" s="439" t="s">
        <v>95</v>
      </c>
      <c r="G13" s="225">
        <f>G11+G12</f>
        <v>66000</v>
      </c>
      <c r="H13" s="97"/>
      <c r="I13" s="97"/>
      <c r="J13" s="97"/>
      <c r="K13" s="97"/>
      <c r="L13" s="98"/>
      <c r="M13" s="184"/>
      <c r="N13" s="157"/>
      <c r="O13" s="212" t="s">
        <v>94</v>
      </c>
      <c r="P13" s="212"/>
      <c r="Q13" s="212"/>
      <c r="R13" s="213"/>
      <c r="S13" s="224" t="s">
        <v>95</v>
      </c>
      <c r="T13" s="225">
        <f>T11+T12</f>
        <v>66000</v>
      </c>
      <c r="U13" s="97"/>
      <c r="V13" s="97"/>
      <c r="W13" s="97"/>
      <c r="X13" s="97"/>
      <c r="Y13" s="98"/>
      <c r="Z13" s="184"/>
      <c r="AA13" s="152"/>
      <c r="AB13" s="216" t="s">
        <v>94</v>
      </c>
      <c r="AC13" s="216"/>
      <c r="AD13" s="216"/>
      <c r="AE13" s="645"/>
      <c r="AF13" s="649" t="s">
        <v>95</v>
      </c>
      <c r="AG13" s="650">
        <f>AG11+AG12</f>
        <v>66000</v>
      </c>
      <c r="AH13" s="97"/>
      <c r="AI13" s="97"/>
      <c r="AJ13" s="97"/>
      <c r="AK13" s="97"/>
      <c r="AL13" s="98"/>
      <c r="AM13" s="189"/>
      <c r="AN13" s="152"/>
      <c r="AO13" s="216" t="s">
        <v>94</v>
      </c>
      <c r="AP13" s="216"/>
      <c r="AQ13" s="216"/>
      <c r="AR13" s="645"/>
      <c r="AS13" s="649" t="s">
        <v>95</v>
      </c>
      <c r="AT13" s="650">
        <f>AT11+AT12</f>
        <v>66000</v>
      </c>
      <c r="AU13" s="97"/>
      <c r="AV13" s="97"/>
      <c r="AW13" s="97"/>
      <c r="AX13" s="97"/>
      <c r="AY13" s="98"/>
      <c r="AZ13" s="189"/>
      <c r="BA13" s="459"/>
      <c r="BB13" s="492"/>
      <c r="BC13" s="492"/>
      <c r="BD13" s="492"/>
      <c r="BE13" s="492"/>
      <c r="BF13" s="492"/>
      <c r="BG13" s="492"/>
      <c r="BH13" s="492"/>
      <c r="BI13" s="492"/>
      <c r="BJ13" s="651"/>
    </row>
    <row r="14" ht="19.5" customHeight="1" spans="1:62">
      <c r="A14" s="157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156"/>
      <c r="N14" s="157"/>
      <c r="O14" s="212"/>
      <c r="P14" s="212"/>
      <c r="Q14" s="212"/>
      <c r="R14" s="213"/>
      <c r="S14" s="213"/>
      <c r="T14" s="213"/>
      <c r="U14" s="213"/>
      <c r="V14" s="213"/>
      <c r="W14" s="213"/>
      <c r="X14" s="213"/>
      <c r="Y14" s="213"/>
      <c r="Z14" s="156"/>
      <c r="AA14" s="152"/>
      <c r="AB14" s="216"/>
      <c r="AC14" s="216"/>
      <c r="AD14" s="216"/>
      <c r="AE14" s="645"/>
      <c r="AF14" s="645"/>
      <c r="AG14" s="645"/>
      <c r="AH14" s="645"/>
      <c r="AI14" s="645"/>
      <c r="AJ14" s="645"/>
      <c r="AK14" s="645"/>
      <c r="AL14" s="645"/>
      <c r="AM14" s="160"/>
      <c r="AN14" s="152"/>
      <c r="AO14" s="216"/>
      <c r="AP14" s="216"/>
      <c r="AQ14" s="216"/>
      <c r="AR14" s="645"/>
      <c r="AS14" s="645"/>
      <c r="AT14" s="645"/>
      <c r="AU14" s="645"/>
      <c r="AV14" s="645"/>
      <c r="AW14" s="645"/>
      <c r="AX14" s="645"/>
      <c r="AY14" s="645"/>
      <c r="AZ14" s="160"/>
      <c r="BA14" s="459"/>
      <c r="BB14" s="492"/>
      <c r="BC14" s="492"/>
      <c r="BD14" s="492"/>
      <c r="BE14" s="492"/>
      <c r="BF14" s="492"/>
      <c r="BG14" s="492"/>
      <c r="BH14" s="492"/>
      <c r="BI14" s="503"/>
      <c r="BJ14" s="503"/>
    </row>
    <row r="15" ht="19.5" customHeight="1" spans="1:62">
      <c r="A15" s="157"/>
      <c r="B15" s="232" t="s">
        <v>96</v>
      </c>
      <c r="C15" s="233"/>
      <c r="D15" s="233"/>
      <c r="E15" s="233"/>
      <c r="F15" s="233"/>
      <c r="G15" s="233"/>
      <c r="H15" s="445"/>
      <c r="I15" s="232" t="s">
        <v>97</v>
      </c>
      <c r="J15" s="97"/>
      <c r="K15" s="97"/>
      <c r="L15" s="98"/>
      <c r="M15" s="156"/>
      <c r="N15" s="157"/>
      <c r="O15" s="232" t="s">
        <v>96</v>
      </c>
      <c r="P15" s="233"/>
      <c r="Q15" s="233"/>
      <c r="R15" s="234"/>
      <c r="S15" s="234"/>
      <c r="T15" s="234"/>
      <c r="U15" s="235"/>
      <c r="V15" s="236" t="s">
        <v>97</v>
      </c>
      <c r="W15" s="97"/>
      <c r="X15" s="97"/>
      <c r="Y15" s="98"/>
      <c r="Z15" s="156"/>
      <c r="AA15" s="152"/>
      <c r="AB15" s="240" t="s">
        <v>96</v>
      </c>
      <c r="AC15" s="241"/>
      <c r="AD15" s="241"/>
      <c r="AE15" s="652"/>
      <c r="AF15" s="652"/>
      <c r="AG15" s="652"/>
      <c r="AH15" s="653"/>
      <c r="AI15" s="654" t="s">
        <v>97</v>
      </c>
      <c r="AJ15" s="97"/>
      <c r="AK15" s="97"/>
      <c r="AL15" s="98"/>
      <c r="AM15" s="160"/>
      <c r="AN15" s="152"/>
      <c r="AO15" s="240" t="s">
        <v>96</v>
      </c>
      <c r="AP15" s="241"/>
      <c r="AQ15" s="241"/>
      <c r="AR15" s="652"/>
      <c r="AS15" s="652"/>
      <c r="AT15" s="652"/>
      <c r="AU15" s="653"/>
      <c r="AV15" s="654" t="s">
        <v>97</v>
      </c>
      <c r="AW15" s="97"/>
      <c r="AX15" s="97"/>
      <c r="AY15" s="98"/>
      <c r="AZ15" s="160"/>
      <c r="BA15" s="459"/>
      <c r="BB15" s="504"/>
      <c r="BC15" s="504"/>
      <c r="BD15" s="504"/>
      <c r="BE15" s="504"/>
      <c r="BF15" s="504"/>
      <c r="BG15" s="504"/>
      <c r="BH15" s="504"/>
      <c r="BI15" s="504"/>
      <c r="BJ15" s="504"/>
    </row>
    <row r="16" ht="19.5" customHeight="1" spans="1:62">
      <c r="A16" s="157"/>
      <c r="B16" s="245" t="s">
        <v>98</v>
      </c>
      <c r="C16" s="246"/>
      <c r="D16" s="246"/>
      <c r="E16" s="232" t="s">
        <v>99</v>
      </c>
      <c r="F16" s="97"/>
      <c r="G16" s="97"/>
      <c r="H16" s="98"/>
      <c r="I16" s="232" t="s">
        <v>100</v>
      </c>
      <c r="J16" s="97"/>
      <c r="K16" s="97"/>
      <c r="L16" s="98"/>
      <c r="M16" s="156"/>
      <c r="N16" s="157"/>
      <c r="O16" s="245" t="s">
        <v>98</v>
      </c>
      <c r="P16" s="246"/>
      <c r="Q16" s="246"/>
      <c r="R16" s="236" t="s">
        <v>99</v>
      </c>
      <c r="S16" s="97"/>
      <c r="T16" s="97"/>
      <c r="U16" s="98"/>
      <c r="V16" s="236" t="s">
        <v>100</v>
      </c>
      <c r="W16" s="97"/>
      <c r="X16" s="97"/>
      <c r="Y16" s="98"/>
      <c r="Z16" s="156"/>
      <c r="AA16" s="152"/>
      <c r="AB16" s="247" t="s">
        <v>98</v>
      </c>
      <c r="AC16" s="248"/>
      <c r="AD16" s="248"/>
      <c r="AE16" s="654" t="s">
        <v>99</v>
      </c>
      <c r="AF16" s="97"/>
      <c r="AG16" s="97"/>
      <c r="AH16" s="98"/>
      <c r="AI16" s="654" t="s">
        <v>100</v>
      </c>
      <c r="AJ16" s="97"/>
      <c r="AK16" s="97"/>
      <c r="AL16" s="98"/>
      <c r="AM16" s="160"/>
      <c r="AN16" s="152"/>
      <c r="AO16" s="247" t="s">
        <v>98</v>
      </c>
      <c r="AP16" s="248"/>
      <c r="AQ16" s="248"/>
      <c r="AR16" s="654" t="s">
        <v>99</v>
      </c>
      <c r="AS16" s="97"/>
      <c r="AT16" s="97"/>
      <c r="AU16" s="98"/>
      <c r="AV16" s="654" t="s">
        <v>100</v>
      </c>
      <c r="AW16" s="97"/>
      <c r="AX16" s="97"/>
      <c r="AY16" s="98"/>
      <c r="AZ16" s="160"/>
      <c r="BA16" s="459"/>
      <c r="BB16" s="504"/>
      <c r="BC16" s="504"/>
      <c r="BD16" s="504"/>
      <c r="BE16" s="504"/>
      <c r="BF16" s="504"/>
      <c r="BG16" s="504"/>
      <c r="BH16" s="504"/>
      <c r="BI16" s="504"/>
      <c r="BJ16" s="504"/>
    </row>
    <row r="17" ht="19.5" customHeight="1" spans="1:62">
      <c r="A17" s="157"/>
      <c r="B17" s="232" t="s">
        <v>94</v>
      </c>
      <c r="C17" s="233"/>
      <c r="D17" s="233"/>
      <c r="E17" s="445"/>
      <c r="F17" s="439" t="s">
        <v>101</v>
      </c>
      <c r="G17" s="249">
        <v>73500</v>
      </c>
      <c r="H17" s="97"/>
      <c r="I17" s="97"/>
      <c r="J17" s="97"/>
      <c r="K17" s="97"/>
      <c r="L17" s="98"/>
      <c r="M17" s="156"/>
      <c r="N17" s="157"/>
      <c r="O17" s="232" t="s">
        <v>94</v>
      </c>
      <c r="P17" s="233"/>
      <c r="Q17" s="233"/>
      <c r="R17" s="235"/>
      <c r="S17" s="224" t="s">
        <v>101</v>
      </c>
      <c r="T17" s="249">
        <f>G17</f>
        <v>73500</v>
      </c>
      <c r="U17" s="97"/>
      <c r="V17" s="97"/>
      <c r="W17" s="97"/>
      <c r="X17" s="97"/>
      <c r="Y17" s="98"/>
      <c r="Z17" s="156"/>
      <c r="AA17" s="152"/>
      <c r="AB17" s="240" t="s">
        <v>94</v>
      </c>
      <c r="AC17" s="241"/>
      <c r="AD17" s="241"/>
      <c r="AE17" s="653"/>
      <c r="AF17" s="649" t="s">
        <v>101</v>
      </c>
      <c r="AG17" s="655">
        <f>T17</f>
        <v>73500</v>
      </c>
      <c r="AH17" s="97"/>
      <c r="AI17" s="97"/>
      <c r="AJ17" s="97"/>
      <c r="AK17" s="97"/>
      <c r="AL17" s="98"/>
      <c r="AM17" s="160"/>
      <c r="AN17" s="152"/>
      <c r="AO17" s="240" t="s">
        <v>94</v>
      </c>
      <c r="AP17" s="241"/>
      <c r="AQ17" s="241"/>
      <c r="AR17" s="653"/>
      <c r="AS17" s="649" t="s">
        <v>101</v>
      </c>
      <c r="AT17" s="655">
        <f>AG17</f>
        <v>73500</v>
      </c>
      <c r="AU17" s="97"/>
      <c r="AV17" s="97"/>
      <c r="AW17" s="97"/>
      <c r="AX17" s="97"/>
      <c r="AY17" s="98"/>
      <c r="AZ17" s="160"/>
      <c r="BA17" s="459"/>
      <c r="BB17" s="256" t="s">
        <v>102</v>
      </c>
      <c r="BC17" s="299" t="s">
        <v>103</v>
      </c>
      <c r="BD17" s="504"/>
      <c r="BE17" s="504"/>
      <c r="BF17" s="504"/>
      <c r="BG17" s="504"/>
      <c r="BH17" s="504"/>
      <c r="BI17" s="504"/>
      <c r="BJ17" s="504"/>
    </row>
    <row r="18" ht="19.5" customHeight="1" spans="1:62">
      <c r="A18" s="157"/>
      <c r="B18" s="212"/>
      <c r="C18" s="212"/>
      <c r="D18" s="212"/>
      <c r="E18" s="212"/>
      <c r="F18" s="212"/>
      <c r="G18" s="252"/>
      <c r="H18" s="252"/>
      <c r="I18" s="252"/>
      <c r="J18" s="252"/>
      <c r="K18" s="252"/>
      <c r="L18" s="252"/>
      <c r="M18" s="156"/>
      <c r="N18" s="157"/>
      <c r="O18" s="212"/>
      <c r="P18" s="212"/>
      <c r="Q18" s="212"/>
      <c r="R18" s="213"/>
      <c r="S18" s="213"/>
      <c r="T18" s="252"/>
      <c r="U18" s="252"/>
      <c r="V18" s="252"/>
      <c r="W18" s="252"/>
      <c r="X18" s="252"/>
      <c r="Y18" s="252"/>
      <c r="Z18" s="156"/>
      <c r="AA18" s="152"/>
      <c r="AB18" s="216"/>
      <c r="AC18" s="216"/>
      <c r="AD18" s="216"/>
      <c r="AE18" s="645"/>
      <c r="AF18" s="645"/>
      <c r="AG18" s="656"/>
      <c r="AH18" s="656"/>
      <c r="AI18" s="656"/>
      <c r="AJ18" s="656"/>
      <c r="AK18" s="656"/>
      <c r="AL18" s="656"/>
      <c r="AM18" s="160"/>
      <c r="AN18" s="152"/>
      <c r="AO18" s="216"/>
      <c r="AP18" s="216"/>
      <c r="AQ18" s="216"/>
      <c r="AR18" s="645"/>
      <c r="AS18" s="645"/>
      <c r="AT18" s="656"/>
      <c r="AU18" s="656"/>
      <c r="AV18" s="656"/>
      <c r="AW18" s="656"/>
      <c r="AX18" s="656"/>
      <c r="AY18" s="656"/>
      <c r="AZ18" s="160"/>
      <c r="BA18" s="459"/>
      <c r="BB18" s="504"/>
      <c r="BC18" s="504"/>
      <c r="BD18" s="504"/>
      <c r="BE18" s="504"/>
      <c r="BF18" s="504"/>
      <c r="BG18" s="504"/>
      <c r="BH18" s="657" t="s">
        <v>23</v>
      </c>
      <c r="BI18" s="504"/>
      <c r="BJ18" s="504"/>
    </row>
    <row r="19" ht="19.5" customHeight="1" spans="1:62">
      <c r="A19" s="157"/>
      <c r="B19" s="232" t="s">
        <v>104</v>
      </c>
      <c r="C19" s="233"/>
      <c r="D19" s="233"/>
      <c r="E19" s="233"/>
      <c r="F19" s="445"/>
      <c r="G19" s="254">
        <f>G13</f>
        <v>66000</v>
      </c>
      <c r="H19" s="97"/>
      <c r="I19" s="97"/>
      <c r="J19" s="97"/>
      <c r="K19" s="97"/>
      <c r="L19" s="98"/>
      <c r="M19" s="184"/>
      <c r="N19" s="157"/>
      <c r="O19" s="232" t="s">
        <v>104</v>
      </c>
      <c r="P19" s="233"/>
      <c r="Q19" s="233"/>
      <c r="R19" s="234"/>
      <c r="S19" s="235"/>
      <c r="T19" s="254">
        <f>T13</f>
        <v>66000</v>
      </c>
      <c r="U19" s="97"/>
      <c r="V19" s="97"/>
      <c r="W19" s="97"/>
      <c r="X19" s="97"/>
      <c r="Y19" s="98"/>
      <c r="Z19" s="184"/>
      <c r="AA19" s="152"/>
      <c r="AB19" s="240" t="s">
        <v>104</v>
      </c>
      <c r="AC19" s="241"/>
      <c r="AD19" s="241"/>
      <c r="AE19" s="652"/>
      <c r="AF19" s="653"/>
      <c r="AG19" s="658">
        <f>AG13</f>
        <v>66000</v>
      </c>
      <c r="AH19" s="97"/>
      <c r="AI19" s="97"/>
      <c r="AJ19" s="97"/>
      <c r="AK19" s="97"/>
      <c r="AL19" s="98"/>
      <c r="AM19" s="189"/>
      <c r="AN19" s="152"/>
      <c r="AO19" s="240" t="s">
        <v>104</v>
      </c>
      <c r="AP19" s="241"/>
      <c r="AQ19" s="241"/>
      <c r="AR19" s="652"/>
      <c r="AS19" s="653"/>
      <c r="AT19" s="658">
        <f>AT13</f>
        <v>66000</v>
      </c>
      <c r="AU19" s="97"/>
      <c r="AV19" s="97"/>
      <c r="AW19" s="97"/>
      <c r="AX19" s="97"/>
      <c r="AY19" s="98"/>
      <c r="AZ19" s="189"/>
      <c r="BA19" s="459"/>
      <c r="BB19" s="256" t="s">
        <v>21</v>
      </c>
      <c r="BC19" s="256">
        <v>71076</v>
      </c>
      <c r="BD19" s="504"/>
      <c r="BE19" s="504"/>
      <c r="BF19" s="504"/>
      <c r="BG19" s="504"/>
      <c r="BH19" s="504"/>
      <c r="BI19" s="504"/>
      <c r="BJ19" s="504"/>
    </row>
    <row r="20" ht="19.5" customHeight="1" spans="1:62">
      <c r="A20" s="157"/>
      <c r="B20" s="232" t="s">
        <v>105</v>
      </c>
      <c r="C20" s="233"/>
      <c r="D20" s="233"/>
      <c r="E20" s="233"/>
      <c r="F20" s="445"/>
      <c r="G20" s="257">
        <f>BG11</f>
        <v>0</v>
      </c>
      <c r="H20" s="97"/>
      <c r="I20" s="97"/>
      <c r="J20" s="97"/>
      <c r="K20" s="97"/>
      <c r="L20" s="98"/>
      <c r="M20" s="184"/>
      <c r="N20" s="157"/>
      <c r="O20" s="232" t="s">
        <v>105</v>
      </c>
      <c r="P20" s="233"/>
      <c r="Q20" s="233"/>
      <c r="R20" s="234"/>
      <c r="S20" s="235"/>
      <c r="T20" s="257">
        <f>BG12</f>
        <v>0</v>
      </c>
      <c r="U20" s="97"/>
      <c r="V20" s="97"/>
      <c r="W20" s="97"/>
      <c r="X20" s="97"/>
      <c r="Y20" s="98"/>
      <c r="Z20" s="184"/>
      <c r="AA20" s="152"/>
      <c r="AB20" s="240" t="s">
        <v>105</v>
      </c>
      <c r="AC20" s="241"/>
      <c r="AD20" s="241"/>
      <c r="AE20" s="652"/>
      <c r="AF20" s="653"/>
      <c r="AG20" s="659">
        <f>BG13</f>
        <v>0</v>
      </c>
      <c r="AH20" s="97"/>
      <c r="AI20" s="97"/>
      <c r="AJ20" s="97"/>
      <c r="AK20" s="97"/>
      <c r="AL20" s="98"/>
      <c r="AM20" s="189"/>
      <c r="AN20" s="152"/>
      <c r="AO20" s="240" t="s">
        <v>105</v>
      </c>
      <c r="AP20" s="241"/>
      <c r="AQ20" s="241"/>
      <c r="AR20" s="652"/>
      <c r="AS20" s="653"/>
      <c r="AT20" s="659">
        <f>BG14</f>
        <v>0</v>
      </c>
      <c r="AU20" s="97"/>
      <c r="AV20" s="97"/>
      <c r="AW20" s="97"/>
      <c r="AX20" s="97"/>
      <c r="AY20" s="98"/>
      <c r="AZ20" s="189"/>
      <c r="BA20" s="459"/>
      <c r="BB20" s="256" t="s">
        <v>22</v>
      </c>
      <c r="BC20" s="256">
        <v>71077</v>
      </c>
      <c r="BD20" s="504"/>
      <c r="BE20" s="504"/>
      <c r="BF20" s="504"/>
      <c r="BG20" s="504"/>
      <c r="BH20" s="504"/>
      <c r="BI20" s="504"/>
      <c r="BJ20" s="504"/>
    </row>
    <row r="21" ht="19.5" customHeight="1" spans="1:62">
      <c r="A21" s="157"/>
      <c r="B21" s="232" t="s">
        <v>106</v>
      </c>
      <c r="C21" s="233"/>
      <c r="D21" s="233"/>
      <c r="E21" s="233"/>
      <c r="F21" s="445"/>
      <c r="G21" s="225">
        <f>G19-G20</f>
        <v>66000</v>
      </c>
      <c r="H21" s="97"/>
      <c r="I21" s="97"/>
      <c r="J21" s="97"/>
      <c r="K21" s="97"/>
      <c r="L21" s="98"/>
      <c r="M21" s="184"/>
      <c r="N21" s="157"/>
      <c r="O21" s="232" t="s">
        <v>106</v>
      </c>
      <c r="P21" s="233"/>
      <c r="Q21" s="233"/>
      <c r="R21" s="234"/>
      <c r="S21" s="235"/>
      <c r="T21" s="225">
        <f>T19-T20</f>
        <v>66000</v>
      </c>
      <c r="U21" s="97"/>
      <c r="V21" s="97"/>
      <c r="W21" s="97"/>
      <c r="X21" s="97"/>
      <c r="Y21" s="98"/>
      <c r="Z21" s="184"/>
      <c r="AA21" s="152"/>
      <c r="AB21" s="240" t="s">
        <v>106</v>
      </c>
      <c r="AC21" s="241"/>
      <c r="AD21" s="241"/>
      <c r="AE21" s="652"/>
      <c r="AF21" s="653"/>
      <c r="AG21" s="650">
        <f>AG19-AG20</f>
        <v>66000</v>
      </c>
      <c r="AH21" s="97"/>
      <c r="AI21" s="97"/>
      <c r="AJ21" s="97"/>
      <c r="AK21" s="97"/>
      <c r="AL21" s="98"/>
      <c r="AM21" s="189"/>
      <c r="AN21" s="152"/>
      <c r="AO21" s="240" t="s">
        <v>106</v>
      </c>
      <c r="AP21" s="241"/>
      <c r="AQ21" s="241"/>
      <c r="AR21" s="652"/>
      <c r="AS21" s="653"/>
      <c r="AT21" s="650">
        <f>AT19-AT20</f>
        <v>66000</v>
      </c>
      <c r="AU21" s="97"/>
      <c r="AV21" s="97"/>
      <c r="AW21" s="97"/>
      <c r="AX21" s="97"/>
      <c r="AY21" s="98"/>
      <c r="AZ21" s="189"/>
      <c r="BA21" s="459"/>
      <c r="BB21" s="260" t="s">
        <v>24</v>
      </c>
      <c r="BC21" s="508"/>
      <c r="BD21" s="504"/>
      <c r="BE21" s="504"/>
      <c r="BF21" s="504"/>
      <c r="BG21" s="504"/>
      <c r="BH21" s="504"/>
      <c r="BI21" s="504"/>
      <c r="BJ21" s="504"/>
    </row>
    <row r="22" ht="19.5" customHeight="1" spans="1:62">
      <c r="A22" s="157"/>
      <c r="B22" s="232" t="s">
        <v>107</v>
      </c>
      <c r="C22" s="233"/>
      <c r="D22" s="233"/>
      <c r="E22" s="233"/>
      <c r="F22" s="445"/>
      <c r="G22" s="221">
        <f>BE11</f>
        <v>1000</v>
      </c>
      <c r="H22" s="97"/>
      <c r="I22" s="97"/>
      <c r="J22" s="97"/>
      <c r="K22" s="97"/>
      <c r="L22" s="98"/>
      <c r="M22" s="184"/>
      <c r="N22" s="157"/>
      <c r="O22" s="232" t="s">
        <v>107</v>
      </c>
      <c r="P22" s="233"/>
      <c r="Q22" s="233"/>
      <c r="R22" s="234"/>
      <c r="S22" s="235"/>
      <c r="T22" s="221">
        <f>BE12</f>
        <v>1000</v>
      </c>
      <c r="U22" s="97"/>
      <c r="V22" s="97"/>
      <c r="W22" s="97"/>
      <c r="X22" s="97"/>
      <c r="Y22" s="98"/>
      <c r="Z22" s="184"/>
      <c r="AA22" s="152"/>
      <c r="AB22" s="240" t="s">
        <v>107</v>
      </c>
      <c r="AC22" s="241"/>
      <c r="AD22" s="241"/>
      <c r="AE22" s="652"/>
      <c r="AF22" s="653"/>
      <c r="AG22" s="648">
        <f>BE13</f>
        <v>0</v>
      </c>
      <c r="AH22" s="97"/>
      <c r="AI22" s="97"/>
      <c r="AJ22" s="97"/>
      <c r="AK22" s="97"/>
      <c r="AL22" s="98"/>
      <c r="AM22" s="189"/>
      <c r="AN22" s="152"/>
      <c r="AO22" s="240" t="s">
        <v>107</v>
      </c>
      <c r="AP22" s="241"/>
      <c r="AQ22" s="241"/>
      <c r="AR22" s="652"/>
      <c r="AS22" s="653"/>
      <c r="AT22" s="648">
        <f>BE14</f>
        <v>0</v>
      </c>
      <c r="AU22" s="97"/>
      <c r="AV22" s="97"/>
      <c r="AW22" s="97"/>
      <c r="AX22" s="97"/>
      <c r="AY22" s="98"/>
      <c r="AZ22" s="189"/>
      <c r="BA22" s="459"/>
      <c r="BB22" s="260" t="s">
        <v>25</v>
      </c>
      <c r="BC22" s="508"/>
      <c r="BD22" s="504"/>
      <c r="BE22" s="504"/>
      <c r="BF22" s="504"/>
      <c r="BG22" s="504"/>
      <c r="BH22" s="504"/>
      <c r="BI22" s="504"/>
      <c r="BJ22" s="504"/>
    </row>
    <row r="23" ht="19.5" customHeight="1" spans="1:62">
      <c r="A23" s="157"/>
      <c r="B23" s="232" t="s">
        <v>108</v>
      </c>
      <c r="C23" s="233"/>
      <c r="D23" s="233"/>
      <c r="E23" s="233"/>
      <c r="F23" s="445"/>
      <c r="G23" s="261">
        <f>G21-G22</f>
        <v>65000</v>
      </c>
      <c r="H23" s="97"/>
      <c r="I23" s="97"/>
      <c r="J23" s="97"/>
      <c r="K23" s="97"/>
      <c r="L23" s="98"/>
      <c r="M23" s="184"/>
      <c r="N23" s="157"/>
      <c r="O23" s="232" t="s">
        <v>108</v>
      </c>
      <c r="P23" s="233"/>
      <c r="Q23" s="233"/>
      <c r="R23" s="234"/>
      <c r="S23" s="235"/>
      <c r="T23" s="261">
        <f>T21-T22</f>
        <v>65000</v>
      </c>
      <c r="U23" s="97"/>
      <c r="V23" s="97"/>
      <c r="W23" s="97"/>
      <c r="X23" s="97"/>
      <c r="Y23" s="98"/>
      <c r="Z23" s="184"/>
      <c r="AA23" s="152"/>
      <c r="AB23" s="240" t="s">
        <v>108</v>
      </c>
      <c r="AC23" s="241"/>
      <c r="AD23" s="241"/>
      <c r="AE23" s="652"/>
      <c r="AF23" s="653"/>
      <c r="AG23" s="660">
        <f>AG21-AG22</f>
        <v>66000</v>
      </c>
      <c r="AH23" s="97"/>
      <c r="AI23" s="97"/>
      <c r="AJ23" s="97"/>
      <c r="AK23" s="97"/>
      <c r="AL23" s="98"/>
      <c r="AM23" s="189"/>
      <c r="AN23" s="152"/>
      <c r="AO23" s="240" t="s">
        <v>108</v>
      </c>
      <c r="AP23" s="241"/>
      <c r="AQ23" s="241"/>
      <c r="AR23" s="652"/>
      <c r="AS23" s="653"/>
      <c r="AT23" s="660">
        <f>AT21-AT22</f>
        <v>66000</v>
      </c>
      <c r="AU23" s="97"/>
      <c r="AV23" s="97"/>
      <c r="AW23" s="97"/>
      <c r="AX23" s="97"/>
      <c r="AY23" s="98"/>
      <c r="AZ23" s="189"/>
      <c r="BA23" s="459"/>
      <c r="BB23" s="504"/>
      <c r="BC23" s="504"/>
      <c r="BD23" s="504"/>
      <c r="BE23" s="504"/>
      <c r="BF23" s="504"/>
      <c r="BG23" s="504"/>
      <c r="BH23" s="504"/>
      <c r="BI23" s="504"/>
      <c r="BJ23" s="504"/>
    </row>
    <row r="24" ht="19.5" customHeight="1" spans="1:62">
      <c r="A24" s="157"/>
      <c r="B24" s="212"/>
      <c r="C24" s="212"/>
      <c r="D24" s="212"/>
      <c r="E24" s="212"/>
      <c r="F24" s="212"/>
      <c r="G24" s="252"/>
      <c r="H24" s="252"/>
      <c r="I24" s="252"/>
      <c r="J24" s="252"/>
      <c r="K24" s="252"/>
      <c r="L24" s="252"/>
      <c r="M24" s="156"/>
      <c r="N24" s="157"/>
      <c r="O24" s="212"/>
      <c r="P24" s="212"/>
      <c r="Q24" s="212"/>
      <c r="R24" s="213"/>
      <c r="S24" s="213"/>
      <c r="T24" s="252"/>
      <c r="U24" s="252"/>
      <c r="V24" s="252"/>
      <c r="W24" s="252"/>
      <c r="X24" s="252"/>
      <c r="Y24" s="252"/>
      <c r="Z24" s="156"/>
      <c r="AA24" s="152"/>
      <c r="AB24" s="216"/>
      <c r="AC24" s="216"/>
      <c r="AD24" s="216"/>
      <c r="AE24" s="645"/>
      <c r="AF24" s="645"/>
      <c r="AG24" s="656"/>
      <c r="AH24" s="656"/>
      <c r="AI24" s="656"/>
      <c r="AJ24" s="656"/>
      <c r="AK24" s="656"/>
      <c r="AL24" s="656"/>
      <c r="AM24" s="160"/>
      <c r="AN24" s="152"/>
      <c r="AO24" s="216"/>
      <c r="AP24" s="216"/>
      <c r="AQ24" s="216"/>
      <c r="AR24" s="645"/>
      <c r="AS24" s="645"/>
      <c r="AT24" s="656"/>
      <c r="AU24" s="656"/>
      <c r="AV24" s="656"/>
      <c r="AW24" s="656"/>
      <c r="AX24" s="656"/>
      <c r="AY24" s="656"/>
      <c r="AZ24" s="160"/>
      <c r="BA24" s="459"/>
      <c r="BB24" s="256" t="s">
        <v>26</v>
      </c>
      <c r="BC24" s="256"/>
      <c r="BD24" s="504"/>
      <c r="BE24" s="504"/>
      <c r="BF24" s="504"/>
      <c r="BG24" s="504"/>
      <c r="BH24" s="504"/>
      <c r="BI24" s="504"/>
      <c r="BJ24" s="504"/>
    </row>
    <row r="25" ht="19.5" customHeight="1" spans="1:62">
      <c r="A25" s="157"/>
      <c r="B25" s="232" t="s">
        <v>109</v>
      </c>
      <c r="C25" s="233"/>
      <c r="D25" s="233"/>
      <c r="E25" s="233"/>
      <c r="F25" s="445"/>
      <c r="G25" s="263"/>
      <c r="H25" s="97"/>
      <c r="I25" s="97"/>
      <c r="J25" s="97"/>
      <c r="K25" s="97"/>
      <c r="L25" s="98"/>
      <c r="M25" s="156"/>
      <c r="N25" s="157"/>
      <c r="O25" s="232" t="s">
        <v>109</v>
      </c>
      <c r="P25" s="233"/>
      <c r="Q25" s="233"/>
      <c r="R25" s="234"/>
      <c r="S25" s="235"/>
      <c r="T25" s="263"/>
      <c r="U25" s="97"/>
      <c r="V25" s="97"/>
      <c r="W25" s="97"/>
      <c r="X25" s="97"/>
      <c r="Y25" s="98"/>
      <c r="Z25" s="156"/>
      <c r="AA25" s="152"/>
      <c r="AB25" s="240" t="s">
        <v>109</v>
      </c>
      <c r="AC25" s="241"/>
      <c r="AD25" s="241"/>
      <c r="AE25" s="652"/>
      <c r="AF25" s="653"/>
      <c r="AG25" s="661"/>
      <c r="AH25" s="97"/>
      <c r="AI25" s="97"/>
      <c r="AJ25" s="97"/>
      <c r="AK25" s="97"/>
      <c r="AL25" s="98"/>
      <c r="AM25" s="160"/>
      <c r="AN25" s="152"/>
      <c r="AO25" s="240" t="s">
        <v>109</v>
      </c>
      <c r="AP25" s="241"/>
      <c r="AQ25" s="241"/>
      <c r="AR25" s="652"/>
      <c r="AS25" s="653"/>
      <c r="AT25" s="661"/>
      <c r="AU25" s="97"/>
      <c r="AV25" s="97"/>
      <c r="AW25" s="97"/>
      <c r="AX25" s="97"/>
      <c r="AY25" s="98"/>
      <c r="AZ25" s="160"/>
      <c r="BA25" s="459"/>
      <c r="BB25" s="459"/>
      <c r="BC25" s="459"/>
      <c r="BD25" s="459"/>
      <c r="BE25" s="459"/>
      <c r="BF25" s="459"/>
      <c r="BG25" s="459"/>
      <c r="BH25" s="459"/>
      <c r="BI25" s="459"/>
      <c r="BJ25" s="459"/>
    </row>
    <row r="26" ht="19.5" customHeight="1" spans="1:62">
      <c r="A26" s="157"/>
      <c r="B26" s="232" t="s">
        <v>110</v>
      </c>
      <c r="C26" s="233"/>
      <c r="D26" s="233"/>
      <c r="E26" s="233"/>
      <c r="F26" s="445"/>
      <c r="G26" s="221">
        <f>BF11</f>
        <v>120</v>
      </c>
      <c r="H26" s="97"/>
      <c r="I26" s="97"/>
      <c r="J26" s="97"/>
      <c r="K26" s="97"/>
      <c r="L26" s="98"/>
      <c r="M26" s="184"/>
      <c r="N26" s="157"/>
      <c r="O26" s="232" t="s">
        <v>110</v>
      </c>
      <c r="P26" s="233"/>
      <c r="Q26" s="233"/>
      <c r="R26" s="234"/>
      <c r="S26" s="235"/>
      <c r="T26" s="221">
        <f>BF12</f>
        <v>240</v>
      </c>
      <c r="U26" s="97"/>
      <c r="V26" s="97"/>
      <c r="W26" s="97"/>
      <c r="X26" s="97"/>
      <c r="Y26" s="98"/>
      <c r="Z26" s="184"/>
      <c r="AA26" s="152"/>
      <c r="AB26" s="240" t="s">
        <v>110</v>
      </c>
      <c r="AC26" s="241"/>
      <c r="AD26" s="241"/>
      <c r="AE26" s="652"/>
      <c r="AF26" s="653"/>
      <c r="AG26" s="648">
        <f>BF13</f>
        <v>0</v>
      </c>
      <c r="AH26" s="97"/>
      <c r="AI26" s="97"/>
      <c r="AJ26" s="97"/>
      <c r="AK26" s="97"/>
      <c r="AL26" s="98"/>
      <c r="AM26" s="189"/>
      <c r="AN26" s="152"/>
      <c r="AO26" s="240" t="s">
        <v>110</v>
      </c>
      <c r="AP26" s="241"/>
      <c r="AQ26" s="241"/>
      <c r="AR26" s="652"/>
      <c r="AS26" s="653"/>
      <c r="AT26" s="648">
        <f>BF14</f>
        <v>0</v>
      </c>
      <c r="AU26" s="97"/>
      <c r="AV26" s="97"/>
      <c r="AW26" s="97"/>
      <c r="AX26" s="97"/>
      <c r="AY26" s="98"/>
      <c r="AZ26" s="189"/>
      <c r="BA26" s="459"/>
      <c r="BB26" s="459"/>
      <c r="BC26" s="459"/>
      <c r="BD26" s="459"/>
      <c r="BE26" s="459"/>
      <c r="BF26" s="459"/>
      <c r="BG26" s="459"/>
      <c r="BH26" s="459"/>
      <c r="BI26" s="459"/>
      <c r="BJ26" s="459"/>
    </row>
    <row r="27" ht="19.5" customHeight="1" spans="1:62">
      <c r="A27" s="157"/>
      <c r="B27" s="232" t="s">
        <v>111</v>
      </c>
      <c r="C27" s="233"/>
      <c r="D27" s="233"/>
      <c r="E27" s="233"/>
      <c r="F27" s="445"/>
      <c r="G27" s="263"/>
      <c r="H27" s="97"/>
      <c r="I27" s="97"/>
      <c r="J27" s="97"/>
      <c r="K27" s="97"/>
      <c r="L27" s="98"/>
      <c r="M27" s="156"/>
      <c r="N27" s="157"/>
      <c r="O27" s="232" t="s">
        <v>111</v>
      </c>
      <c r="P27" s="233"/>
      <c r="Q27" s="233"/>
      <c r="R27" s="234"/>
      <c r="S27" s="235"/>
      <c r="T27" s="263"/>
      <c r="U27" s="97"/>
      <c r="V27" s="97"/>
      <c r="W27" s="97"/>
      <c r="X27" s="97"/>
      <c r="Y27" s="98"/>
      <c r="Z27" s="156"/>
      <c r="AA27" s="152"/>
      <c r="AB27" s="240" t="s">
        <v>111</v>
      </c>
      <c r="AC27" s="241"/>
      <c r="AD27" s="241"/>
      <c r="AE27" s="652"/>
      <c r="AF27" s="653"/>
      <c r="AG27" s="661"/>
      <c r="AH27" s="97"/>
      <c r="AI27" s="97"/>
      <c r="AJ27" s="97"/>
      <c r="AK27" s="97"/>
      <c r="AL27" s="98"/>
      <c r="AM27" s="160"/>
      <c r="AN27" s="152"/>
      <c r="AO27" s="240" t="s">
        <v>111</v>
      </c>
      <c r="AP27" s="241"/>
      <c r="AQ27" s="241"/>
      <c r="AR27" s="652"/>
      <c r="AS27" s="653"/>
      <c r="AT27" s="661"/>
      <c r="AU27" s="97"/>
      <c r="AV27" s="97"/>
      <c r="AW27" s="97"/>
      <c r="AX27" s="97"/>
      <c r="AY27" s="98"/>
      <c r="AZ27" s="160"/>
      <c r="BA27" s="459"/>
      <c r="BB27" s="459"/>
      <c r="BC27" s="459"/>
      <c r="BD27" s="459"/>
      <c r="BE27" s="459"/>
      <c r="BF27" s="459"/>
      <c r="BG27" s="459"/>
      <c r="BH27" s="459"/>
      <c r="BI27" s="459"/>
      <c r="BJ27" s="459"/>
    </row>
    <row r="28" ht="15.75" customHeight="1" spans="1:62">
      <c r="A28" s="157"/>
      <c r="B28" s="197"/>
      <c r="C28" s="197"/>
      <c r="D28" s="212"/>
      <c r="E28" s="212"/>
      <c r="F28" s="212"/>
      <c r="G28" s="212"/>
      <c r="H28" s="212"/>
      <c r="I28" s="212"/>
      <c r="J28" s="212"/>
      <c r="K28" s="212"/>
      <c r="L28" s="212"/>
      <c r="M28" s="156"/>
      <c r="N28" s="157"/>
      <c r="O28" s="197"/>
      <c r="P28" s="197"/>
      <c r="Q28" s="212"/>
      <c r="R28" s="212"/>
      <c r="S28" s="212"/>
      <c r="T28" s="212"/>
      <c r="U28" s="212"/>
      <c r="V28" s="212"/>
      <c r="W28" s="212"/>
      <c r="X28" s="212"/>
      <c r="Y28" s="212"/>
      <c r="Z28" s="156"/>
      <c r="AA28" s="152"/>
      <c r="AB28" s="205"/>
      <c r="AC28" s="205"/>
      <c r="AD28" s="216"/>
      <c r="AE28" s="216"/>
      <c r="AF28" s="216"/>
      <c r="AG28" s="216"/>
      <c r="AH28" s="216"/>
      <c r="AI28" s="216"/>
      <c r="AJ28" s="216"/>
      <c r="AK28" s="216"/>
      <c r="AL28" s="216"/>
      <c r="AM28" s="160"/>
      <c r="AN28" s="152"/>
      <c r="AO28" s="205"/>
      <c r="AP28" s="205"/>
      <c r="AQ28" s="216"/>
      <c r="AR28" s="216"/>
      <c r="AS28" s="216"/>
      <c r="AT28" s="216"/>
      <c r="AU28" s="216"/>
      <c r="AV28" s="216"/>
      <c r="AW28" s="216"/>
      <c r="AX28" s="216"/>
      <c r="AY28" s="216"/>
      <c r="AZ28" s="160"/>
      <c r="BA28" s="459"/>
      <c r="BB28" s="459"/>
      <c r="BC28" s="459"/>
      <c r="BD28" s="459"/>
      <c r="BE28" s="459"/>
      <c r="BF28" s="459"/>
      <c r="BG28" s="459"/>
      <c r="BH28" s="459"/>
      <c r="BI28" s="459"/>
      <c r="BJ28" s="459"/>
    </row>
    <row r="29" ht="15.75" customHeight="1" spans="1:62">
      <c r="A29" s="157"/>
      <c r="B29" s="197"/>
      <c r="C29" s="197"/>
      <c r="D29" s="212"/>
      <c r="E29" s="212"/>
      <c r="F29" s="212"/>
      <c r="G29" s="212"/>
      <c r="H29" s="212"/>
      <c r="I29" s="212"/>
      <c r="J29" s="212"/>
      <c r="K29" s="212"/>
      <c r="L29" s="212"/>
      <c r="M29" s="156"/>
      <c r="N29" s="157"/>
      <c r="O29" s="197"/>
      <c r="P29" s="197"/>
      <c r="Q29" s="212"/>
      <c r="R29" s="212"/>
      <c r="S29" s="212"/>
      <c r="T29" s="212"/>
      <c r="U29" s="212"/>
      <c r="V29" s="212"/>
      <c r="W29" s="212"/>
      <c r="X29" s="212"/>
      <c r="Y29" s="212"/>
      <c r="Z29" s="156"/>
      <c r="AA29" s="152"/>
      <c r="AB29" s="205"/>
      <c r="AC29" s="205"/>
      <c r="AD29" s="216"/>
      <c r="AE29" s="216"/>
      <c r="AF29" s="216"/>
      <c r="AG29" s="216"/>
      <c r="AH29" s="216"/>
      <c r="AI29" s="216"/>
      <c r="AJ29" s="216"/>
      <c r="AK29" s="216"/>
      <c r="AL29" s="216"/>
      <c r="AM29" s="160"/>
      <c r="AN29" s="152"/>
      <c r="AO29" s="205"/>
      <c r="AP29" s="205"/>
      <c r="AQ29" s="216"/>
      <c r="AR29" s="216"/>
      <c r="AS29" s="216"/>
      <c r="AT29" s="216"/>
      <c r="AU29" s="216"/>
      <c r="AV29" s="216"/>
      <c r="AW29" s="216"/>
      <c r="AX29" s="216"/>
      <c r="AY29" s="216"/>
      <c r="AZ29" s="160"/>
      <c r="BA29" s="459"/>
      <c r="BB29" s="459"/>
      <c r="BC29" s="459"/>
      <c r="BD29" s="459"/>
      <c r="BE29" s="459"/>
      <c r="BF29" s="459"/>
      <c r="BG29" s="459"/>
      <c r="BH29" s="459"/>
      <c r="BI29" s="459"/>
      <c r="BJ29" s="459"/>
    </row>
    <row r="30" ht="15.75" customHeight="1" spans="1:62">
      <c r="A30" s="157"/>
      <c r="B30" s="197" t="s">
        <v>112</v>
      </c>
      <c r="C30" s="197"/>
      <c r="D30" s="212"/>
      <c r="E30" s="212" t="str">
        <f>BC17</f>
        <v>CAPT. HUSIN ABDILLAH ALAYDRUS</v>
      </c>
      <c r="F30" s="154"/>
      <c r="G30" s="154"/>
      <c r="H30" s="154"/>
      <c r="I30" s="154"/>
      <c r="J30" s="154"/>
      <c r="K30" s="154"/>
      <c r="L30" s="154"/>
      <c r="M30" s="156"/>
      <c r="N30" s="157"/>
      <c r="O30" s="197" t="s">
        <v>112</v>
      </c>
      <c r="P30" s="197"/>
      <c r="Q30" s="212"/>
      <c r="R30" s="549" t="str">
        <f>E30</f>
        <v>CAPT. HUSIN ABDILLAH ALAYDRUS</v>
      </c>
      <c r="S30" s="549"/>
      <c r="T30" s="549"/>
      <c r="U30" s="549"/>
      <c r="V30" s="549"/>
      <c r="W30" s="549"/>
      <c r="X30" s="549"/>
      <c r="Y30" s="212"/>
      <c r="Z30" s="156"/>
      <c r="AA30" s="152"/>
      <c r="AB30" s="205" t="s">
        <v>112</v>
      </c>
      <c r="AC30" s="205"/>
      <c r="AD30" s="216"/>
      <c r="AE30" s="662" t="str">
        <f>R30</f>
        <v>CAPT. HUSIN ABDILLAH ALAYDRUS</v>
      </c>
      <c r="AF30" s="662"/>
      <c r="AG30" s="662"/>
      <c r="AH30" s="662"/>
      <c r="AI30" s="662"/>
      <c r="AJ30" s="662"/>
      <c r="AK30" s="662"/>
      <c r="AL30" s="216"/>
      <c r="AM30" s="160"/>
      <c r="AN30" s="152"/>
      <c r="AO30" s="205" t="s">
        <v>112</v>
      </c>
      <c r="AP30" s="205"/>
      <c r="AQ30" s="216"/>
      <c r="AR30" s="662" t="str">
        <f>AE30</f>
        <v>CAPT. HUSIN ABDILLAH ALAYDRUS</v>
      </c>
      <c r="AS30" s="662"/>
      <c r="AT30" s="662"/>
      <c r="AU30" s="662"/>
      <c r="AV30" s="662"/>
      <c r="AW30" s="662"/>
      <c r="AX30" s="662"/>
      <c r="AY30" s="216"/>
      <c r="AZ30" s="160"/>
      <c r="BA30" s="459"/>
      <c r="BB30" s="459"/>
      <c r="BC30" s="459"/>
      <c r="BD30" s="459"/>
      <c r="BE30" s="459"/>
      <c r="BF30" s="459"/>
      <c r="BG30" s="459"/>
      <c r="BH30" s="459"/>
      <c r="BI30" s="459"/>
      <c r="BJ30" s="459"/>
    </row>
    <row r="31" ht="59.25" customHeight="1" spans="1:62">
      <c r="A31" s="157"/>
      <c r="B31" s="197"/>
      <c r="C31" s="197"/>
      <c r="D31" s="198" t="s">
        <v>113</v>
      </c>
      <c r="E31" s="154"/>
      <c r="F31" s="154"/>
      <c r="G31" s="154"/>
      <c r="H31" s="154"/>
      <c r="I31" s="154"/>
      <c r="J31" s="212"/>
      <c r="K31" s="212"/>
      <c r="L31" s="212"/>
      <c r="M31" s="156"/>
      <c r="N31" s="157"/>
      <c r="O31" s="197"/>
      <c r="P31" s="197"/>
      <c r="Q31" s="198" t="s">
        <v>113</v>
      </c>
      <c r="R31" s="154"/>
      <c r="S31" s="154"/>
      <c r="T31" s="154"/>
      <c r="U31" s="154"/>
      <c r="V31" s="154"/>
      <c r="W31" s="212"/>
      <c r="X31" s="212"/>
      <c r="Y31" s="212"/>
      <c r="Z31" s="156"/>
      <c r="AA31" s="152"/>
      <c r="AB31" s="205"/>
      <c r="AC31" s="205"/>
      <c r="AD31" s="206" t="s">
        <v>113</v>
      </c>
      <c r="AE31" s="154"/>
      <c r="AF31" s="154"/>
      <c r="AG31" s="154"/>
      <c r="AH31" s="154"/>
      <c r="AI31" s="154"/>
      <c r="AJ31" s="216"/>
      <c r="AK31" s="216"/>
      <c r="AL31" s="216"/>
      <c r="AM31" s="160"/>
      <c r="AN31" s="152"/>
      <c r="AO31" s="205"/>
      <c r="AP31" s="205"/>
      <c r="AQ31" s="206" t="s">
        <v>113</v>
      </c>
      <c r="AR31" s="154"/>
      <c r="AS31" s="154"/>
      <c r="AT31" s="154"/>
      <c r="AU31" s="154"/>
      <c r="AV31" s="154"/>
      <c r="AW31" s="216"/>
      <c r="AX31" s="216"/>
      <c r="AY31" s="216"/>
      <c r="AZ31" s="160"/>
      <c r="BA31" s="459"/>
      <c r="BB31" s="459"/>
      <c r="BC31" s="459"/>
      <c r="BD31" s="459"/>
      <c r="BE31" s="459"/>
      <c r="BF31" s="459"/>
      <c r="BG31" s="459"/>
      <c r="BH31" s="459"/>
      <c r="BI31" s="459"/>
      <c r="BJ31" s="459"/>
    </row>
    <row r="32" ht="15.75" customHeight="1" spans="1:62">
      <c r="A32" s="157"/>
      <c r="B32" s="197"/>
      <c r="C32" s="197"/>
      <c r="D32" s="212"/>
      <c r="E32" s="212"/>
      <c r="F32" s="212"/>
      <c r="G32" s="212"/>
      <c r="H32" s="212"/>
      <c r="I32" s="212"/>
      <c r="J32" s="212"/>
      <c r="K32" s="212"/>
      <c r="L32" s="212"/>
      <c r="M32" s="156"/>
      <c r="N32" s="157"/>
      <c r="O32" s="197"/>
      <c r="P32" s="197"/>
      <c r="Q32" s="212"/>
      <c r="R32" s="212"/>
      <c r="S32" s="212"/>
      <c r="T32" s="212"/>
      <c r="U32" s="212"/>
      <c r="V32" s="212"/>
      <c r="W32" s="212"/>
      <c r="X32" s="212"/>
      <c r="Y32" s="212"/>
      <c r="Z32" s="156"/>
      <c r="AA32" s="152"/>
      <c r="AB32" s="205"/>
      <c r="AC32" s="205"/>
      <c r="AD32" s="216"/>
      <c r="AE32" s="216"/>
      <c r="AF32" s="216"/>
      <c r="AG32" s="216"/>
      <c r="AH32" s="216"/>
      <c r="AI32" s="216"/>
      <c r="AJ32" s="216"/>
      <c r="AK32" s="216"/>
      <c r="AL32" s="216"/>
      <c r="AM32" s="160"/>
      <c r="AN32" s="152"/>
      <c r="AO32" s="205"/>
      <c r="AP32" s="205"/>
      <c r="AQ32" s="216"/>
      <c r="AR32" s="216"/>
      <c r="AS32" s="216"/>
      <c r="AT32" s="216"/>
      <c r="AU32" s="216"/>
      <c r="AV32" s="216"/>
      <c r="AW32" s="216"/>
      <c r="AX32" s="216"/>
      <c r="AY32" s="216"/>
      <c r="AZ32" s="160"/>
      <c r="BA32" s="459"/>
      <c r="BB32" s="459"/>
      <c r="BC32" s="459"/>
      <c r="BD32" s="459"/>
      <c r="BE32" s="459"/>
      <c r="BF32" s="459"/>
      <c r="BG32" s="459"/>
      <c r="BH32" s="459"/>
      <c r="BI32" s="459"/>
      <c r="BJ32" s="459"/>
    </row>
    <row r="33" ht="15.75" customHeight="1" spans="1:62">
      <c r="A33" s="157"/>
      <c r="B33" s="197"/>
      <c r="C33" s="197"/>
      <c r="D33" s="212"/>
      <c r="E33" s="212"/>
      <c r="F33" s="212"/>
      <c r="G33" s="212"/>
      <c r="H33" s="212"/>
      <c r="I33" s="212"/>
      <c r="J33" s="212"/>
      <c r="K33" s="212"/>
      <c r="L33" s="212"/>
      <c r="M33" s="156"/>
      <c r="N33" s="157"/>
      <c r="O33" s="197"/>
      <c r="P33" s="197"/>
      <c r="Q33" s="212"/>
      <c r="R33" s="212"/>
      <c r="S33" s="212"/>
      <c r="T33" s="212"/>
      <c r="U33" s="212"/>
      <c r="V33" s="212"/>
      <c r="W33" s="212"/>
      <c r="X33" s="212"/>
      <c r="Y33" s="212"/>
      <c r="Z33" s="156"/>
      <c r="AA33" s="152"/>
      <c r="AB33" s="205"/>
      <c r="AC33" s="205"/>
      <c r="AD33" s="216"/>
      <c r="AE33" s="216"/>
      <c r="AF33" s="216"/>
      <c r="AG33" s="216"/>
      <c r="AH33" s="216"/>
      <c r="AI33" s="216"/>
      <c r="AJ33" s="216"/>
      <c r="AK33" s="216"/>
      <c r="AL33" s="216"/>
      <c r="AM33" s="160"/>
      <c r="AN33" s="152"/>
      <c r="AO33" s="205"/>
      <c r="AP33" s="205"/>
      <c r="AQ33" s="216"/>
      <c r="AR33" s="216"/>
      <c r="AS33" s="216"/>
      <c r="AT33" s="216"/>
      <c r="AU33" s="216"/>
      <c r="AV33" s="216"/>
      <c r="AW33" s="216"/>
      <c r="AX33" s="216"/>
      <c r="AY33" s="216"/>
      <c r="AZ33" s="160"/>
      <c r="BA33" s="459"/>
      <c r="BB33" s="459"/>
      <c r="BC33" s="459"/>
      <c r="BD33" s="459"/>
      <c r="BE33" s="459"/>
      <c r="BF33" s="459"/>
      <c r="BG33" s="459"/>
      <c r="BH33" s="459"/>
      <c r="BI33" s="459"/>
      <c r="BJ33" s="459"/>
    </row>
    <row r="34" ht="15.75" customHeight="1" spans="1:62">
      <c r="A34" s="157"/>
      <c r="B34" s="197" t="s">
        <v>114</v>
      </c>
      <c r="C34" s="197"/>
      <c r="D34" s="265">
        <f>BC11</f>
        <v>0</v>
      </c>
      <c r="E34" s="154"/>
      <c r="F34" s="154"/>
      <c r="G34" s="212" t="s">
        <v>115</v>
      </c>
      <c r="H34" s="212"/>
      <c r="I34" s="212"/>
      <c r="J34" s="212"/>
      <c r="K34" s="212"/>
      <c r="L34" s="212"/>
      <c r="M34" s="156"/>
      <c r="N34" s="157"/>
      <c r="O34" s="197" t="s">
        <v>114</v>
      </c>
      <c r="P34" s="197"/>
      <c r="Q34" s="265">
        <f>BC12</f>
        <v>0</v>
      </c>
      <c r="R34" s="154"/>
      <c r="S34" s="154"/>
      <c r="T34" s="212" t="s">
        <v>115</v>
      </c>
      <c r="U34" s="212"/>
      <c r="V34" s="212"/>
      <c r="W34" s="212"/>
      <c r="X34" s="212"/>
      <c r="Y34" s="212"/>
      <c r="Z34" s="156"/>
      <c r="AA34" s="152"/>
      <c r="AB34" s="205" t="s">
        <v>114</v>
      </c>
      <c r="AC34" s="205"/>
      <c r="AD34" s="266">
        <f>BC13</f>
        <v>0</v>
      </c>
      <c r="AE34" s="154"/>
      <c r="AF34" s="154"/>
      <c r="AG34" s="216" t="s">
        <v>115</v>
      </c>
      <c r="AH34" s="216"/>
      <c r="AI34" s="216"/>
      <c r="AJ34" s="216"/>
      <c r="AK34" s="216"/>
      <c r="AL34" s="216"/>
      <c r="AM34" s="160"/>
      <c r="AN34" s="152"/>
      <c r="AO34" s="205" t="s">
        <v>114</v>
      </c>
      <c r="AP34" s="205"/>
      <c r="AQ34" s="266">
        <f>BC14</f>
        <v>0</v>
      </c>
      <c r="AR34" s="154"/>
      <c r="AS34" s="154"/>
      <c r="AT34" s="216" t="s">
        <v>115</v>
      </c>
      <c r="AU34" s="216"/>
      <c r="AV34" s="216"/>
      <c r="AW34" s="216"/>
      <c r="AX34" s="216"/>
      <c r="AY34" s="216"/>
      <c r="AZ34" s="160"/>
      <c r="BA34" s="459"/>
      <c r="BB34" s="459"/>
      <c r="BC34" s="459"/>
      <c r="BD34" s="459"/>
      <c r="BE34" s="459"/>
      <c r="BF34" s="459"/>
      <c r="BG34" s="459"/>
      <c r="BH34" s="459"/>
      <c r="BI34" s="459"/>
      <c r="BJ34" s="459"/>
    </row>
    <row r="35" ht="95.25" customHeight="1" spans="1:62">
      <c r="A35" s="553"/>
      <c r="B35" s="550"/>
      <c r="C35" s="550"/>
      <c r="D35" s="551"/>
      <c r="E35" s="551"/>
      <c r="F35" s="551"/>
      <c r="G35" s="551"/>
      <c r="H35" s="551"/>
      <c r="I35" s="551"/>
      <c r="J35" s="551"/>
      <c r="K35" s="551"/>
      <c r="L35" s="551"/>
      <c r="M35" s="552"/>
      <c r="N35" s="553"/>
      <c r="O35" s="550"/>
      <c r="P35" s="550"/>
      <c r="Q35" s="551"/>
      <c r="R35" s="551"/>
      <c r="S35" s="551"/>
      <c r="T35" s="551"/>
      <c r="U35" s="551"/>
      <c r="V35" s="551"/>
      <c r="W35" s="551"/>
      <c r="X35" s="551"/>
      <c r="Y35" s="551"/>
      <c r="Z35" s="552"/>
      <c r="AA35" s="267"/>
      <c r="AB35" s="268"/>
      <c r="AC35" s="268"/>
      <c r="AD35" s="269"/>
      <c r="AE35" s="269"/>
      <c r="AF35" s="269"/>
      <c r="AG35" s="269"/>
      <c r="AH35" s="269"/>
      <c r="AI35" s="269"/>
      <c r="AJ35" s="269"/>
      <c r="AK35" s="269"/>
      <c r="AL35" s="269"/>
      <c r="AM35" s="270"/>
      <c r="AN35" s="267"/>
      <c r="AO35" s="268"/>
      <c r="AP35" s="268"/>
      <c r="AQ35" s="269"/>
      <c r="AR35" s="269"/>
      <c r="AS35" s="269"/>
      <c r="AT35" s="269"/>
      <c r="AU35" s="269"/>
      <c r="AV35" s="269"/>
      <c r="AW35" s="269"/>
      <c r="AX35" s="269"/>
      <c r="AY35" s="269"/>
      <c r="AZ35" s="270"/>
      <c r="BA35" s="459"/>
      <c r="BB35" s="459"/>
      <c r="BC35" s="459"/>
      <c r="BD35" s="459"/>
      <c r="BE35" s="459"/>
      <c r="BF35" s="459"/>
      <c r="BG35" s="459"/>
      <c r="BH35" s="459"/>
      <c r="BI35" s="459"/>
      <c r="BJ35" s="459"/>
    </row>
    <row r="36" ht="15.75" customHeight="1" spans="1:62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459"/>
      <c r="AB36" s="459"/>
      <c r="AC36" s="459"/>
      <c r="AD36" s="459"/>
      <c r="AE36" s="459"/>
      <c r="AF36" s="459"/>
      <c r="AG36" s="459"/>
      <c r="AH36" s="459"/>
      <c r="AI36" s="459"/>
      <c r="AJ36" s="459"/>
      <c r="AK36" s="459"/>
      <c r="AL36" s="459"/>
      <c r="AM36" s="459"/>
      <c r="AN36" s="459"/>
      <c r="AO36" s="459"/>
      <c r="AP36" s="459"/>
      <c r="AQ36" s="459"/>
      <c r="AR36" s="459"/>
      <c r="AS36" s="459"/>
      <c r="AT36" s="459"/>
      <c r="AU36" s="459"/>
      <c r="AV36" s="459"/>
      <c r="AW36" s="459"/>
      <c r="AX36" s="459"/>
      <c r="AY36" s="459"/>
      <c r="AZ36" s="459"/>
      <c r="BA36" s="459"/>
      <c r="BB36" s="459"/>
      <c r="BC36" s="459"/>
      <c r="BD36" s="459"/>
      <c r="BE36" s="459"/>
      <c r="BF36" s="459"/>
      <c r="BG36" s="459"/>
      <c r="BH36" s="459"/>
      <c r="BI36" s="459"/>
      <c r="BJ36" s="459"/>
    </row>
    <row r="37" ht="15.75" customHeight="1" spans="1:62">
      <c r="A37" s="52"/>
      <c r="C37" s="459"/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59"/>
      <c r="T37" s="459"/>
      <c r="U37" s="459"/>
      <c r="V37" s="459"/>
      <c r="W37" s="459"/>
      <c r="X37" s="459"/>
      <c r="Y37" s="459"/>
      <c r="Z37" s="459"/>
      <c r="AA37" s="459"/>
      <c r="AB37" s="459"/>
      <c r="AC37" s="459"/>
      <c r="AD37" s="459"/>
      <c r="AE37" s="459"/>
      <c r="AF37" s="459"/>
      <c r="AG37" s="459"/>
      <c r="AH37" s="459"/>
      <c r="AI37" s="459"/>
      <c r="AJ37" s="459"/>
      <c r="AK37" s="459"/>
      <c r="AL37" s="459"/>
      <c r="AM37" s="459"/>
      <c r="AN37" s="459"/>
      <c r="AO37" s="459"/>
      <c r="AP37" s="459"/>
      <c r="AQ37" s="459"/>
      <c r="AR37" s="459"/>
      <c r="AS37" s="459"/>
      <c r="AT37" s="459"/>
      <c r="AU37" s="459"/>
      <c r="AV37" s="459"/>
      <c r="AW37" s="459"/>
      <c r="AX37" s="459"/>
      <c r="AY37" s="459"/>
      <c r="AZ37" s="459"/>
      <c r="BA37" s="459"/>
      <c r="BB37" s="459"/>
      <c r="BC37" s="459"/>
      <c r="BD37" s="459"/>
      <c r="BE37" s="459"/>
      <c r="BF37" s="459"/>
      <c r="BG37" s="459"/>
      <c r="BH37" s="459"/>
      <c r="BI37" s="459"/>
      <c r="BJ37" s="459"/>
    </row>
    <row r="38" ht="15.75" customHeight="1" spans="1:62">
      <c r="A38" s="459"/>
      <c r="B38" s="459"/>
      <c r="C38" s="459"/>
      <c r="D38" s="459"/>
      <c r="E38" s="459"/>
      <c r="F38" s="459"/>
      <c r="G38" s="459"/>
      <c r="H38" s="459"/>
      <c r="I38" s="459"/>
      <c r="J38" s="459"/>
      <c r="K38" s="459"/>
      <c r="L38" s="459"/>
      <c r="M38" s="459"/>
      <c r="N38" s="459"/>
      <c r="O38" s="459"/>
      <c r="P38" s="459"/>
      <c r="Q38" s="459"/>
      <c r="R38" s="459"/>
      <c r="S38" s="459"/>
      <c r="T38" s="459"/>
      <c r="U38" s="459"/>
      <c r="V38" s="459"/>
      <c r="W38" s="459"/>
      <c r="X38" s="459"/>
      <c r="Y38" s="459"/>
      <c r="Z38" s="459"/>
      <c r="AA38" s="459"/>
      <c r="AB38" s="459"/>
      <c r="AC38" s="459"/>
      <c r="AD38" s="459"/>
      <c r="AE38" s="459"/>
      <c r="AF38" s="459"/>
      <c r="AG38" s="459"/>
      <c r="AH38" s="459"/>
      <c r="AI38" s="459"/>
      <c r="AJ38" s="459"/>
      <c r="AK38" s="459"/>
      <c r="AL38" s="459"/>
      <c r="AM38" s="459"/>
      <c r="AN38" s="459"/>
      <c r="AO38" s="459"/>
      <c r="AP38" s="459"/>
      <c r="AQ38" s="459"/>
      <c r="AR38" s="459"/>
      <c r="AS38" s="459"/>
      <c r="AT38" s="459"/>
      <c r="AU38" s="459"/>
      <c r="AV38" s="459"/>
      <c r="AW38" s="459"/>
      <c r="AX38" s="459"/>
      <c r="AY38" s="459"/>
      <c r="AZ38" s="459"/>
      <c r="BA38" s="459"/>
      <c r="BB38" s="459"/>
      <c r="BC38" s="459"/>
      <c r="BD38" s="459"/>
      <c r="BE38" s="459"/>
      <c r="BF38" s="459"/>
      <c r="BG38" s="459"/>
      <c r="BH38" s="459"/>
      <c r="BI38" s="459"/>
      <c r="BJ38" s="459"/>
    </row>
    <row r="39" ht="15.75" customHeight="1" spans="1:62">
      <c r="A39" s="459"/>
      <c r="B39" s="459"/>
      <c r="C39" s="459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59"/>
      <c r="U39" s="459"/>
      <c r="V39" s="459"/>
      <c r="W39" s="459"/>
      <c r="X39" s="459"/>
      <c r="Y39" s="459"/>
      <c r="Z39" s="459"/>
      <c r="AA39" s="459"/>
      <c r="AB39" s="459"/>
      <c r="AC39" s="459"/>
      <c r="AD39" s="459"/>
      <c r="AE39" s="459"/>
      <c r="AF39" s="459"/>
      <c r="AG39" s="459"/>
      <c r="AH39" s="459"/>
      <c r="AI39" s="459"/>
      <c r="AJ39" s="459"/>
      <c r="AK39" s="459"/>
      <c r="AL39" s="459"/>
      <c r="AM39" s="459"/>
      <c r="AN39" s="459"/>
      <c r="AO39" s="459"/>
      <c r="AP39" s="459"/>
      <c r="AQ39" s="459"/>
      <c r="AR39" s="459"/>
      <c r="AS39" s="459"/>
      <c r="AT39" s="459"/>
      <c r="AU39" s="459"/>
      <c r="AV39" s="459"/>
      <c r="AW39" s="459"/>
      <c r="AX39" s="459"/>
      <c r="AY39" s="459"/>
      <c r="AZ39" s="459"/>
      <c r="BA39" s="459"/>
      <c r="BB39" s="459"/>
      <c r="BC39" s="459"/>
      <c r="BD39" s="459"/>
      <c r="BE39" s="459"/>
      <c r="BF39" s="459"/>
      <c r="BG39" s="459"/>
      <c r="BH39" s="459"/>
      <c r="BI39" s="459"/>
      <c r="BJ39" s="459"/>
    </row>
    <row r="40" ht="15.75" customHeight="1" spans="1:62">
      <c r="A40" s="459"/>
      <c r="B40" s="459"/>
      <c r="C40" s="459"/>
      <c r="D40" s="459"/>
      <c r="E40" s="459"/>
      <c r="F40" s="459"/>
      <c r="G40" s="459"/>
      <c r="H40" s="459"/>
      <c r="I40" s="459"/>
      <c r="J40" s="459"/>
      <c r="K40" s="459"/>
      <c r="L40" s="459"/>
      <c r="M40" s="459"/>
      <c r="N40" s="459"/>
      <c r="O40" s="459"/>
      <c r="P40" s="459"/>
      <c r="Q40" s="459"/>
      <c r="R40" s="459"/>
      <c r="S40" s="459"/>
      <c r="T40" s="459"/>
      <c r="U40" s="459"/>
      <c r="V40" s="459"/>
      <c r="W40" s="459"/>
      <c r="X40" s="459"/>
      <c r="Y40" s="459"/>
      <c r="Z40" s="459"/>
      <c r="AA40" s="459"/>
      <c r="AB40" s="459"/>
      <c r="AC40" s="459"/>
      <c r="AD40" s="459"/>
      <c r="AE40" s="459"/>
      <c r="AF40" s="459"/>
      <c r="AG40" s="459"/>
      <c r="AH40" s="459"/>
      <c r="AI40" s="459"/>
      <c r="AJ40" s="459"/>
      <c r="AK40" s="459"/>
      <c r="AL40" s="459"/>
      <c r="AM40" s="459"/>
      <c r="AN40" s="459"/>
      <c r="AO40" s="459"/>
      <c r="AP40" s="459"/>
      <c r="AQ40" s="459"/>
      <c r="AR40" s="459"/>
      <c r="AS40" s="459"/>
      <c r="AT40" s="459"/>
      <c r="AU40" s="459"/>
      <c r="AV40" s="459"/>
      <c r="AW40" s="459"/>
      <c r="AX40" s="459"/>
      <c r="AY40" s="459"/>
      <c r="AZ40" s="459"/>
      <c r="BA40" s="459"/>
      <c r="BB40" s="459"/>
      <c r="BC40" s="459"/>
      <c r="BD40" s="459"/>
      <c r="BE40" s="459"/>
      <c r="BF40" s="459"/>
      <c r="BG40" s="459"/>
      <c r="BH40" s="459"/>
      <c r="BI40" s="459"/>
      <c r="BJ40" s="459"/>
    </row>
    <row r="41" ht="15.75" customHeight="1" spans="1:62">
      <c r="A41" s="459"/>
      <c r="B41" s="459"/>
      <c r="C41" s="459"/>
      <c r="D41" s="459"/>
      <c r="E41" s="459"/>
      <c r="F41" s="459"/>
      <c r="G41" s="459"/>
      <c r="H41" s="459"/>
      <c r="I41" s="459"/>
      <c r="J41" s="459"/>
      <c r="K41" s="459"/>
      <c r="L41" s="459"/>
      <c r="M41" s="459"/>
      <c r="N41" s="459"/>
      <c r="O41" s="459"/>
      <c r="P41" s="459"/>
      <c r="Q41" s="459"/>
      <c r="R41" s="459"/>
      <c r="S41" s="459"/>
      <c r="T41" s="459"/>
      <c r="U41" s="459"/>
      <c r="V41" s="459"/>
      <c r="W41" s="459"/>
      <c r="X41" s="459"/>
      <c r="Y41" s="459"/>
      <c r="Z41" s="459"/>
      <c r="AA41" s="459"/>
      <c r="AB41" s="459"/>
      <c r="AC41" s="459"/>
      <c r="AD41" s="459"/>
      <c r="AE41" s="459"/>
      <c r="AF41" s="459"/>
      <c r="AG41" s="459"/>
      <c r="AH41" s="459"/>
      <c r="AI41" s="459"/>
      <c r="AJ41" s="459"/>
      <c r="AK41" s="459"/>
      <c r="AL41" s="459"/>
      <c r="AM41" s="459"/>
      <c r="AN41" s="459"/>
      <c r="AO41" s="459"/>
      <c r="AP41" s="459"/>
      <c r="AQ41" s="459"/>
      <c r="AR41" s="459"/>
      <c r="AS41" s="459"/>
      <c r="AT41" s="459"/>
      <c r="AU41" s="459"/>
      <c r="AV41" s="459"/>
      <c r="AW41" s="459"/>
      <c r="AX41" s="459"/>
      <c r="AY41" s="459"/>
      <c r="AZ41" s="459"/>
      <c r="BA41" s="459"/>
      <c r="BB41" s="459"/>
      <c r="BC41" s="459"/>
      <c r="BD41" s="459"/>
      <c r="BE41" s="459"/>
      <c r="BF41" s="459"/>
      <c r="BG41" s="459"/>
      <c r="BH41" s="459"/>
      <c r="BI41" s="459"/>
      <c r="BJ41" s="459"/>
    </row>
    <row r="42" ht="15.75" customHeight="1" spans="1:62">
      <c r="A42" s="459"/>
      <c r="B42" s="459"/>
      <c r="C42" s="459"/>
      <c r="D42" s="459"/>
      <c r="E42" s="459"/>
      <c r="F42" s="459"/>
      <c r="G42" s="459"/>
      <c r="H42" s="459"/>
      <c r="I42" s="459"/>
      <c r="J42" s="459"/>
      <c r="K42" s="459"/>
      <c r="L42" s="459"/>
      <c r="M42" s="459"/>
      <c r="N42" s="459"/>
      <c r="O42" s="459"/>
      <c r="P42" s="459"/>
      <c r="Q42" s="459"/>
      <c r="R42" s="459"/>
      <c r="S42" s="459"/>
      <c r="T42" s="459"/>
      <c r="U42" s="459"/>
      <c r="V42" s="459"/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459"/>
      <c r="AJ42" s="459"/>
      <c r="AK42" s="459"/>
      <c r="AL42" s="459"/>
      <c r="AM42" s="459"/>
      <c r="AN42" s="459"/>
      <c r="AO42" s="459"/>
      <c r="AP42" s="459"/>
      <c r="AQ42" s="459"/>
      <c r="AR42" s="459"/>
      <c r="AS42" s="459"/>
      <c r="AT42" s="459"/>
      <c r="AU42" s="459"/>
      <c r="AV42" s="459"/>
      <c r="AW42" s="459"/>
      <c r="AX42" s="459"/>
      <c r="AY42" s="459"/>
      <c r="AZ42" s="459"/>
      <c r="BA42" s="459"/>
      <c r="BB42" s="459"/>
      <c r="BC42" s="459"/>
      <c r="BD42" s="459"/>
      <c r="BE42" s="459"/>
      <c r="BF42" s="459"/>
      <c r="BG42" s="459"/>
      <c r="BH42" s="459"/>
      <c r="BI42" s="459"/>
      <c r="BJ42" s="459"/>
    </row>
    <row r="43" ht="15.75" customHeight="1" spans="1:62">
      <c r="A43" s="459"/>
      <c r="B43" s="459"/>
      <c r="C43" s="459"/>
      <c r="D43" s="459"/>
      <c r="E43" s="459"/>
      <c r="F43" s="459"/>
      <c r="G43" s="459"/>
      <c r="H43" s="459"/>
      <c r="I43" s="459"/>
      <c r="J43" s="459"/>
      <c r="K43" s="459"/>
      <c r="L43" s="459"/>
      <c r="M43" s="459"/>
      <c r="N43" s="459"/>
      <c r="O43" s="459"/>
      <c r="P43" s="459"/>
      <c r="Q43" s="459"/>
      <c r="R43" s="459"/>
      <c r="S43" s="459"/>
      <c r="T43" s="459"/>
      <c r="U43" s="459"/>
      <c r="V43" s="459"/>
      <c r="W43" s="459"/>
      <c r="X43" s="459"/>
      <c r="Y43" s="459"/>
      <c r="Z43" s="459"/>
      <c r="AA43" s="459"/>
      <c r="AB43" s="459"/>
      <c r="AC43" s="459"/>
      <c r="AD43" s="459"/>
      <c r="AE43" s="459"/>
      <c r="AF43" s="459"/>
      <c r="AG43" s="459"/>
      <c r="AH43" s="459"/>
      <c r="AI43" s="459"/>
      <c r="AJ43" s="459"/>
      <c r="AK43" s="459"/>
      <c r="AL43" s="459"/>
      <c r="AM43" s="459"/>
      <c r="AN43" s="459"/>
      <c r="AO43" s="459"/>
      <c r="AP43" s="459"/>
      <c r="AQ43" s="459"/>
      <c r="AR43" s="459"/>
      <c r="AS43" s="459"/>
      <c r="AT43" s="459"/>
      <c r="AU43" s="459"/>
      <c r="AV43" s="459"/>
      <c r="AW43" s="459"/>
      <c r="AX43" s="459"/>
      <c r="AY43" s="459"/>
      <c r="AZ43" s="459"/>
      <c r="BA43" s="459"/>
      <c r="BB43" s="459"/>
      <c r="BC43" s="459"/>
      <c r="BD43" s="459"/>
      <c r="BE43" s="459"/>
      <c r="BF43" s="459"/>
      <c r="BG43" s="459"/>
      <c r="BH43" s="459"/>
      <c r="BI43" s="459"/>
      <c r="BJ43" s="459"/>
    </row>
    <row r="44" ht="15.75" customHeight="1" spans="1:62">
      <c r="A44" s="459"/>
      <c r="B44" s="459"/>
      <c r="C44" s="459"/>
      <c r="D44" s="459"/>
      <c r="E44" s="459"/>
      <c r="F44" s="459"/>
      <c r="G44" s="459"/>
      <c r="H44" s="459"/>
      <c r="I44" s="459"/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59"/>
      <c r="AI44" s="459"/>
      <c r="AJ44" s="459"/>
      <c r="AK44" s="459"/>
      <c r="AL44" s="459"/>
      <c r="AM44" s="459"/>
      <c r="AN44" s="459"/>
      <c r="AO44" s="459"/>
      <c r="AP44" s="459"/>
      <c r="AQ44" s="459"/>
      <c r="AR44" s="459"/>
      <c r="AS44" s="459"/>
      <c r="AT44" s="459"/>
      <c r="AU44" s="459"/>
      <c r="AV44" s="459"/>
      <c r="AW44" s="459"/>
      <c r="AX44" s="459"/>
      <c r="AY44" s="459"/>
      <c r="AZ44" s="459"/>
      <c r="BA44" s="459"/>
      <c r="BB44" s="459"/>
      <c r="BC44" s="459"/>
      <c r="BD44" s="459"/>
      <c r="BE44" s="459"/>
      <c r="BF44" s="459"/>
      <c r="BG44" s="459"/>
      <c r="BH44" s="459"/>
      <c r="BI44" s="459"/>
      <c r="BJ44" s="459"/>
    </row>
    <row r="45" ht="15.75" customHeight="1" spans="1:62">
      <c r="A45" s="459"/>
      <c r="B45" s="459"/>
      <c r="C45" s="459"/>
      <c r="D45" s="459"/>
      <c r="E45" s="459"/>
      <c r="F45" s="459"/>
      <c r="G45" s="459"/>
      <c r="H45" s="459"/>
      <c r="I45" s="459"/>
      <c r="J45" s="459"/>
      <c r="K45" s="459"/>
      <c r="L45" s="459"/>
      <c r="M45" s="459"/>
      <c r="N45" s="459"/>
      <c r="O45" s="459"/>
      <c r="P45" s="459"/>
      <c r="Q45" s="459"/>
      <c r="R45" s="459"/>
      <c r="S45" s="459"/>
      <c r="T45" s="459"/>
      <c r="U45" s="459"/>
      <c r="V45" s="459"/>
      <c r="W45" s="459"/>
      <c r="X45" s="459"/>
      <c r="Y45" s="459"/>
      <c r="Z45" s="459"/>
      <c r="AA45" s="459"/>
      <c r="AB45" s="459"/>
      <c r="AC45" s="459"/>
      <c r="AD45" s="459"/>
      <c r="AE45" s="459"/>
      <c r="AF45" s="459"/>
      <c r="AG45" s="459"/>
      <c r="AH45" s="459"/>
      <c r="AI45" s="459"/>
      <c r="AJ45" s="459"/>
      <c r="AK45" s="459"/>
      <c r="AL45" s="459"/>
      <c r="AM45" s="459"/>
      <c r="AN45" s="459"/>
      <c r="AO45" s="459"/>
      <c r="AP45" s="459"/>
      <c r="AQ45" s="459"/>
      <c r="AR45" s="459"/>
      <c r="AS45" s="459"/>
      <c r="AT45" s="459"/>
      <c r="AU45" s="459"/>
      <c r="AV45" s="459"/>
      <c r="AW45" s="459"/>
      <c r="AX45" s="459"/>
      <c r="AY45" s="459"/>
      <c r="AZ45" s="459"/>
      <c r="BA45" s="459"/>
      <c r="BB45" s="459"/>
      <c r="BC45" s="459"/>
      <c r="BD45" s="459"/>
      <c r="BE45" s="459"/>
      <c r="BF45" s="459"/>
      <c r="BG45" s="459"/>
      <c r="BH45" s="459"/>
      <c r="BI45" s="459"/>
      <c r="BJ45" s="459"/>
    </row>
    <row r="46" ht="15.75" customHeight="1" spans="1:62">
      <c r="A46" s="459"/>
      <c r="B46" s="459"/>
      <c r="C46" s="459"/>
      <c r="D46" s="459"/>
      <c r="E46" s="459"/>
      <c r="F46" s="459"/>
      <c r="G46" s="459"/>
      <c r="H46" s="459"/>
      <c r="I46" s="459"/>
      <c r="J46" s="459"/>
      <c r="K46" s="459"/>
      <c r="L46" s="459"/>
      <c r="M46" s="459"/>
      <c r="N46" s="459"/>
      <c r="O46" s="459"/>
      <c r="P46" s="459"/>
      <c r="Q46" s="459"/>
      <c r="R46" s="459"/>
      <c r="S46" s="459"/>
      <c r="T46" s="459"/>
      <c r="U46" s="459"/>
      <c r="V46" s="459"/>
      <c r="W46" s="459"/>
      <c r="X46" s="459"/>
      <c r="Y46" s="459"/>
      <c r="Z46" s="459"/>
      <c r="AA46" s="459"/>
      <c r="AB46" s="459"/>
      <c r="AC46" s="459"/>
      <c r="AD46" s="459"/>
      <c r="AE46" s="459"/>
      <c r="AF46" s="459"/>
      <c r="AG46" s="459"/>
      <c r="AH46" s="459"/>
      <c r="AI46" s="459"/>
      <c r="AJ46" s="459"/>
      <c r="AK46" s="459"/>
      <c r="AL46" s="459"/>
      <c r="AM46" s="459"/>
      <c r="AN46" s="459"/>
      <c r="AO46" s="459"/>
      <c r="AP46" s="459"/>
      <c r="AQ46" s="459"/>
      <c r="AR46" s="459"/>
      <c r="AS46" s="459"/>
      <c r="AT46" s="459"/>
      <c r="AU46" s="459"/>
      <c r="AV46" s="459"/>
      <c r="AW46" s="459"/>
      <c r="AX46" s="459"/>
      <c r="AY46" s="459"/>
      <c r="AZ46" s="459"/>
      <c r="BA46" s="459"/>
      <c r="BB46" s="459"/>
      <c r="BC46" s="459"/>
      <c r="BD46" s="459"/>
      <c r="BE46" s="459"/>
      <c r="BF46" s="459"/>
      <c r="BG46" s="459"/>
      <c r="BH46" s="459"/>
      <c r="BI46" s="459"/>
      <c r="BJ46" s="459"/>
    </row>
    <row r="47" ht="15.75" customHeight="1" spans="1:62">
      <c r="A47" s="459"/>
      <c r="B47" s="459"/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59"/>
      <c r="N47" s="459"/>
      <c r="O47" s="459"/>
      <c r="P47" s="459"/>
      <c r="Q47" s="459"/>
      <c r="R47" s="459"/>
      <c r="S47" s="459"/>
      <c r="T47" s="459"/>
      <c r="U47" s="459"/>
      <c r="V47" s="459"/>
      <c r="W47" s="459"/>
      <c r="X47" s="459"/>
      <c r="Y47" s="459"/>
      <c r="Z47" s="459"/>
      <c r="AA47" s="459"/>
      <c r="AB47" s="459"/>
      <c r="AC47" s="459"/>
      <c r="AD47" s="459"/>
      <c r="AE47" s="459"/>
      <c r="AF47" s="459"/>
      <c r="AG47" s="459"/>
      <c r="AH47" s="459"/>
      <c r="AI47" s="459"/>
      <c r="AJ47" s="459"/>
      <c r="AK47" s="459"/>
      <c r="AL47" s="459"/>
      <c r="AM47" s="459"/>
      <c r="AN47" s="459"/>
      <c r="AO47" s="459"/>
      <c r="AP47" s="459"/>
      <c r="AQ47" s="459"/>
      <c r="AR47" s="459"/>
      <c r="AS47" s="459"/>
      <c r="AT47" s="459"/>
      <c r="AU47" s="459"/>
      <c r="AV47" s="459"/>
      <c r="AW47" s="459"/>
      <c r="AX47" s="459"/>
      <c r="AY47" s="459"/>
      <c r="AZ47" s="459"/>
      <c r="BA47" s="459"/>
      <c r="BB47" s="459"/>
      <c r="BC47" s="459"/>
      <c r="BD47" s="459"/>
      <c r="BE47" s="459"/>
      <c r="BF47" s="459"/>
      <c r="BG47" s="459"/>
      <c r="BH47" s="459"/>
      <c r="BI47" s="459"/>
      <c r="BJ47" s="459"/>
    </row>
    <row r="48" ht="15.75" customHeight="1" spans="1:62">
      <c r="A48" s="459"/>
      <c r="B48" s="459"/>
      <c r="C48" s="459"/>
      <c r="D48" s="459"/>
      <c r="E48" s="459"/>
      <c r="F48" s="459"/>
      <c r="G48" s="459"/>
      <c r="H48" s="459"/>
      <c r="I48" s="459"/>
      <c r="J48" s="459"/>
      <c r="K48" s="459"/>
      <c r="L48" s="459"/>
      <c r="M48" s="459"/>
      <c r="N48" s="459"/>
      <c r="O48" s="459"/>
      <c r="P48" s="459"/>
      <c r="Q48" s="459"/>
      <c r="R48" s="459"/>
      <c r="S48" s="459"/>
      <c r="T48" s="459"/>
      <c r="U48" s="459"/>
      <c r="V48" s="459"/>
      <c r="W48" s="459"/>
      <c r="X48" s="459"/>
      <c r="Y48" s="459"/>
      <c r="Z48" s="459"/>
      <c r="AA48" s="459"/>
      <c r="AB48" s="459"/>
      <c r="AC48" s="459"/>
      <c r="AD48" s="459"/>
      <c r="AE48" s="459"/>
      <c r="AF48" s="459"/>
      <c r="AG48" s="459"/>
      <c r="AH48" s="459"/>
      <c r="AI48" s="459"/>
      <c r="AJ48" s="459"/>
      <c r="AK48" s="459"/>
      <c r="AL48" s="459"/>
      <c r="AM48" s="459"/>
      <c r="AN48" s="459"/>
      <c r="AO48" s="459"/>
      <c r="AP48" s="459"/>
      <c r="AQ48" s="459"/>
      <c r="AR48" s="459"/>
      <c r="AS48" s="459"/>
      <c r="AT48" s="459"/>
      <c r="AU48" s="459"/>
      <c r="AV48" s="459"/>
      <c r="AW48" s="459"/>
      <c r="AX48" s="459"/>
      <c r="AY48" s="459"/>
      <c r="AZ48" s="459"/>
      <c r="BA48" s="459"/>
      <c r="BB48" s="459"/>
      <c r="BC48" s="459"/>
      <c r="BD48" s="459"/>
      <c r="BE48" s="459"/>
      <c r="BF48" s="459"/>
      <c r="BG48" s="459"/>
      <c r="BH48" s="459"/>
      <c r="BI48" s="459"/>
      <c r="BJ48" s="459"/>
    </row>
    <row r="49" ht="15.75" customHeight="1" spans="1:62">
      <c r="A49" s="459"/>
      <c r="B49" s="459"/>
      <c r="C49" s="459"/>
      <c r="D49" s="459"/>
      <c r="E49" s="459"/>
      <c r="F49" s="459"/>
      <c r="G49" s="459"/>
      <c r="H49" s="459"/>
      <c r="I49" s="459"/>
      <c r="J49" s="459"/>
      <c r="K49" s="459"/>
      <c r="L49" s="459"/>
      <c r="M49" s="459"/>
      <c r="N49" s="459"/>
      <c r="O49" s="459"/>
      <c r="P49" s="459"/>
      <c r="Q49" s="459"/>
      <c r="R49" s="459"/>
      <c r="S49" s="459"/>
      <c r="T49" s="459"/>
      <c r="U49" s="459"/>
      <c r="V49" s="459"/>
      <c r="W49" s="459"/>
      <c r="X49" s="459"/>
      <c r="Y49" s="459"/>
      <c r="Z49" s="459"/>
      <c r="AA49" s="459"/>
      <c r="AB49" s="459"/>
      <c r="AC49" s="459"/>
      <c r="AD49" s="459"/>
      <c r="AE49" s="459"/>
      <c r="AF49" s="459"/>
      <c r="AG49" s="459"/>
      <c r="AH49" s="459"/>
      <c r="AI49" s="459"/>
      <c r="AJ49" s="459"/>
      <c r="AK49" s="459"/>
      <c r="AL49" s="459"/>
      <c r="AM49" s="459"/>
      <c r="AN49" s="459"/>
      <c r="AO49" s="459"/>
      <c r="AP49" s="459"/>
      <c r="AQ49" s="459"/>
      <c r="AR49" s="459"/>
      <c r="AS49" s="459"/>
      <c r="AT49" s="459"/>
      <c r="AU49" s="459"/>
      <c r="AV49" s="459"/>
      <c r="AW49" s="459"/>
      <c r="AX49" s="459"/>
      <c r="AY49" s="459"/>
      <c r="AZ49" s="459"/>
      <c r="BA49" s="459"/>
      <c r="BB49" s="459"/>
      <c r="BC49" s="459"/>
      <c r="BD49" s="459"/>
      <c r="BE49" s="459"/>
      <c r="BF49" s="459"/>
      <c r="BG49" s="459"/>
      <c r="BH49" s="459"/>
      <c r="BI49" s="459"/>
      <c r="BJ49" s="459"/>
    </row>
    <row r="50" ht="15.75" customHeight="1" spans="1:62">
      <c r="A50" s="459"/>
      <c r="B50" s="459"/>
      <c r="C50" s="459"/>
      <c r="D50" s="459"/>
      <c r="E50" s="459"/>
      <c r="F50" s="459"/>
      <c r="G50" s="459"/>
      <c r="H50" s="459"/>
      <c r="I50" s="459"/>
      <c r="J50" s="459"/>
      <c r="K50" s="459"/>
      <c r="L50" s="459"/>
      <c r="M50" s="459"/>
      <c r="N50" s="459"/>
      <c r="O50" s="459"/>
      <c r="P50" s="459"/>
      <c r="Q50" s="459"/>
      <c r="R50" s="459"/>
      <c r="S50" s="459"/>
      <c r="T50" s="459"/>
      <c r="U50" s="459"/>
      <c r="V50" s="459"/>
      <c r="W50" s="459"/>
      <c r="X50" s="459"/>
      <c r="Y50" s="459"/>
      <c r="Z50" s="459"/>
      <c r="AA50" s="459"/>
      <c r="AB50" s="459"/>
      <c r="AC50" s="459"/>
      <c r="AD50" s="459"/>
      <c r="AE50" s="459"/>
      <c r="AF50" s="459"/>
      <c r="AG50" s="459"/>
      <c r="AH50" s="459"/>
      <c r="AI50" s="459"/>
      <c r="AJ50" s="459"/>
      <c r="AK50" s="459"/>
      <c r="AL50" s="459"/>
      <c r="AM50" s="459"/>
      <c r="AN50" s="459"/>
      <c r="AO50" s="459"/>
      <c r="AP50" s="459"/>
      <c r="AQ50" s="459"/>
      <c r="AR50" s="459"/>
      <c r="AS50" s="459"/>
      <c r="AT50" s="459"/>
      <c r="AU50" s="459"/>
      <c r="AV50" s="459"/>
      <c r="AW50" s="459"/>
      <c r="AX50" s="459"/>
      <c r="AY50" s="459"/>
      <c r="AZ50" s="459"/>
      <c r="BA50" s="459"/>
      <c r="BB50" s="459"/>
      <c r="BC50" s="459"/>
      <c r="BD50" s="459"/>
      <c r="BE50" s="459"/>
      <c r="BF50" s="459"/>
      <c r="BG50" s="459"/>
      <c r="BH50" s="459"/>
      <c r="BI50" s="459"/>
      <c r="BJ50" s="459"/>
    </row>
    <row r="51" ht="15.75" customHeight="1" spans="1:62">
      <c r="A51" s="459"/>
      <c r="B51" s="459"/>
      <c r="C51" s="459"/>
      <c r="D51" s="459"/>
      <c r="E51" s="459"/>
      <c r="F51" s="459"/>
      <c r="G51" s="459"/>
      <c r="H51" s="459"/>
      <c r="I51" s="459"/>
      <c r="J51" s="459"/>
      <c r="K51" s="459"/>
      <c r="L51" s="459"/>
      <c r="M51" s="459"/>
      <c r="N51" s="459"/>
      <c r="O51" s="459"/>
      <c r="P51" s="459"/>
      <c r="Q51" s="459"/>
      <c r="R51" s="459"/>
      <c r="S51" s="459"/>
      <c r="T51" s="459"/>
      <c r="U51" s="459"/>
      <c r="V51" s="459"/>
      <c r="W51" s="459"/>
      <c r="X51" s="459"/>
      <c r="Y51" s="459"/>
      <c r="Z51" s="459"/>
      <c r="AA51" s="459"/>
      <c r="AB51" s="459"/>
      <c r="AC51" s="459"/>
      <c r="AD51" s="459"/>
      <c r="AE51" s="459"/>
      <c r="AF51" s="459"/>
      <c r="AG51" s="459"/>
      <c r="AH51" s="459"/>
      <c r="AI51" s="459"/>
      <c r="AJ51" s="459"/>
      <c r="AK51" s="459"/>
      <c r="AL51" s="459"/>
      <c r="AM51" s="459"/>
      <c r="AN51" s="459"/>
      <c r="AO51" s="459"/>
      <c r="AP51" s="459"/>
      <c r="AQ51" s="459"/>
      <c r="AR51" s="459"/>
      <c r="AS51" s="459"/>
      <c r="AT51" s="459"/>
      <c r="AU51" s="459"/>
      <c r="AV51" s="459"/>
      <c r="AW51" s="459"/>
      <c r="AX51" s="459"/>
      <c r="AY51" s="459"/>
      <c r="AZ51" s="459"/>
      <c r="BA51" s="459"/>
      <c r="BB51" s="459"/>
      <c r="BC51" s="459"/>
      <c r="BD51" s="459"/>
      <c r="BE51" s="459"/>
      <c r="BF51" s="459"/>
      <c r="BG51" s="459"/>
      <c r="BH51" s="459"/>
      <c r="BI51" s="459"/>
      <c r="BJ51" s="459"/>
    </row>
    <row r="52" ht="15.75" customHeight="1" spans="1:62">
      <c r="A52" s="459"/>
      <c r="B52" s="459"/>
      <c r="C52" s="459"/>
      <c r="D52" s="459"/>
      <c r="E52" s="459"/>
      <c r="F52" s="459"/>
      <c r="G52" s="459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59"/>
      <c r="T52" s="459"/>
      <c r="U52" s="459"/>
      <c r="V52" s="459"/>
      <c r="W52" s="459"/>
      <c r="X52" s="459"/>
      <c r="Y52" s="459"/>
      <c r="Z52" s="459"/>
      <c r="AA52" s="459"/>
      <c r="AB52" s="459"/>
      <c r="AC52" s="459"/>
      <c r="AD52" s="459"/>
      <c r="AE52" s="459"/>
      <c r="AF52" s="459"/>
      <c r="AG52" s="459"/>
      <c r="AH52" s="459"/>
      <c r="AI52" s="459"/>
      <c r="AJ52" s="459"/>
      <c r="AK52" s="459"/>
      <c r="AL52" s="459"/>
      <c r="AM52" s="459"/>
      <c r="AN52" s="459"/>
      <c r="AO52" s="459"/>
      <c r="AP52" s="459"/>
      <c r="AQ52" s="459"/>
      <c r="AR52" s="459"/>
      <c r="AS52" s="459"/>
      <c r="AT52" s="459"/>
      <c r="AU52" s="459"/>
      <c r="AV52" s="459"/>
      <c r="AW52" s="459"/>
      <c r="AX52" s="459"/>
      <c r="AY52" s="459"/>
      <c r="AZ52" s="459"/>
      <c r="BA52" s="459"/>
      <c r="BB52" s="459"/>
      <c r="BC52" s="459"/>
      <c r="BD52" s="459"/>
      <c r="BE52" s="459"/>
      <c r="BF52" s="459"/>
      <c r="BG52" s="459"/>
      <c r="BH52" s="459"/>
      <c r="BI52" s="459"/>
      <c r="BJ52" s="459"/>
    </row>
    <row r="53" ht="15.75" customHeight="1" spans="1:62">
      <c r="A53" s="459"/>
      <c r="B53" s="459"/>
      <c r="C53" s="459"/>
      <c r="D53" s="459"/>
      <c r="E53" s="459"/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  <c r="AE53" s="459"/>
      <c r="AF53" s="459"/>
      <c r="AG53" s="459"/>
      <c r="AH53" s="459"/>
      <c r="AI53" s="459"/>
      <c r="AJ53" s="459"/>
      <c r="AK53" s="459"/>
      <c r="AL53" s="459"/>
      <c r="AM53" s="459"/>
      <c r="AN53" s="459"/>
      <c r="AO53" s="459"/>
      <c r="AP53" s="459"/>
      <c r="AQ53" s="459"/>
      <c r="AR53" s="459"/>
      <c r="AS53" s="459"/>
      <c r="AT53" s="459"/>
      <c r="AU53" s="459"/>
      <c r="AV53" s="459"/>
      <c r="AW53" s="459"/>
      <c r="AX53" s="459"/>
      <c r="AY53" s="459"/>
      <c r="AZ53" s="459"/>
      <c r="BA53" s="459"/>
      <c r="BB53" s="459"/>
      <c r="BC53" s="459"/>
      <c r="BD53" s="459"/>
      <c r="BE53" s="459"/>
      <c r="BF53" s="459"/>
      <c r="BG53" s="459"/>
      <c r="BH53" s="459"/>
      <c r="BI53" s="459"/>
      <c r="BJ53" s="459"/>
    </row>
    <row r="54" ht="15.75" customHeight="1" spans="1:62">
      <c r="A54" s="459"/>
      <c r="B54" s="459"/>
      <c r="C54" s="459"/>
      <c r="D54" s="459"/>
      <c r="E54" s="459"/>
      <c r="F54" s="459"/>
      <c r="G54" s="459"/>
      <c r="H54" s="459"/>
      <c r="I54" s="459"/>
      <c r="J54" s="459"/>
      <c r="K54" s="459"/>
      <c r="L54" s="459"/>
      <c r="M54" s="459"/>
      <c r="N54" s="459"/>
      <c r="O54" s="459"/>
      <c r="P54" s="459"/>
      <c r="Q54" s="459"/>
      <c r="R54" s="459"/>
      <c r="S54" s="459"/>
      <c r="T54" s="459"/>
      <c r="U54" s="459"/>
      <c r="V54" s="459"/>
      <c r="W54" s="459"/>
      <c r="X54" s="459"/>
      <c r="Y54" s="459"/>
      <c r="Z54" s="459"/>
      <c r="AA54" s="459"/>
      <c r="AB54" s="459"/>
      <c r="AC54" s="459"/>
      <c r="AD54" s="459"/>
      <c r="AE54" s="459"/>
      <c r="AF54" s="459"/>
      <c r="AG54" s="459"/>
      <c r="AH54" s="459"/>
      <c r="AI54" s="459"/>
      <c r="AJ54" s="459"/>
      <c r="AK54" s="459"/>
      <c r="AL54" s="459"/>
      <c r="AM54" s="459"/>
      <c r="AN54" s="459"/>
      <c r="AO54" s="459"/>
      <c r="AP54" s="459"/>
      <c r="AQ54" s="459"/>
      <c r="AR54" s="459"/>
      <c r="AS54" s="459"/>
      <c r="AT54" s="459"/>
      <c r="AU54" s="459"/>
      <c r="AV54" s="459"/>
      <c r="AW54" s="459"/>
      <c r="AX54" s="459"/>
      <c r="AY54" s="459"/>
      <c r="AZ54" s="459"/>
      <c r="BA54" s="459"/>
      <c r="BB54" s="459"/>
      <c r="BC54" s="459"/>
      <c r="BD54" s="459"/>
      <c r="BE54" s="459"/>
      <c r="BF54" s="459"/>
      <c r="BG54" s="459"/>
      <c r="BH54" s="459"/>
      <c r="BI54" s="459"/>
      <c r="BJ54" s="459"/>
    </row>
    <row r="55" ht="15.75" customHeight="1" spans="1:62">
      <c r="A55" s="459"/>
      <c r="B55" s="459"/>
      <c r="C55" s="459"/>
      <c r="D55" s="459"/>
      <c r="E55" s="459"/>
      <c r="F55" s="459"/>
      <c r="G55" s="459"/>
      <c r="H55" s="459"/>
      <c r="I55" s="459"/>
      <c r="J55" s="459"/>
      <c r="K55" s="459"/>
      <c r="L55" s="459"/>
      <c r="M55" s="459"/>
      <c r="N55" s="459"/>
      <c r="O55" s="459"/>
      <c r="P55" s="459"/>
      <c r="Q55" s="459"/>
      <c r="R55" s="459"/>
      <c r="S55" s="459"/>
      <c r="T55" s="459"/>
      <c r="U55" s="459"/>
      <c r="V55" s="459"/>
      <c r="W55" s="459"/>
      <c r="X55" s="459"/>
      <c r="Y55" s="459"/>
      <c r="Z55" s="459"/>
      <c r="AA55" s="459"/>
      <c r="AB55" s="459"/>
      <c r="AC55" s="459"/>
      <c r="AD55" s="459"/>
      <c r="AE55" s="459"/>
      <c r="AF55" s="459"/>
      <c r="AG55" s="459"/>
      <c r="AH55" s="459"/>
      <c r="AI55" s="459"/>
      <c r="AJ55" s="459"/>
      <c r="AK55" s="459"/>
      <c r="AL55" s="459"/>
      <c r="AM55" s="459"/>
      <c r="AN55" s="459"/>
      <c r="AO55" s="459"/>
      <c r="AP55" s="459"/>
      <c r="AQ55" s="459"/>
      <c r="AR55" s="459"/>
      <c r="AS55" s="459"/>
      <c r="AT55" s="459"/>
      <c r="AU55" s="459"/>
      <c r="AV55" s="459"/>
      <c r="AW55" s="459"/>
      <c r="AX55" s="459"/>
      <c r="AY55" s="459"/>
      <c r="AZ55" s="459"/>
      <c r="BA55" s="459"/>
      <c r="BB55" s="459"/>
      <c r="BC55" s="459"/>
      <c r="BD55" s="459"/>
      <c r="BE55" s="459"/>
      <c r="BF55" s="459"/>
      <c r="BG55" s="459"/>
      <c r="BH55" s="459"/>
      <c r="BI55" s="459"/>
      <c r="BJ55" s="459"/>
    </row>
    <row r="56" ht="15.75" customHeight="1" spans="1:62">
      <c r="A56" s="459"/>
      <c r="B56" s="459"/>
      <c r="C56" s="459"/>
      <c r="D56" s="459"/>
      <c r="E56" s="459"/>
      <c r="F56" s="459"/>
      <c r="G56" s="459"/>
      <c r="H56" s="459"/>
      <c r="I56" s="459"/>
      <c r="J56" s="459"/>
      <c r="K56" s="459"/>
      <c r="L56" s="459"/>
      <c r="M56" s="459"/>
      <c r="N56" s="459"/>
      <c r="O56" s="459"/>
      <c r="P56" s="459"/>
      <c r="Q56" s="459"/>
      <c r="R56" s="459"/>
      <c r="S56" s="459"/>
      <c r="T56" s="459"/>
      <c r="U56" s="459"/>
      <c r="V56" s="459"/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G56" s="459"/>
      <c r="AH56" s="459"/>
      <c r="AI56" s="459"/>
      <c r="AJ56" s="459"/>
      <c r="AK56" s="459"/>
      <c r="AL56" s="459"/>
      <c r="AM56" s="459"/>
      <c r="AN56" s="459"/>
      <c r="AO56" s="459"/>
      <c r="AP56" s="459"/>
      <c r="AQ56" s="459"/>
      <c r="AR56" s="459"/>
      <c r="AS56" s="459"/>
      <c r="AT56" s="459"/>
      <c r="AU56" s="459"/>
      <c r="AV56" s="459"/>
      <c r="AW56" s="459"/>
      <c r="AX56" s="459"/>
      <c r="AY56" s="459"/>
      <c r="AZ56" s="459"/>
      <c r="BA56" s="459"/>
      <c r="BB56" s="459"/>
      <c r="BC56" s="459"/>
      <c r="BD56" s="459"/>
      <c r="BE56" s="459"/>
      <c r="BF56" s="459"/>
      <c r="BG56" s="459"/>
      <c r="BH56" s="459"/>
      <c r="BI56" s="459"/>
      <c r="BJ56" s="459"/>
    </row>
    <row r="57" ht="15.75" customHeight="1" spans="1:62">
      <c r="A57" s="459"/>
      <c r="B57" s="459"/>
      <c r="C57" s="459"/>
      <c r="D57" s="459"/>
      <c r="E57" s="459"/>
      <c r="F57" s="459"/>
      <c r="G57" s="459"/>
      <c r="H57" s="459"/>
      <c r="I57" s="459"/>
      <c r="J57" s="459"/>
      <c r="K57" s="459"/>
      <c r="L57" s="459"/>
      <c r="M57" s="459"/>
      <c r="N57" s="459"/>
      <c r="O57" s="459"/>
      <c r="P57" s="459"/>
      <c r="Q57" s="459"/>
      <c r="R57" s="459"/>
      <c r="S57" s="459"/>
      <c r="T57" s="459"/>
      <c r="U57" s="459"/>
      <c r="V57" s="459"/>
      <c r="W57" s="459"/>
      <c r="X57" s="459"/>
      <c r="Y57" s="459"/>
      <c r="Z57" s="459"/>
      <c r="AA57" s="459"/>
      <c r="AB57" s="459"/>
      <c r="AC57" s="459"/>
      <c r="AD57" s="459"/>
      <c r="AE57" s="459"/>
      <c r="AF57" s="459"/>
      <c r="AG57" s="459"/>
      <c r="AH57" s="459"/>
      <c r="AI57" s="459"/>
      <c r="AJ57" s="459"/>
      <c r="AK57" s="459"/>
      <c r="AL57" s="459"/>
      <c r="AM57" s="459"/>
      <c r="AN57" s="459"/>
      <c r="AO57" s="459"/>
      <c r="AP57" s="459"/>
      <c r="AQ57" s="459"/>
      <c r="AR57" s="459"/>
      <c r="AS57" s="459"/>
      <c r="AT57" s="459"/>
      <c r="AU57" s="459"/>
      <c r="AV57" s="459"/>
      <c r="AW57" s="459"/>
      <c r="AX57" s="459"/>
      <c r="AY57" s="459"/>
      <c r="AZ57" s="459"/>
      <c r="BA57" s="459"/>
      <c r="BB57" s="459"/>
      <c r="BC57" s="459"/>
      <c r="BD57" s="459"/>
      <c r="BE57" s="459"/>
      <c r="BF57" s="459"/>
      <c r="BG57" s="459"/>
      <c r="BH57" s="459"/>
      <c r="BI57" s="459"/>
      <c r="BJ57" s="459"/>
    </row>
    <row r="58" ht="15.75" customHeight="1" spans="1:62">
      <c r="A58" s="459"/>
      <c r="B58" s="459"/>
      <c r="C58" s="459"/>
      <c r="D58" s="459"/>
      <c r="E58" s="459"/>
      <c r="F58" s="459"/>
      <c r="G58" s="459"/>
      <c r="H58" s="459"/>
      <c r="I58" s="459"/>
      <c r="J58" s="459"/>
      <c r="K58" s="459"/>
      <c r="L58" s="459"/>
      <c r="M58" s="459"/>
      <c r="N58" s="459"/>
      <c r="O58" s="459"/>
      <c r="P58" s="459"/>
      <c r="Q58" s="459"/>
      <c r="R58" s="459"/>
      <c r="S58" s="459"/>
      <c r="T58" s="459"/>
      <c r="U58" s="459"/>
      <c r="V58" s="459"/>
      <c r="W58" s="459"/>
      <c r="X58" s="459"/>
      <c r="Y58" s="459"/>
      <c r="Z58" s="459"/>
      <c r="AA58" s="459"/>
      <c r="AB58" s="459"/>
      <c r="AC58" s="459"/>
      <c r="AD58" s="459"/>
      <c r="AE58" s="459"/>
      <c r="AF58" s="459"/>
      <c r="AG58" s="459"/>
      <c r="AH58" s="459"/>
      <c r="AI58" s="459"/>
      <c r="AJ58" s="459"/>
      <c r="AK58" s="459"/>
      <c r="AL58" s="459"/>
      <c r="AM58" s="459"/>
      <c r="AN58" s="459"/>
      <c r="AO58" s="459"/>
      <c r="AP58" s="459"/>
      <c r="AQ58" s="459"/>
      <c r="AR58" s="459"/>
      <c r="AS58" s="459"/>
      <c r="AT58" s="459"/>
      <c r="AU58" s="459"/>
      <c r="AV58" s="459"/>
      <c r="AW58" s="459"/>
      <c r="AX58" s="459"/>
      <c r="AY58" s="459"/>
      <c r="AZ58" s="459"/>
      <c r="BA58" s="459"/>
      <c r="BB58" s="459"/>
      <c r="BC58" s="459"/>
      <c r="BD58" s="459"/>
      <c r="BE58" s="459"/>
      <c r="BF58" s="459"/>
      <c r="BG58" s="459"/>
      <c r="BH58" s="459"/>
      <c r="BI58" s="459"/>
      <c r="BJ58" s="459"/>
    </row>
    <row r="59" ht="15.75" customHeight="1" spans="1:62">
      <c r="A59" s="459"/>
      <c r="B59" s="459"/>
      <c r="C59" s="459"/>
      <c r="D59" s="459"/>
      <c r="E59" s="459"/>
      <c r="F59" s="459"/>
      <c r="G59" s="459"/>
      <c r="H59" s="459"/>
      <c r="I59" s="459"/>
      <c r="J59" s="459"/>
      <c r="K59" s="459"/>
      <c r="L59" s="459"/>
      <c r="M59" s="459"/>
      <c r="N59" s="459"/>
      <c r="O59" s="459"/>
      <c r="P59" s="459"/>
      <c r="Q59" s="459"/>
      <c r="R59" s="459"/>
      <c r="S59" s="459"/>
      <c r="T59" s="459"/>
      <c r="U59" s="459"/>
      <c r="V59" s="459"/>
      <c r="W59" s="459"/>
      <c r="X59" s="459"/>
      <c r="Y59" s="459"/>
      <c r="Z59" s="459"/>
      <c r="AA59" s="459"/>
      <c r="AB59" s="459"/>
      <c r="AC59" s="459"/>
      <c r="AD59" s="459"/>
      <c r="AE59" s="459"/>
      <c r="AF59" s="459"/>
      <c r="AG59" s="459"/>
      <c r="AH59" s="459"/>
      <c r="AI59" s="459"/>
      <c r="AJ59" s="459"/>
      <c r="AK59" s="459"/>
      <c r="AL59" s="459"/>
      <c r="AM59" s="459"/>
      <c r="AN59" s="459"/>
      <c r="AO59" s="459"/>
      <c r="AP59" s="459"/>
      <c r="AQ59" s="459"/>
      <c r="AR59" s="459"/>
      <c r="AS59" s="459"/>
      <c r="AT59" s="459"/>
      <c r="AU59" s="459"/>
      <c r="AV59" s="459"/>
      <c r="AW59" s="459"/>
      <c r="AX59" s="459"/>
      <c r="AY59" s="459"/>
      <c r="AZ59" s="459"/>
      <c r="BA59" s="459"/>
      <c r="BB59" s="459"/>
      <c r="BC59" s="459"/>
      <c r="BD59" s="459"/>
      <c r="BE59" s="459"/>
      <c r="BF59" s="459"/>
      <c r="BG59" s="459"/>
      <c r="BH59" s="459"/>
      <c r="BI59" s="459"/>
      <c r="BJ59" s="459"/>
    </row>
    <row r="60" ht="15.75" customHeight="1" spans="1:62">
      <c r="A60" s="459"/>
      <c r="B60" s="459"/>
      <c r="C60" s="459"/>
      <c r="D60" s="459"/>
      <c r="E60" s="459"/>
      <c r="F60" s="459"/>
      <c r="G60" s="459"/>
      <c r="H60" s="459"/>
      <c r="I60" s="459"/>
      <c r="J60" s="459"/>
      <c r="K60" s="459"/>
      <c r="L60" s="459"/>
      <c r="M60" s="459"/>
      <c r="N60" s="459"/>
      <c r="O60" s="459"/>
      <c r="P60" s="459"/>
      <c r="Q60" s="459"/>
      <c r="R60" s="459"/>
      <c r="S60" s="459"/>
      <c r="T60" s="459"/>
      <c r="U60" s="459"/>
      <c r="V60" s="459"/>
      <c r="W60" s="459"/>
      <c r="X60" s="459"/>
      <c r="Y60" s="459"/>
      <c r="Z60" s="459"/>
      <c r="AA60" s="459"/>
      <c r="AB60" s="459"/>
      <c r="AC60" s="459"/>
      <c r="AD60" s="459"/>
      <c r="AE60" s="459"/>
      <c r="AF60" s="459"/>
      <c r="AG60" s="459"/>
      <c r="AH60" s="459"/>
      <c r="AI60" s="459"/>
      <c r="AJ60" s="459"/>
      <c r="AK60" s="459"/>
      <c r="AL60" s="459"/>
      <c r="AM60" s="459"/>
      <c r="AN60" s="459"/>
      <c r="AO60" s="459"/>
      <c r="AP60" s="459"/>
      <c r="AQ60" s="459"/>
      <c r="AR60" s="459"/>
      <c r="AS60" s="459"/>
      <c r="AT60" s="459"/>
      <c r="AU60" s="459"/>
      <c r="AV60" s="459"/>
      <c r="AW60" s="459"/>
      <c r="AX60" s="459"/>
      <c r="AY60" s="459"/>
      <c r="AZ60" s="459"/>
      <c r="BA60" s="459"/>
      <c r="BB60" s="459"/>
      <c r="BC60" s="459"/>
      <c r="BD60" s="459"/>
      <c r="BE60" s="459"/>
      <c r="BF60" s="459"/>
      <c r="BG60" s="459"/>
      <c r="BH60" s="459"/>
      <c r="BI60" s="459"/>
      <c r="BJ60" s="459"/>
    </row>
    <row r="61" ht="15.75" customHeight="1" spans="1:62">
      <c r="A61" s="459"/>
      <c r="B61" s="459"/>
      <c r="C61" s="459"/>
      <c r="D61" s="459"/>
      <c r="E61" s="459"/>
      <c r="F61" s="459"/>
      <c r="G61" s="459"/>
      <c r="H61" s="459"/>
      <c r="I61" s="459"/>
      <c r="J61" s="459"/>
      <c r="K61" s="459"/>
      <c r="L61" s="459"/>
      <c r="M61" s="459"/>
      <c r="N61" s="459"/>
      <c r="O61" s="459"/>
      <c r="P61" s="459"/>
      <c r="Q61" s="459"/>
      <c r="R61" s="459"/>
      <c r="S61" s="459"/>
      <c r="T61" s="459"/>
      <c r="U61" s="459"/>
      <c r="V61" s="459"/>
      <c r="W61" s="459"/>
      <c r="X61" s="459"/>
      <c r="Y61" s="459"/>
      <c r="Z61" s="459"/>
      <c r="AA61" s="459"/>
      <c r="AB61" s="459"/>
      <c r="AC61" s="459"/>
      <c r="AD61" s="459"/>
      <c r="AE61" s="459"/>
      <c r="AF61" s="459"/>
      <c r="AG61" s="459"/>
      <c r="AH61" s="459"/>
      <c r="AI61" s="459"/>
      <c r="AJ61" s="459"/>
      <c r="AK61" s="459"/>
      <c r="AL61" s="459"/>
      <c r="AM61" s="459"/>
      <c r="AN61" s="459"/>
      <c r="AO61" s="459"/>
      <c r="AP61" s="459"/>
      <c r="AQ61" s="459"/>
      <c r="AR61" s="459"/>
      <c r="AS61" s="459"/>
      <c r="AT61" s="459"/>
      <c r="AU61" s="459"/>
      <c r="AV61" s="459"/>
      <c r="AW61" s="459"/>
      <c r="AX61" s="459"/>
      <c r="AY61" s="459"/>
      <c r="AZ61" s="459"/>
      <c r="BA61" s="459"/>
      <c r="BB61" s="459"/>
      <c r="BC61" s="459"/>
      <c r="BD61" s="459"/>
      <c r="BE61" s="459"/>
      <c r="BF61" s="459"/>
      <c r="BG61" s="459"/>
      <c r="BH61" s="459"/>
      <c r="BI61" s="459"/>
      <c r="BJ61" s="459"/>
    </row>
    <row r="62" ht="15.75" customHeight="1" spans="1:62">
      <c r="A62" s="459"/>
      <c r="B62" s="459"/>
      <c r="C62" s="459"/>
      <c r="D62" s="459"/>
      <c r="E62" s="459"/>
      <c r="F62" s="459"/>
      <c r="G62" s="459"/>
      <c r="H62" s="459"/>
      <c r="I62" s="459"/>
      <c r="J62" s="459"/>
      <c r="K62" s="459"/>
      <c r="L62" s="459"/>
      <c r="M62" s="459"/>
      <c r="N62" s="459"/>
      <c r="O62" s="459"/>
      <c r="P62" s="459"/>
      <c r="Q62" s="459"/>
      <c r="R62" s="459"/>
      <c r="S62" s="459"/>
      <c r="T62" s="459"/>
      <c r="U62" s="459"/>
      <c r="V62" s="459"/>
      <c r="W62" s="459"/>
      <c r="X62" s="459"/>
      <c r="Y62" s="459"/>
      <c r="Z62" s="459"/>
      <c r="AA62" s="459"/>
      <c r="AB62" s="459"/>
      <c r="AC62" s="459"/>
      <c r="AD62" s="459"/>
      <c r="AE62" s="459"/>
      <c r="AF62" s="459"/>
      <c r="AG62" s="459"/>
      <c r="AH62" s="459"/>
      <c r="AI62" s="459"/>
      <c r="AJ62" s="459"/>
      <c r="AK62" s="459"/>
      <c r="AL62" s="459"/>
      <c r="AM62" s="459"/>
      <c r="AN62" s="459"/>
      <c r="AO62" s="459"/>
      <c r="AP62" s="459"/>
      <c r="AQ62" s="459"/>
      <c r="AR62" s="459"/>
      <c r="AS62" s="459"/>
      <c r="AT62" s="459"/>
      <c r="AU62" s="459"/>
      <c r="AV62" s="459"/>
      <c r="AW62" s="459"/>
      <c r="AX62" s="459"/>
      <c r="AY62" s="459"/>
      <c r="AZ62" s="459"/>
      <c r="BA62" s="459"/>
      <c r="BB62" s="459"/>
      <c r="BC62" s="459"/>
      <c r="BD62" s="459"/>
      <c r="BE62" s="459"/>
      <c r="BF62" s="459"/>
      <c r="BG62" s="459"/>
      <c r="BH62" s="459"/>
      <c r="BI62" s="459"/>
      <c r="BJ62" s="459"/>
    </row>
    <row r="63" ht="15.75" customHeight="1" spans="1:62">
      <c r="A63" s="459"/>
      <c r="B63" s="459"/>
      <c r="C63" s="459"/>
      <c r="D63" s="459"/>
      <c r="E63" s="459"/>
      <c r="F63" s="459"/>
      <c r="G63" s="459"/>
      <c r="H63" s="459"/>
      <c r="I63" s="459"/>
      <c r="J63" s="459"/>
      <c r="K63" s="459"/>
      <c r="L63" s="459"/>
      <c r="M63" s="459"/>
      <c r="N63" s="459"/>
      <c r="O63" s="459"/>
      <c r="P63" s="459"/>
      <c r="Q63" s="459"/>
      <c r="R63" s="459"/>
      <c r="S63" s="459"/>
      <c r="T63" s="459"/>
      <c r="U63" s="459"/>
      <c r="V63" s="459"/>
      <c r="W63" s="459"/>
      <c r="X63" s="459"/>
      <c r="Y63" s="459"/>
      <c r="Z63" s="459"/>
      <c r="AA63" s="459"/>
      <c r="AB63" s="459"/>
      <c r="AC63" s="459"/>
      <c r="AD63" s="459"/>
      <c r="AE63" s="459"/>
      <c r="AF63" s="459"/>
      <c r="AG63" s="459"/>
      <c r="AH63" s="459"/>
      <c r="AI63" s="459"/>
      <c r="AJ63" s="459"/>
      <c r="AK63" s="459"/>
      <c r="AL63" s="459"/>
      <c r="AM63" s="459"/>
      <c r="AN63" s="459"/>
      <c r="AO63" s="459"/>
      <c r="AP63" s="459"/>
      <c r="AQ63" s="459"/>
      <c r="AR63" s="459"/>
      <c r="AS63" s="459"/>
      <c r="AT63" s="459"/>
      <c r="AU63" s="459"/>
      <c r="AV63" s="459"/>
      <c r="AW63" s="459"/>
      <c r="AX63" s="459"/>
      <c r="AY63" s="459"/>
      <c r="AZ63" s="459"/>
      <c r="BA63" s="459"/>
      <c r="BB63" s="459"/>
      <c r="BC63" s="459"/>
      <c r="BD63" s="459"/>
      <c r="BE63" s="459"/>
      <c r="BF63" s="459"/>
      <c r="BG63" s="459"/>
      <c r="BH63" s="459"/>
      <c r="BI63" s="459"/>
      <c r="BJ63" s="459"/>
    </row>
    <row r="64" ht="15.75" customHeight="1" spans="1:62">
      <c r="A64" s="459"/>
      <c r="B64" s="459"/>
      <c r="C64" s="459"/>
      <c r="D64" s="459"/>
      <c r="E64" s="459"/>
      <c r="F64" s="459"/>
      <c r="G64" s="459"/>
      <c r="H64" s="459"/>
      <c r="I64" s="459"/>
      <c r="J64" s="459"/>
      <c r="K64" s="459"/>
      <c r="L64" s="459"/>
      <c r="M64" s="459"/>
      <c r="N64" s="459"/>
      <c r="O64" s="459"/>
      <c r="P64" s="459"/>
      <c r="Q64" s="459"/>
      <c r="R64" s="459"/>
      <c r="S64" s="459"/>
      <c r="T64" s="459"/>
      <c r="U64" s="459"/>
      <c r="V64" s="459"/>
      <c r="W64" s="459"/>
      <c r="X64" s="459"/>
      <c r="Y64" s="459"/>
      <c r="Z64" s="459"/>
      <c r="AA64" s="459"/>
      <c r="AB64" s="459"/>
      <c r="AC64" s="459"/>
      <c r="AD64" s="459"/>
      <c r="AE64" s="459"/>
      <c r="AF64" s="459"/>
      <c r="AG64" s="459"/>
      <c r="AH64" s="459"/>
      <c r="AI64" s="459"/>
      <c r="AJ64" s="459"/>
      <c r="AK64" s="459"/>
      <c r="AL64" s="459"/>
      <c r="AM64" s="459"/>
      <c r="AN64" s="459"/>
      <c r="AO64" s="459"/>
      <c r="AP64" s="459"/>
      <c r="AQ64" s="459"/>
      <c r="AR64" s="459"/>
      <c r="AS64" s="459"/>
      <c r="AT64" s="459"/>
      <c r="AU64" s="459"/>
      <c r="AV64" s="459"/>
      <c r="AW64" s="459"/>
      <c r="AX64" s="459"/>
      <c r="AY64" s="459"/>
      <c r="AZ64" s="459"/>
      <c r="BA64" s="459"/>
      <c r="BB64" s="459"/>
      <c r="BC64" s="459"/>
      <c r="BD64" s="459"/>
      <c r="BE64" s="459"/>
      <c r="BF64" s="459"/>
      <c r="BG64" s="459"/>
      <c r="BH64" s="459"/>
      <c r="BI64" s="459"/>
      <c r="BJ64" s="459"/>
    </row>
    <row r="65" ht="15.75" customHeight="1" spans="1:62">
      <c r="A65" s="459"/>
      <c r="B65" s="459"/>
      <c r="C65" s="459"/>
      <c r="D65" s="459"/>
      <c r="E65" s="459"/>
      <c r="F65" s="459"/>
      <c r="G65" s="459"/>
      <c r="H65" s="459"/>
      <c r="I65" s="459"/>
      <c r="J65" s="459"/>
      <c r="K65" s="459"/>
      <c r="L65" s="459"/>
      <c r="M65" s="459"/>
      <c r="N65" s="459"/>
      <c r="O65" s="459"/>
      <c r="P65" s="459"/>
      <c r="Q65" s="459"/>
      <c r="R65" s="459"/>
      <c r="S65" s="459"/>
      <c r="T65" s="459"/>
      <c r="U65" s="459"/>
      <c r="V65" s="459"/>
      <c r="W65" s="459"/>
      <c r="X65" s="459"/>
      <c r="Y65" s="459"/>
      <c r="Z65" s="459"/>
      <c r="AA65" s="459"/>
      <c r="AB65" s="459"/>
      <c r="AC65" s="459"/>
      <c r="AD65" s="459"/>
      <c r="AE65" s="459"/>
      <c r="AF65" s="459"/>
      <c r="AG65" s="459"/>
      <c r="AH65" s="459"/>
      <c r="AI65" s="459"/>
      <c r="AJ65" s="459"/>
      <c r="AK65" s="459"/>
      <c r="AL65" s="459"/>
      <c r="AM65" s="459"/>
      <c r="AN65" s="459"/>
      <c r="AO65" s="459"/>
      <c r="AP65" s="459"/>
      <c r="AQ65" s="459"/>
      <c r="AR65" s="459"/>
      <c r="AS65" s="459"/>
      <c r="AT65" s="459"/>
      <c r="AU65" s="459"/>
      <c r="AV65" s="459"/>
      <c r="AW65" s="459"/>
      <c r="AX65" s="459"/>
      <c r="AY65" s="459"/>
      <c r="AZ65" s="459"/>
      <c r="BA65" s="459"/>
      <c r="BB65" s="459"/>
      <c r="BC65" s="459"/>
      <c r="BD65" s="459"/>
      <c r="BE65" s="459"/>
      <c r="BF65" s="459"/>
      <c r="BG65" s="459"/>
      <c r="BH65" s="459"/>
      <c r="BI65" s="459"/>
      <c r="BJ65" s="459"/>
    </row>
    <row r="66" ht="15.75" customHeight="1" spans="1:62">
      <c r="A66" s="459"/>
      <c r="B66" s="459"/>
      <c r="C66" s="459"/>
      <c r="D66" s="459"/>
      <c r="E66" s="459"/>
      <c r="F66" s="459"/>
      <c r="G66" s="459"/>
      <c r="H66" s="459"/>
      <c r="I66" s="459"/>
      <c r="J66" s="459"/>
      <c r="K66" s="459"/>
      <c r="L66" s="459"/>
      <c r="M66" s="459"/>
      <c r="N66" s="459"/>
      <c r="O66" s="459"/>
      <c r="P66" s="459"/>
      <c r="Q66" s="459"/>
      <c r="R66" s="459"/>
      <c r="S66" s="459"/>
      <c r="T66" s="459"/>
      <c r="U66" s="459"/>
      <c r="V66" s="459"/>
      <c r="W66" s="459"/>
      <c r="X66" s="459"/>
      <c r="Y66" s="459"/>
      <c r="Z66" s="459"/>
      <c r="AA66" s="459"/>
      <c r="AB66" s="459"/>
      <c r="AC66" s="459"/>
      <c r="AD66" s="459"/>
      <c r="AE66" s="459"/>
      <c r="AF66" s="459"/>
      <c r="AG66" s="459"/>
      <c r="AH66" s="459"/>
      <c r="AI66" s="459"/>
      <c r="AJ66" s="459"/>
      <c r="AK66" s="459"/>
      <c r="AL66" s="459"/>
      <c r="AM66" s="459"/>
      <c r="AN66" s="459"/>
      <c r="AO66" s="459"/>
      <c r="AP66" s="459"/>
      <c r="AQ66" s="459"/>
      <c r="AR66" s="459"/>
      <c r="AS66" s="459"/>
      <c r="AT66" s="459"/>
      <c r="AU66" s="459"/>
      <c r="AV66" s="459"/>
      <c r="AW66" s="459"/>
      <c r="AX66" s="459"/>
      <c r="AY66" s="459"/>
      <c r="AZ66" s="459"/>
      <c r="BA66" s="459"/>
      <c r="BB66" s="459"/>
      <c r="BC66" s="459"/>
      <c r="BD66" s="459"/>
      <c r="BE66" s="459"/>
      <c r="BF66" s="459"/>
      <c r="BG66" s="459"/>
      <c r="BH66" s="459"/>
      <c r="BI66" s="459"/>
      <c r="BJ66" s="459"/>
    </row>
    <row r="67" ht="15.75" customHeight="1" spans="1:62">
      <c r="A67" s="459"/>
      <c r="B67" s="459"/>
      <c r="C67" s="459"/>
      <c r="D67" s="459"/>
      <c r="E67" s="459"/>
      <c r="F67" s="459"/>
      <c r="G67" s="459"/>
      <c r="H67" s="459"/>
      <c r="I67" s="459"/>
      <c r="J67" s="459"/>
      <c r="K67" s="459"/>
      <c r="L67" s="459"/>
      <c r="M67" s="459"/>
      <c r="N67" s="459"/>
      <c r="O67" s="459"/>
      <c r="P67" s="459"/>
      <c r="Q67" s="459"/>
      <c r="R67" s="459"/>
      <c r="S67" s="459"/>
      <c r="T67" s="459"/>
      <c r="U67" s="459"/>
      <c r="V67" s="459"/>
      <c r="W67" s="459"/>
      <c r="X67" s="459"/>
      <c r="Y67" s="459"/>
      <c r="Z67" s="459"/>
      <c r="AA67" s="459"/>
      <c r="AB67" s="459"/>
      <c r="AC67" s="459"/>
      <c r="AD67" s="459"/>
      <c r="AE67" s="459"/>
      <c r="AF67" s="459"/>
      <c r="AG67" s="459"/>
      <c r="AH67" s="459"/>
      <c r="AI67" s="459"/>
      <c r="AJ67" s="459"/>
      <c r="AK67" s="459"/>
      <c r="AL67" s="459"/>
      <c r="AM67" s="459"/>
      <c r="AN67" s="459"/>
      <c r="AO67" s="459"/>
      <c r="AP67" s="459"/>
      <c r="AQ67" s="459"/>
      <c r="AR67" s="459"/>
      <c r="AS67" s="459"/>
      <c r="AT67" s="459"/>
      <c r="AU67" s="459"/>
      <c r="AV67" s="459"/>
      <c r="AW67" s="459"/>
      <c r="AX67" s="459"/>
      <c r="AY67" s="459"/>
      <c r="AZ67" s="459"/>
      <c r="BA67" s="459"/>
      <c r="BB67" s="459"/>
      <c r="BC67" s="459"/>
      <c r="BD67" s="459"/>
      <c r="BE67" s="459"/>
      <c r="BF67" s="459"/>
      <c r="BG67" s="459"/>
      <c r="BH67" s="459"/>
      <c r="BI67" s="459"/>
      <c r="BJ67" s="459"/>
    </row>
    <row r="68" ht="15.75" customHeight="1" spans="1:62">
      <c r="A68" s="459"/>
      <c r="B68" s="459"/>
      <c r="C68" s="459"/>
      <c r="D68" s="459"/>
      <c r="E68" s="459"/>
      <c r="F68" s="459"/>
      <c r="G68" s="459"/>
      <c r="H68" s="459"/>
      <c r="I68" s="459"/>
      <c r="J68" s="459"/>
      <c r="K68" s="459"/>
      <c r="L68" s="459"/>
      <c r="M68" s="459"/>
      <c r="N68" s="459"/>
      <c r="O68" s="459"/>
      <c r="P68" s="459"/>
      <c r="Q68" s="459"/>
      <c r="R68" s="459"/>
      <c r="S68" s="459"/>
      <c r="T68" s="459"/>
      <c r="U68" s="459"/>
      <c r="V68" s="459"/>
      <c r="W68" s="459"/>
      <c r="X68" s="459"/>
      <c r="Y68" s="459"/>
      <c r="Z68" s="459"/>
      <c r="AA68" s="459"/>
      <c r="AB68" s="459"/>
      <c r="AC68" s="459"/>
      <c r="AD68" s="459"/>
      <c r="AE68" s="459"/>
      <c r="AF68" s="459"/>
      <c r="AG68" s="459"/>
      <c r="AH68" s="459"/>
      <c r="AI68" s="459"/>
      <c r="AJ68" s="459"/>
      <c r="AK68" s="459"/>
      <c r="AL68" s="459"/>
      <c r="AM68" s="459"/>
      <c r="AN68" s="459"/>
      <c r="AO68" s="459"/>
      <c r="AP68" s="459"/>
      <c r="AQ68" s="459"/>
      <c r="AR68" s="459"/>
      <c r="AS68" s="459"/>
      <c r="AT68" s="459"/>
      <c r="AU68" s="459"/>
      <c r="AV68" s="459"/>
      <c r="AW68" s="459"/>
      <c r="AX68" s="459"/>
      <c r="AY68" s="459"/>
      <c r="AZ68" s="459"/>
      <c r="BA68" s="459"/>
      <c r="BB68" s="459"/>
      <c r="BC68" s="459"/>
      <c r="BD68" s="459"/>
      <c r="BE68" s="459"/>
      <c r="BF68" s="459"/>
      <c r="BG68" s="459"/>
      <c r="BH68" s="459"/>
      <c r="BI68" s="459"/>
      <c r="BJ68" s="459"/>
    </row>
    <row r="69" ht="15.75" customHeight="1" spans="1:62">
      <c r="A69" s="459"/>
      <c r="B69" s="459"/>
      <c r="C69" s="459"/>
      <c r="D69" s="459"/>
      <c r="E69" s="459"/>
      <c r="F69" s="459"/>
      <c r="G69" s="459"/>
      <c r="H69" s="459"/>
      <c r="I69" s="459"/>
      <c r="J69" s="459"/>
      <c r="K69" s="459"/>
      <c r="L69" s="459"/>
      <c r="M69" s="459"/>
      <c r="N69" s="459"/>
      <c r="O69" s="459"/>
      <c r="P69" s="459"/>
      <c r="Q69" s="459"/>
      <c r="R69" s="459"/>
      <c r="S69" s="459"/>
      <c r="T69" s="459"/>
      <c r="U69" s="459"/>
      <c r="V69" s="459"/>
      <c r="W69" s="459"/>
      <c r="X69" s="459"/>
      <c r="Y69" s="459"/>
      <c r="Z69" s="459"/>
      <c r="AA69" s="459"/>
      <c r="AB69" s="459"/>
      <c r="AC69" s="459"/>
      <c r="AD69" s="459"/>
      <c r="AE69" s="459"/>
      <c r="AF69" s="459"/>
      <c r="AG69" s="459"/>
      <c r="AH69" s="459"/>
      <c r="AI69" s="459"/>
      <c r="AJ69" s="459"/>
      <c r="AK69" s="459"/>
      <c r="AL69" s="459"/>
      <c r="AM69" s="459"/>
      <c r="AN69" s="459"/>
      <c r="AO69" s="459"/>
      <c r="AP69" s="459"/>
      <c r="AQ69" s="459"/>
      <c r="AR69" s="459"/>
      <c r="AS69" s="459"/>
      <c r="AT69" s="459"/>
      <c r="AU69" s="459"/>
      <c r="AV69" s="459"/>
      <c r="AW69" s="459"/>
      <c r="AX69" s="459"/>
      <c r="AY69" s="459"/>
      <c r="AZ69" s="459"/>
      <c r="BA69" s="459"/>
      <c r="BB69" s="459"/>
      <c r="BC69" s="459"/>
      <c r="BD69" s="459"/>
      <c r="BE69" s="459"/>
      <c r="BF69" s="459"/>
      <c r="BG69" s="459"/>
      <c r="BH69" s="459"/>
      <c r="BI69" s="459"/>
      <c r="BJ69" s="459"/>
    </row>
    <row r="70" ht="15.75" customHeight="1" spans="1:62">
      <c r="A70" s="459"/>
      <c r="B70" s="459"/>
      <c r="C70" s="459"/>
      <c r="D70" s="459"/>
      <c r="E70" s="459"/>
      <c r="F70" s="459"/>
      <c r="G70" s="459"/>
      <c r="H70" s="459"/>
      <c r="I70" s="459"/>
      <c r="J70" s="459"/>
      <c r="K70" s="459"/>
      <c r="L70" s="459"/>
      <c r="M70" s="459"/>
      <c r="N70" s="459"/>
      <c r="O70" s="459"/>
      <c r="P70" s="459"/>
      <c r="Q70" s="459"/>
      <c r="R70" s="459"/>
      <c r="S70" s="459"/>
      <c r="T70" s="459"/>
      <c r="U70" s="459"/>
      <c r="V70" s="459"/>
      <c r="W70" s="459"/>
      <c r="X70" s="459"/>
      <c r="Y70" s="459"/>
      <c r="Z70" s="459"/>
      <c r="AA70" s="459"/>
      <c r="AB70" s="459"/>
      <c r="AC70" s="459"/>
      <c r="AD70" s="459"/>
      <c r="AE70" s="459"/>
      <c r="AF70" s="459"/>
      <c r="AG70" s="459"/>
      <c r="AH70" s="459"/>
      <c r="AI70" s="459"/>
      <c r="AJ70" s="459"/>
      <c r="AK70" s="459"/>
      <c r="AL70" s="459"/>
      <c r="AM70" s="459"/>
      <c r="AN70" s="459"/>
      <c r="AO70" s="459"/>
      <c r="AP70" s="459"/>
      <c r="AQ70" s="459"/>
      <c r="AR70" s="459"/>
      <c r="AS70" s="459"/>
      <c r="AT70" s="459"/>
      <c r="AU70" s="459"/>
      <c r="AV70" s="459"/>
      <c r="AW70" s="459"/>
      <c r="AX70" s="459"/>
      <c r="AY70" s="459"/>
      <c r="AZ70" s="459"/>
      <c r="BA70" s="459"/>
      <c r="BB70" s="459"/>
      <c r="BC70" s="459"/>
      <c r="BD70" s="459"/>
      <c r="BE70" s="459"/>
      <c r="BF70" s="459"/>
      <c r="BG70" s="459"/>
      <c r="BH70" s="459"/>
      <c r="BI70" s="459"/>
      <c r="BJ70" s="459"/>
    </row>
    <row r="71" ht="15.75" customHeight="1" spans="1:62">
      <c r="A71" s="459"/>
      <c r="B71" s="459"/>
      <c r="C71" s="459"/>
      <c r="D71" s="459"/>
      <c r="E71" s="459"/>
      <c r="F71" s="459"/>
      <c r="G71" s="459"/>
      <c r="H71" s="459"/>
      <c r="I71" s="459"/>
      <c r="J71" s="459"/>
      <c r="K71" s="459"/>
      <c r="L71" s="459"/>
      <c r="M71" s="459"/>
      <c r="N71" s="459"/>
      <c r="O71" s="459"/>
      <c r="P71" s="459"/>
      <c r="Q71" s="459"/>
      <c r="R71" s="459"/>
      <c r="S71" s="459"/>
      <c r="T71" s="459"/>
      <c r="U71" s="459"/>
      <c r="V71" s="459"/>
      <c r="W71" s="459"/>
      <c r="X71" s="459"/>
      <c r="Y71" s="459"/>
      <c r="Z71" s="459"/>
      <c r="AA71" s="459"/>
      <c r="AB71" s="459"/>
      <c r="AC71" s="459"/>
      <c r="AD71" s="459"/>
      <c r="AE71" s="459"/>
      <c r="AF71" s="459"/>
      <c r="AG71" s="459"/>
      <c r="AH71" s="459"/>
      <c r="AI71" s="459"/>
      <c r="AJ71" s="459"/>
      <c r="AK71" s="459"/>
      <c r="AL71" s="459"/>
      <c r="AM71" s="459"/>
      <c r="AN71" s="459"/>
      <c r="AO71" s="459"/>
      <c r="AP71" s="459"/>
      <c r="AQ71" s="459"/>
      <c r="AR71" s="459"/>
      <c r="AS71" s="459"/>
      <c r="AT71" s="459"/>
      <c r="AU71" s="459"/>
      <c r="AV71" s="459"/>
      <c r="AW71" s="459"/>
      <c r="AX71" s="459"/>
      <c r="AY71" s="459"/>
      <c r="AZ71" s="459"/>
      <c r="BA71" s="459"/>
      <c r="BB71" s="459"/>
      <c r="BC71" s="459"/>
      <c r="BD71" s="459"/>
      <c r="BE71" s="459"/>
      <c r="BF71" s="459"/>
      <c r="BG71" s="459"/>
      <c r="BH71" s="459"/>
      <c r="BI71" s="459"/>
      <c r="BJ71" s="459"/>
    </row>
    <row r="72" ht="15.75" customHeight="1" spans="1:62">
      <c r="A72" s="459"/>
      <c r="B72" s="459"/>
      <c r="C72" s="459"/>
      <c r="D72" s="459"/>
      <c r="E72" s="459"/>
      <c r="F72" s="459"/>
      <c r="G72" s="459"/>
      <c r="H72" s="459"/>
      <c r="I72" s="459"/>
      <c r="J72" s="459"/>
      <c r="K72" s="459"/>
      <c r="L72" s="459"/>
      <c r="M72" s="459"/>
      <c r="N72" s="459"/>
      <c r="O72" s="459"/>
      <c r="P72" s="459"/>
      <c r="Q72" s="459"/>
      <c r="R72" s="459"/>
      <c r="S72" s="459"/>
      <c r="T72" s="459"/>
      <c r="U72" s="459"/>
      <c r="V72" s="459"/>
      <c r="W72" s="459"/>
      <c r="X72" s="459"/>
      <c r="Y72" s="459"/>
      <c r="Z72" s="459"/>
      <c r="AA72" s="459"/>
      <c r="AB72" s="459"/>
      <c r="AC72" s="459"/>
      <c r="AD72" s="459"/>
      <c r="AE72" s="459"/>
      <c r="AF72" s="459"/>
      <c r="AG72" s="459"/>
      <c r="AH72" s="459"/>
      <c r="AI72" s="459"/>
      <c r="AJ72" s="459"/>
      <c r="AK72" s="459"/>
      <c r="AL72" s="459"/>
      <c r="AM72" s="459"/>
      <c r="AN72" s="459"/>
      <c r="AO72" s="459"/>
      <c r="AP72" s="459"/>
      <c r="AQ72" s="459"/>
      <c r="AR72" s="459"/>
      <c r="AS72" s="459"/>
      <c r="AT72" s="459"/>
      <c r="AU72" s="459"/>
      <c r="AV72" s="459"/>
      <c r="AW72" s="459"/>
      <c r="AX72" s="459"/>
      <c r="AY72" s="459"/>
      <c r="AZ72" s="459"/>
      <c r="BA72" s="459"/>
      <c r="BB72" s="459"/>
      <c r="BC72" s="459"/>
      <c r="BD72" s="459"/>
      <c r="BE72" s="459"/>
      <c r="BF72" s="459"/>
      <c r="BG72" s="459"/>
      <c r="BH72" s="459"/>
      <c r="BI72" s="459"/>
      <c r="BJ72" s="459"/>
    </row>
    <row r="73" ht="15.75" customHeight="1" spans="1:62">
      <c r="A73" s="459"/>
      <c r="B73" s="459"/>
      <c r="C73" s="459"/>
      <c r="D73" s="459"/>
      <c r="E73" s="459"/>
      <c r="F73" s="459"/>
      <c r="G73" s="459"/>
      <c r="H73" s="459"/>
      <c r="I73" s="459"/>
      <c r="J73" s="459"/>
      <c r="K73" s="459"/>
      <c r="L73" s="459"/>
      <c r="M73" s="459"/>
      <c r="N73" s="459"/>
      <c r="O73" s="459"/>
      <c r="P73" s="459"/>
      <c r="Q73" s="459"/>
      <c r="R73" s="459"/>
      <c r="S73" s="459"/>
      <c r="T73" s="459"/>
      <c r="U73" s="459"/>
      <c r="V73" s="459"/>
      <c r="W73" s="459"/>
      <c r="X73" s="459"/>
      <c r="Y73" s="459"/>
      <c r="Z73" s="459"/>
      <c r="AA73" s="459"/>
      <c r="AB73" s="459"/>
      <c r="AC73" s="459"/>
      <c r="AD73" s="459"/>
      <c r="AE73" s="459"/>
      <c r="AF73" s="459"/>
      <c r="AG73" s="459"/>
      <c r="AH73" s="459"/>
      <c r="AI73" s="459"/>
      <c r="AJ73" s="459"/>
      <c r="AK73" s="459"/>
      <c r="AL73" s="459"/>
      <c r="AM73" s="459"/>
      <c r="AN73" s="459"/>
      <c r="AO73" s="459"/>
      <c r="AP73" s="459"/>
      <c r="AQ73" s="459"/>
      <c r="AR73" s="459"/>
      <c r="AS73" s="459"/>
      <c r="AT73" s="459"/>
      <c r="AU73" s="459"/>
      <c r="AV73" s="459"/>
      <c r="AW73" s="459"/>
      <c r="AX73" s="459"/>
      <c r="AY73" s="459"/>
      <c r="AZ73" s="459"/>
      <c r="BA73" s="459"/>
      <c r="BB73" s="459"/>
      <c r="BC73" s="459"/>
      <c r="BD73" s="459"/>
      <c r="BE73" s="459"/>
      <c r="BF73" s="459"/>
      <c r="BG73" s="459"/>
      <c r="BH73" s="459"/>
      <c r="BI73" s="459"/>
      <c r="BJ73" s="459"/>
    </row>
    <row r="74" ht="15.75" customHeight="1" spans="1:62">
      <c r="A74" s="459"/>
      <c r="B74" s="459"/>
      <c r="C74" s="459"/>
      <c r="D74" s="459"/>
      <c r="E74" s="459"/>
      <c r="F74" s="459"/>
      <c r="G74" s="459"/>
      <c r="H74" s="459"/>
      <c r="I74" s="459"/>
      <c r="J74" s="459"/>
      <c r="K74" s="459"/>
      <c r="L74" s="459"/>
      <c r="M74" s="459"/>
      <c r="N74" s="459"/>
      <c r="O74" s="459"/>
      <c r="P74" s="459"/>
      <c r="Q74" s="459"/>
      <c r="R74" s="459"/>
      <c r="S74" s="459"/>
      <c r="T74" s="459"/>
      <c r="U74" s="459"/>
      <c r="V74" s="459"/>
      <c r="W74" s="459"/>
      <c r="X74" s="459"/>
      <c r="Y74" s="459"/>
      <c r="Z74" s="459"/>
      <c r="AA74" s="459"/>
      <c r="AB74" s="459"/>
      <c r="AC74" s="459"/>
      <c r="AD74" s="459"/>
      <c r="AE74" s="459"/>
      <c r="AF74" s="459"/>
      <c r="AG74" s="459"/>
      <c r="AH74" s="459"/>
      <c r="AI74" s="459"/>
      <c r="AJ74" s="459"/>
      <c r="AK74" s="459"/>
      <c r="AL74" s="459"/>
      <c r="AM74" s="459"/>
      <c r="AN74" s="459"/>
      <c r="AO74" s="459"/>
      <c r="AP74" s="459"/>
      <c r="AQ74" s="459"/>
      <c r="AR74" s="459"/>
      <c r="AS74" s="459"/>
      <c r="AT74" s="459"/>
      <c r="AU74" s="459"/>
      <c r="AV74" s="459"/>
      <c r="AW74" s="459"/>
      <c r="AX74" s="459"/>
      <c r="AY74" s="459"/>
      <c r="AZ74" s="459"/>
      <c r="BA74" s="459"/>
      <c r="BB74" s="459"/>
      <c r="BC74" s="459"/>
      <c r="BD74" s="459"/>
      <c r="BE74" s="459"/>
      <c r="BF74" s="459"/>
      <c r="BG74" s="459"/>
      <c r="BH74" s="459"/>
      <c r="BI74" s="459"/>
      <c r="BJ74" s="459"/>
    </row>
    <row r="75" ht="15.75" customHeight="1" spans="1:62">
      <c r="A75" s="459"/>
      <c r="B75" s="459"/>
      <c r="C75" s="459"/>
      <c r="D75" s="459"/>
      <c r="E75" s="459"/>
      <c r="F75" s="459"/>
      <c r="G75" s="459"/>
      <c r="H75" s="459"/>
      <c r="I75" s="459"/>
      <c r="J75" s="459"/>
      <c r="K75" s="459"/>
      <c r="L75" s="459"/>
      <c r="M75" s="459"/>
      <c r="N75" s="459"/>
      <c r="O75" s="459"/>
      <c r="P75" s="459"/>
      <c r="Q75" s="459"/>
      <c r="R75" s="459"/>
      <c r="S75" s="459"/>
      <c r="T75" s="459"/>
      <c r="U75" s="459"/>
      <c r="V75" s="459"/>
      <c r="W75" s="459"/>
      <c r="X75" s="459"/>
      <c r="Y75" s="459"/>
      <c r="Z75" s="459"/>
      <c r="AA75" s="459"/>
      <c r="AB75" s="459"/>
      <c r="AC75" s="459"/>
      <c r="AD75" s="459"/>
      <c r="AE75" s="459"/>
      <c r="AF75" s="459"/>
      <c r="AG75" s="459"/>
      <c r="AH75" s="459"/>
      <c r="AI75" s="459"/>
      <c r="AJ75" s="459"/>
      <c r="AK75" s="459"/>
      <c r="AL75" s="459"/>
      <c r="AM75" s="459"/>
      <c r="AN75" s="459"/>
      <c r="AO75" s="459"/>
      <c r="AP75" s="459"/>
      <c r="AQ75" s="459"/>
      <c r="AR75" s="459"/>
      <c r="AS75" s="459"/>
      <c r="AT75" s="459"/>
      <c r="AU75" s="459"/>
      <c r="AV75" s="459"/>
      <c r="AW75" s="459"/>
      <c r="AX75" s="459"/>
      <c r="AY75" s="459"/>
      <c r="AZ75" s="459"/>
      <c r="BA75" s="459"/>
      <c r="BB75" s="459"/>
      <c r="BC75" s="459"/>
      <c r="BD75" s="459"/>
      <c r="BE75" s="459"/>
      <c r="BF75" s="459"/>
      <c r="BG75" s="459"/>
      <c r="BH75" s="459"/>
      <c r="BI75" s="459"/>
      <c r="BJ75" s="459"/>
    </row>
    <row r="76" ht="15.75" customHeight="1" spans="1:62">
      <c r="A76" s="459"/>
      <c r="B76" s="459"/>
      <c r="C76" s="459"/>
      <c r="D76" s="459"/>
      <c r="E76" s="459"/>
      <c r="F76" s="459"/>
      <c r="G76" s="459"/>
      <c r="H76" s="459"/>
      <c r="I76" s="459"/>
      <c r="J76" s="459"/>
      <c r="K76" s="459"/>
      <c r="L76" s="459"/>
      <c r="M76" s="459"/>
      <c r="N76" s="459"/>
      <c r="O76" s="459"/>
      <c r="P76" s="459"/>
      <c r="Q76" s="459"/>
      <c r="R76" s="459"/>
      <c r="S76" s="459"/>
      <c r="T76" s="459"/>
      <c r="U76" s="459"/>
      <c r="V76" s="459"/>
      <c r="W76" s="459"/>
      <c r="X76" s="459"/>
      <c r="Y76" s="459"/>
      <c r="Z76" s="459"/>
      <c r="AA76" s="459"/>
      <c r="AB76" s="459"/>
      <c r="AC76" s="459"/>
      <c r="AD76" s="459"/>
      <c r="AE76" s="459"/>
      <c r="AF76" s="459"/>
      <c r="AG76" s="459"/>
      <c r="AH76" s="459"/>
      <c r="AI76" s="459"/>
      <c r="AJ76" s="459"/>
      <c r="AK76" s="459"/>
      <c r="AL76" s="459"/>
      <c r="AM76" s="459"/>
      <c r="AN76" s="459"/>
      <c r="AO76" s="459"/>
      <c r="AP76" s="459"/>
      <c r="AQ76" s="459"/>
      <c r="AR76" s="459"/>
      <c r="AS76" s="459"/>
      <c r="AT76" s="459"/>
      <c r="AU76" s="459"/>
      <c r="AV76" s="459"/>
      <c r="AW76" s="459"/>
      <c r="AX76" s="459"/>
      <c r="AY76" s="459"/>
      <c r="AZ76" s="459"/>
      <c r="BA76" s="459"/>
      <c r="BB76" s="459"/>
      <c r="BC76" s="459"/>
      <c r="BD76" s="459"/>
      <c r="BE76" s="459"/>
      <c r="BF76" s="459"/>
      <c r="BG76" s="459"/>
      <c r="BH76" s="459"/>
      <c r="BI76" s="459"/>
      <c r="BJ76" s="459"/>
    </row>
    <row r="77" ht="15.75" customHeight="1" spans="1:62">
      <c r="A77" s="459"/>
      <c r="B77" s="459"/>
      <c r="C77" s="459"/>
      <c r="D77" s="459"/>
      <c r="E77" s="459"/>
      <c r="F77" s="459"/>
      <c r="G77" s="459"/>
      <c r="H77" s="459"/>
      <c r="I77" s="459"/>
      <c r="J77" s="459"/>
      <c r="K77" s="459"/>
      <c r="L77" s="459"/>
      <c r="M77" s="459"/>
      <c r="N77" s="459"/>
      <c r="O77" s="459"/>
      <c r="P77" s="459"/>
      <c r="Q77" s="459"/>
      <c r="R77" s="459"/>
      <c r="S77" s="459"/>
      <c r="T77" s="459"/>
      <c r="U77" s="459"/>
      <c r="V77" s="459"/>
      <c r="W77" s="459"/>
      <c r="X77" s="459"/>
      <c r="Y77" s="459"/>
      <c r="Z77" s="459"/>
      <c r="AA77" s="459"/>
      <c r="AB77" s="459"/>
      <c r="AC77" s="459"/>
      <c r="AD77" s="459"/>
      <c r="AE77" s="459"/>
      <c r="AF77" s="459"/>
      <c r="AG77" s="459"/>
      <c r="AH77" s="459"/>
      <c r="AI77" s="459"/>
      <c r="AJ77" s="459"/>
      <c r="AK77" s="459"/>
      <c r="AL77" s="459"/>
      <c r="AM77" s="459"/>
      <c r="AN77" s="459"/>
      <c r="AO77" s="459"/>
      <c r="AP77" s="459"/>
      <c r="AQ77" s="459"/>
      <c r="AR77" s="459"/>
      <c r="AS77" s="459"/>
      <c r="AT77" s="459"/>
      <c r="AU77" s="459"/>
      <c r="AV77" s="459"/>
      <c r="AW77" s="459"/>
      <c r="AX77" s="459"/>
      <c r="AY77" s="459"/>
      <c r="AZ77" s="459"/>
      <c r="BA77" s="459"/>
      <c r="BB77" s="459"/>
      <c r="BC77" s="459"/>
      <c r="BD77" s="459"/>
      <c r="BE77" s="459"/>
      <c r="BF77" s="459"/>
      <c r="BG77" s="459"/>
      <c r="BH77" s="459"/>
      <c r="BI77" s="459"/>
      <c r="BJ77" s="459"/>
    </row>
    <row r="78" ht="15.75" customHeight="1" spans="1:62">
      <c r="A78" s="459"/>
      <c r="B78" s="459"/>
      <c r="C78" s="459"/>
      <c r="D78" s="459"/>
      <c r="E78" s="459"/>
      <c r="F78" s="459"/>
      <c r="G78" s="459"/>
      <c r="H78" s="459"/>
      <c r="I78" s="459"/>
      <c r="J78" s="459"/>
      <c r="K78" s="459"/>
      <c r="L78" s="459"/>
      <c r="M78" s="459"/>
      <c r="N78" s="459"/>
      <c r="O78" s="459"/>
      <c r="P78" s="459"/>
      <c r="Q78" s="459"/>
      <c r="R78" s="459"/>
      <c r="S78" s="459"/>
      <c r="T78" s="459"/>
      <c r="U78" s="459"/>
      <c r="V78" s="459"/>
      <c r="W78" s="459"/>
      <c r="X78" s="459"/>
      <c r="Y78" s="459"/>
      <c r="Z78" s="459"/>
      <c r="AA78" s="459"/>
      <c r="AB78" s="459"/>
      <c r="AC78" s="459"/>
      <c r="AD78" s="459"/>
      <c r="AE78" s="459"/>
      <c r="AF78" s="459"/>
      <c r="AG78" s="459"/>
      <c r="AH78" s="459"/>
      <c r="AI78" s="459"/>
      <c r="AJ78" s="459"/>
      <c r="AK78" s="459"/>
      <c r="AL78" s="459"/>
      <c r="AM78" s="459"/>
      <c r="AN78" s="459"/>
      <c r="AO78" s="459"/>
      <c r="AP78" s="459"/>
      <c r="AQ78" s="459"/>
      <c r="AR78" s="459"/>
      <c r="AS78" s="459"/>
      <c r="AT78" s="459"/>
      <c r="AU78" s="459"/>
      <c r="AV78" s="459"/>
      <c r="AW78" s="459"/>
      <c r="AX78" s="459"/>
      <c r="AY78" s="459"/>
      <c r="AZ78" s="459"/>
      <c r="BA78" s="459"/>
      <c r="BB78" s="459"/>
      <c r="BC78" s="459"/>
      <c r="BD78" s="459"/>
      <c r="BE78" s="459"/>
      <c r="BF78" s="459"/>
      <c r="BG78" s="459"/>
      <c r="BH78" s="459"/>
      <c r="BI78" s="459"/>
      <c r="BJ78" s="459"/>
    </row>
    <row r="79" ht="15.75" customHeight="1" spans="1:62">
      <c r="A79" s="459"/>
      <c r="B79" s="459"/>
      <c r="C79" s="459"/>
      <c r="D79" s="459"/>
      <c r="E79" s="459"/>
      <c r="F79" s="459"/>
      <c r="G79" s="459"/>
      <c r="H79" s="459"/>
      <c r="I79" s="459"/>
      <c r="J79" s="459"/>
      <c r="K79" s="459"/>
      <c r="L79" s="459"/>
      <c r="M79" s="459"/>
      <c r="N79" s="459"/>
      <c r="O79" s="459"/>
      <c r="P79" s="459"/>
      <c r="Q79" s="459"/>
      <c r="R79" s="459"/>
      <c r="S79" s="459"/>
      <c r="T79" s="459"/>
      <c r="U79" s="459"/>
      <c r="V79" s="459"/>
      <c r="W79" s="459"/>
      <c r="X79" s="459"/>
      <c r="Y79" s="459"/>
      <c r="Z79" s="459"/>
      <c r="AA79" s="459"/>
      <c r="AB79" s="459"/>
      <c r="AC79" s="459"/>
      <c r="AD79" s="459"/>
      <c r="AE79" s="459"/>
      <c r="AF79" s="459"/>
      <c r="AG79" s="459"/>
      <c r="AH79" s="459"/>
      <c r="AI79" s="459"/>
      <c r="AJ79" s="459"/>
      <c r="AK79" s="459"/>
      <c r="AL79" s="459"/>
      <c r="AM79" s="459"/>
      <c r="AN79" s="459"/>
      <c r="AO79" s="459"/>
      <c r="AP79" s="459"/>
      <c r="AQ79" s="459"/>
      <c r="AR79" s="459"/>
      <c r="AS79" s="459"/>
      <c r="AT79" s="459"/>
      <c r="AU79" s="459"/>
      <c r="AV79" s="459"/>
      <c r="AW79" s="459"/>
      <c r="AX79" s="459"/>
      <c r="AY79" s="459"/>
      <c r="AZ79" s="459"/>
      <c r="BA79" s="459"/>
      <c r="BB79" s="459"/>
      <c r="BC79" s="459"/>
      <c r="BD79" s="459"/>
      <c r="BE79" s="459"/>
      <c r="BF79" s="459"/>
      <c r="BG79" s="459"/>
      <c r="BH79" s="459"/>
      <c r="BI79" s="459"/>
      <c r="BJ79" s="459"/>
    </row>
    <row r="80" ht="15.75" customHeight="1" spans="1:62">
      <c r="A80" s="459"/>
      <c r="B80" s="459"/>
      <c r="C80" s="459"/>
      <c r="D80" s="459"/>
      <c r="E80" s="459"/>
      <c r="F80" s="459"/>
      <c r="G80" s="459"/>
      <c r="H80" s="459"/>
      <c r="I80" s="459"/>
      <c r="J80" s="459"/>
      <c r="K80" s="459"/>
      <c r="L80" s="459"/>
      <c r="M80" s="459"/>
      <c r="N80" s="459"/>
      <c r="O80" s="459"/>
      <c r="P80" s="459"/>
      <c r="Q80" s="459"/>
      <c r="R80" s="459"/>
      <c r="S80" s="459"/>
      <c r="T80" s="459"/>
      <c r="U80" s="459"/>
      <c r="V80" s="459"/>
      <c r="W80" s="459"/>
      <c r="X80" s="459"/>
      <c r="Y80" s="459"/>
      <c r="Z80" s="459"/>
      <c r="AA80" s="459"/>
      <c r="AB80" s="459"/>
      <c r="AC80" s="459"/>
      <c r="AD80" s="459"/>
      <c r="AE80" s="459"/>
      <c r="AF80" s="459"/>
      <c r="AG80" s="459"/>
      <c r="AH80" s="459"/>
      <c r="AI80" s="459"/>
      <c r="AJ80" s="459"/>
      <c r="AK80" s="459"/>
      <c r="AL80" s="459"/>
      <c r="AM80" s="459"/>
      <c r="AN80" s="459"/>
      <c r="AO80" s="459"/>
      <c r="AP80" s="459"/>
      <c r="AQ80" s="459"/>
      <c r="AR80" s="459"/>
      <c r="AS80" s="459"/>
      <c r="AT80" s="459"/>
      <c r="AU80" s="459"/>
      <c r="AV80" s="459"/>
      <c r="AW80" s="459"/>
      <c r="AX80" s="459"/>
      <c r="AY80" s="459"/>
      <c r="AZ80" s="459"/>
      <c r="BA80" s="459"/>
      <c r="BB80" s="459"/>
      <c r="BC80" s="459"/>
      <c r="BD80" s="459"/>
      <c r="BE80" s="459"/>
      <c r="BF80" s="459"/>
      <c r="BG80" s="459"/>
      <c r="BH80" s="459"/>
      <c r="BI80" s="459"/>
      <c r="BJ80" s="459"/>
    </row>
    <row r="81" ht="15.75" customHeight="1" spans="1:62">
      <c r="A81" s="459"/>
      <c r="B81" s="459"/>
      <c r="C81" s="459"/>
      <c r="D81" s="459"/>
      <c r="E81" s="459"/>
      <c r="F81" s="459"/>
      <c r="G81" s="459"/>
      <c r="H81" s="459"/>
      <c r="I81" s="459"/>
      <c r="J81" s="459"/>
      <c r="K81" s="459"/>
      <c r="L81" s="459"/>
      <c r="M81" s="459"/>
      <c r="N81" s="459"/>
      <c r="O81" s="459"/>
      <c r="P81" s="459"/>
      <c r="Q81" s="459"/>
      <c r="R81" s="459"/>
      <c r="S81" s="459"/>
      <c r="T81" s="459"/>
      <c r="U81" s="459"/>
      <c r="V81" s="459"/>
      <c r="W81" s="459"/>
      <c r="X81" s="459"/>
      <c r="Y81" s="459"/>
      <c r="Z81" s="459"/>
      <c r="AA81" s="459"/>
      <c r="AB81" s="459"/>
      <c r="AC81" s="459"/>
      <c r="AD81" s="459"/>
      <c r="AE81" s="459"/>
      <c r="AF81" s="459"/>
      <c r="AG81" s="459"/>
      <c r="AH81" s="459"/>
      <c r="AI81" s="459"/>
      <c r="AJ81" s="459"/>
      <c r="AK81" s="459"/>
      <c r="AL81" s="459"/>
      <c r="AM81" s="459"/>
      <c r="AN81" s="459"/>
      <c r="AO81" s="459"/>
      <c r="AP81" s="459"/>
      <c r="AQ81" s="459"/>
      <c r="AR81" s="459"/>
      <c r="AS81" s="459"/>
      <c r="AT81" s="459"/>
      <c r="AU81" s="459"/>
      <c r="AV81" s="459"/>
      <c r="AW81" s="459"/>
      <c r="AX81" s="459"/>
      <c r="AY81" s="459"/>
      <c r="AZ81" s="459"/>
      <c r="BA81" s="459"/>
      <c r="BB81" s="459"/>
      <c r="BC81" s="459"/>
      <c r="BD81" s="459"/>
      <c r="BE81" s="459"/>
      <c r="BF81" s="459"/>
      <c r="BG81" s="459"/>
      <c r="BH81" s="459"/>
      <c r="BI81" s="459"/>
      <c r="BJ81" s="459"/>
    </row>
    <row r="82" ht="15.75" customHeight="1" spans="1:62">
      <c r="A82" s="459"/>
      <c r="B82" s="459"/>
      <c r="C82" s="459"/>
      <c r="D82" s="459"/>
      <c r="E82" s="459"/>
      <c r="F82" s="459"/>
      <c r="G82" s="459"/>
      <c r="H82" s="459"/>
      <c r="I82" s="459"/>
      <c r="J82" s="459"/>
      <c r="K82" s="459"/>
      <c r="L82" s="459"/>
      <c r="M82" s="459"/>
      <c r="N82" s="459"/>
      <c r="O82" s="459"/>
      <c r="P82" s="459"/>
      <c r="Q82" s="459"/>
      <c r="R82" s="459"/>
      <c r="S82" s="459"/>
      <c r="T82" s="459"/>
      <c r="U82" s="459"/>
      <c r="V82" s="459"/>
      <c r="W82" s="459"/>
      <c r="X82" s="459"/>
      <c r="Y82" s="459"/>
      <c r="Z82" s="459"/>
      <c r="AA82" s="459"/>
      <c r="AB82" s="459"/>
      <c r="AC82" s="459"/>
      <c r="AD82" s="459"/>
      <c r="AE82" s="459"/>
      <c r="AF82" s="459"/>
      <c r="AG82" s="459"/>
      <c r="AH82" s="459"/>
      <c r="AI82" s="459"/>
      <c r="AJ82" s="459"/>
      <c r="AK82" s="459"/>
      <c r="AL82" s="459"/>
      <c r="AM82" s="459"/>
      <c r="AN82" s="459"/>
      <c r="AO82" s="459"/>
      <c r="AP82" s="459"/>
      <c r="AQ82" s="459"/>
      <c r="AR82" s="459"/>
      <c r="AS82" s="459"/>
      <c r="AT82" s="459"/>
      <c r="AU82" s="459"/>
      <c r="AV82" s="459"/>
      <c r="AW82" s="459"/>
      <c r="AX82" s="459"/>
      <c r="AY82" s="459"/>
      <c r="AZ82" s="459"/>
      <c r="BA82" s="459"/>
      <c r="BB82" s="459"/>
      <c r="BC82" s="459"/>
      <c r="BD82" s="459"/>
      <c r="BE82" s="459"/>
      <c r="BF82" s="459"/>
      <c r="BG82" s="459"/>
      <c r="BH82" s="459"/>
      <c r="BI82" s="459"/>
      <c r="BJ82" s="459"/>
    </row>
    <row r="83" ht="15.75" customHeight="1" spans="1:62">
      <c r="A83" s="459"/>
      <c r="B83" s="459"/>
      <c r="C83" s="459"/>
      <c r="D83" s="459"/>
      <c r="E83" s="459"/>
      <c r="F83" s="459"/>
      <c r="G83" s="459"/>
      <c r="H83" s="459"/>
      <c r="I83" s="459"/>
      <c r="J83" s="459"/>
      <c r="K83" s="459"/>
      <c r="L83" s="459"/>
      <c r="M83" s="459"/>
      <c r="N83" s="459"/>
      <c r="O83" s="459"/>
      <c r="P83" s="459"/>
      <c r="Q83" s="459"/>
      <c r="R83" s="459"/>
      <c r="S83" s="459"/>
      <c r="T83" s="459"/>
      <c r="U83" s="459"/>
      <c r="V83" s="459"/>
      <c r="W83" s="459"/>
      <c r="X83" s="459"/>
      <c r="Y83" s="459"/>
      <c r="Z83" s="459"/>
      <c r="AA83" s="459"/>
      <c r="AB83" s="459"/>
      <c r="AC83" s="459"/>
      <c r="AD83" s="459"/>
      <c r="AE83" s="459"/>
      <c r="AF83" s="459"/>
      <c r="AG83" s="459"/>
      <c r="AH83" s="459"/>
      <c r="AI83" s="459"/>
      <c r="AJ83" s="459"/>
      <c r="AK83" s="459"/>
      <c r="AL83" s="459"/>
      <c r="AM83" s="459"/>
      <c r="AN83" s="459"/>
      <c r="AO83" s="459"/>
      <c r="AP83" s="459"/>
      <c r="AQ83" s="459"/>
      <c r="AR83" s="459"/>
      <c r="AS83" s="459"/>
      <c r="AT83" s="459"/>
      <c r="AU83" s="459"/>
      <c r="AV83" s="459"/>
      <c r="AW83" s="459"/>
      <c r="AX83" s="459"/>
      <c r="AY83" s="459"/>
      <c r="AZ83" s="459"/>
      <c r="BA83" s="459"/>
      <c r="BB83" s="459"/>
      <c r="BC83" s="459"/>
      <c r="BD83" s="459"/>
      <c r="BE83" s="459"/>
      <c r="BF83" s="459"/>
      <c r="BG83" s="459"/>
      <c r="BH83" s="459"/>
      <c r="BI83" s="459"/>
      <c r="BJ83" s="459"/>
    </row>
    <row r="84" ht="15.75" customHeight="1" spans="1:62">
      <c r="A84" s="459"/>
      <c r="B84" s="459"/>
      <c r="C84" s="459"/>
      <c r="D84" s="459"/>
      <c r="E84" s="459"/>
      <c r="F84" s="459"/>
      <c r="G84" s="459"/>
      <c r="H84" s="459"/>
      <c r="I84" s="459"/>
      <c r="J84" s="459"/>
      <c r="K84" s="459"/>
      <c r="L84" s="459"/>
      <c r="M84" s="459"/>
      <c r="N84" s="459"/>
      <c r="O84" s="459"/>
      <c r="P84" s="459"/>
      <c r="Q84" s="459"/>
      <c r="R84" s="459"/>
      <c r="S84" s="459"/>
      <c r="T84" s="459"/>
      <c r="U84" s="459"/>
      <c r="V84" s="459"/>
      <c r="W84" s="459"/>
      <c r="X84" s="459"/>
      <c r="Y84" s="459"/>
      <c r="Z84" s="459"/>
      <c r="AA84" s="459"/>
      <c r="AB84" s="459"/>
      <c r="AC84" s="459"/>
      <c r="AD84" s="459"/>
      <c r="AE84" s="459"/>
      <c r="AF84" s="459"/>
      <c r="AG84" s="459"/>
      <c r="AH84" s="459"/>
      <c r="AI84" s="459"/>
      <c r="AJ84" s="459"/>
      <c r="AK84" s="459"/>
      <c r="AL84" s="459"/>
      <c r="AM84" s="459"/>
      <c r="AN84" s="459"/>
      <c r="AO84" s="459"/>
      <c r="AP84" s="459"/>
      <c r="AQ84" s="459"/>
      <c r="AR84" s="459"/>
      <c r="AS84" s="459"/>
      <c r="AT84" s="459"/>
      <c r="AU84" s="459"/>
      <c r="AV84" s="459"/>
      <c r="AW84" s="459"/>
      <c r="AX84" s="459"/>
      <c r="AY84" s="459"/>
      <c r="AZ84" s="459"/>
      <c r="BA84" s="459"/>
      <c r="BB84" s="459"/>
      <c r="BC84" s="459"/>
      <c r="BD84" s="459"/>
      <c r="BE84" s="459"/>
      <c r="BF84" s="459"/>
      <c r="BG84" s="459"/>
      <c r="BH84" s="459"/>
      <c r="BI84" s="459"/>
      <c r="BJ84" s="459"/>
    </row>
    <row r="85" ht="15.75" customHeight="1" spans="1:62">
      <c r="A85" s="459"/>
      <c r="B85" s="459"/>
      <c r="C85" s="459"/>
      <c r="D85" s="459"/>
      <c r="E85" s="459"/>
      <c r="F85" s="459"/>
      <c r="G85" s="459"/>
      <c r="H85" s="459"/>
      <c r="I85" s="459"/>
      <c r="J85" s="459"/>
      <c r="K85" s="459"/>
      <c r="L85" s="459"/>
      <c r="M85" s="459"/>
      <c r="N85" s="459"/>
      <c r="O85" s="459"/>
      <c r="P85" s="459"/>
      <c r="Q85" s="459"/>
      <c r="R85" s="459"/>
      <c r="S85" s="459"/>
      <c r="T85" s="459"/>
      <c r="U85" s="459"/>
      <c r="V85" s="459"/>
      <c r="W85" s="459"/>
      <c r="X85" s="459"/>
      <c r="Y85" s="459"/>
      <c r="Z85" s="459"/>
      <c r="AA85" s="459"/>
      <c r="AB85" s="459"/>
      <c r="AC85" s="459"/>
      <c r="AD85" s="459"/>
      <c r="AE85" s="459"/>
      <c r="AF85" s="459"/>
      <c r="AG85" s="459"/>
      <c r="AH85" s="459"/>
      <c r="AI85" s="459"/>
      <c r="AJ85" s="459"/>
      <c r="AK85" s="459"/>
      <c r="AL85" s="459"/>
      <c r="AM85" s="459"/>
      <c r="AN85" s="459"/>
      <c r="AO85" s="459"/>
      <c r="AP85" s="459"/>
      <c r="AQ85" s="459"/>
      <c r="AR85" s="459"/>
      <c r="AS85" s="459"/>
      <c r="AT85" s="459"/>
      <c r="AU85" s="459"/>
      <c r="AV85" s="459"/>
      <c r="AW85" s="459"/>
      <c r="AX85" s="459"/>
      <c r="AY85" s="459"/>
      <c r="AZ85" s="459"/>
      <c r="BA85" s="459"/>
      <c r="BB85" s="459"/>
      <c r="BC85" s="459"/>
      <c r="BD85" s="459"/>
      <c r="BE85" s="459"/>
      <c r="BF85" s="459"/>
      <c r="BG85" s="459"/>
      <c r="BH85" s="459"/>
      <c r="BI85" s="459"/>
      <c r="BJ85" s="459"/>
    </row>
    <row r="86" ht="15.75" customHeight="1" spans="1:62">
      <c r="A86" s="459"/>
      <c r="B86" s="459"/>
      <c r="C86" s="459"/>
      <c r="D86" s="459"/>
      <c r="E86" s="459"/>
      <c r="F86" s="459"/>
      <c r="G86" s="459"/>
      <c r="H86" s="459"/>
      <c r="I86" s="459"/>
      <c r="J86" s="459"/>
      <c r="K86" s="459"/>
      <c r="L86" s="459"/>
      <c r="M86" s="459"/>
      <c r="N86" s="459"/>
      <c r="O86" s="459"/>
      <c r="P86" s="459"/>
      <c r="Q86" s="459"/>
      <c r="R86" s="459"/>
      <c r="S86" s="459"/>
      <c r="T86" s="459"/>
      <c r="U86" s="459"/>
      <c r="V86" s="459"/>
      <c r="W86" s="459"/>
      <c r="X86" s="459"/>
      <c r="Y86" s="459"/>
      <c r="Z86" s="459"/>
      <c r="AA86" s="459"/>
      <c r="AB86" s="459"/>
      <c r="AC86" s="459"/>
      <c r="AD86" s="459"/>
      <c r="AE86" s="459"/>
      <c r="AF86" s="459"/>
      <c r="AG86" s="459"/>
      <c r="AH86" s="459"/>
      <c r="AI86" s="459"/>
      <c r="AJ86" s="459"/>
      <c r="AK86" s="459"/>
      <c r="AL86" s="459"/>
      <c r="AM86" s="459"/>
      <c r="AN86" s="459"/>
      <c r="AO86" s="459"/>
      <c r="AP86" s="459"/>
      <c r="AQ86" s="459"/>
      <c r="AR86" s="459"/>
      <c r="AS86" s="459"/>
      <c r="AT86" s="459"/>
      <c r="AU86" s="459"/>
      <c r="AV86" s="459"/>
      <c r="AW86" s="459"/>
      <c r="AX86" s="459"/>
      <c r="AY86" s="459"/>
      <c r="AZ86" s="459"/>
      <c r="BA86" s="459"/>
      <c r="BB86" s="459"/>
      <c r="BC86" s="459"/>
      <c r="BD86" s="459"/>
      <c r="BE86" s="459"/>
      <c r="BF86" s="459"/>
      <c r="BG86" s="459"/>
      <c r="BH86" s="459"/>
      <c r="BI86" s="459"/>
      <c r="BJ86" s="459"/>
    </row>
    <row r="87" ht="15.75" customHeight="1" spans="1:62">
      <c r="A87" s="459"/>
      <c r="B87" s="459"/>
      <c r="C87" s="459"/>
      <c r="D87" s="459"/>
      <c r="E87" s="459"/>
      <c r="F87" s="459"/>
      <c r="G87" s="459"/>
      <c r="H87" s="459"/>
      <c r="I87" s="459"/>
      <c r="J87" s="459"/>
      <c r="K87" s="459"/>
      <c r="L87" s="459"/>
      <c r="M87" s="459"/>
      <c r="N87" s="459"/>
      <c r="O87" s="459"/>
      <c r="P87" s="459"/>
      <c r="Q87" s="459"/>
      <c r="R87" s="459"/>
      <c r="S87" s="459"/>
      <c r="T87" s="459"/>
      <c r="U87" s="459"/>
      <c r="V87" s="459"/>
      <c r="W87" s="459"/>
      <c r="X87" s="459"/>
      <c r="Y87" s="459"/>
      <c r="Z87" s="459"/>
      <c r="AA87" s="459"/>
      <c r="AB87" s="459"/>
      <c r="AC87" s="459"/>
      <c r="AD87" s="459"/>
      <c r="AE87" s="459"/>
      <c r="AF87" s="459"/>
      <c r="AG87" s="459"/>
      <c r="AH87" s="459"/>
      <c r="AI87" s="459"/>
      <c r="AJ87" s="459"/>
      <c r="AK87" s="459"/>
      <c r="AL87" s="459"/>
      <c r="AM87" s="459"/>
      <c r="AN87" s="459"/>
      <c r="AO87" s="459"/>
      <c r="AP87" s="459"/>
      <c r="AQ87" s="459"/>
      <c r="AR87" s="459"/>
      <c r="AS87" s="459"/>
      <c r="AT87" s="459"/>
      <c r="AU87" s="459"/>
      <c r="AV87" s="459"/>
      <c r="AW87" s="459"/>
      <c r="AX87" s="459"/>
      <c r="AY87" s="459"/>
      <c r="AZ87" s="459"/>
      <c r="BA87" s="459"/>
      <c r="BB87" s="459"/>
      <c r="BC87" s="459"/>
      <c r="BD87" s="459"/>
      <c r="BE87" s="459"/>
      <c r="BF87" s="459"/>
      <c r="BG87" s="459"/>
      <c r="BH87" s="459"/>
      <c r="BI87" s="459"/>
      <c r="BJ87" s="459"/>
    </row>
    <row r="88" ht="15.75" customHeight="1" spans="1:62">
      <c r="A88" s="459"/>
      <c r="B88" s="459"/>
      <c r="C88" s="459"/>
      <c r="D88" s="459"/>
      <c r="E88" s="459"/>
      <c r="F88" s="459"/>
      <c r="G88" s="459"/>
      <c r="H88" s="459"/>
      <c r="I88" s="459"/>
      <c r="J88" s="459"/>
      <c r="K88" s="459"/>
      <c r="L88" s="459"/>
      <c r="M88" s="459"/>
      <c r="N88" s="459"/>
      <c r="O88" s="459"/>
      <c r="P88" s="459"/>
      <c r="Q88" s="459"/>
      <c r="R88" s="459"/>
      <c r="S88" s="459"/>
      <c r="T88" s="459"/>
      <c r="U88" s="459"/>
      <c r="V88" s="459"/>
      <c r="W88" s="459"/>
      <c r="X88" s="459"/>
      <c r="Y88" s="459"/>
      <c r="Z88" s="459"/>
      <c r="AA88" s="459"/>
      <c r="AB88" s="459"/>
      <c r="AC88" s="459"/>
      <c r="AD88" s="459"/>
      <c r="AE88" s="459"/>
      <c r="AF88" s="459"/>
      <c r="AG88" s="459"/>
      <c r="AH88" s="459"/>
      <c r="AI88" s="459"/>
      <c r="AJ88" s="459"/>
      <c r="AK88" s="459"/>
      <c r="AL88" s="459"/>
      <c r="AM88" s="459"/>
      <c r="AN88" s="459"/>
      <c r="AO88" s="459"/>
      <c r="AP88" s="459"/>
      <c r="AQ88" s="459"/>
      <c r="AR88" s="459"/>
      <c r="AS88" s="459"/>
      <c r="AT88" s="459"/>
      <c r="AU88" s="459"/>
      <c r="AV88" s="459"/>
      <c r="AW88" s="459"/>
      <c r="AX88" s="459"/>
      <c r="AY88" s="459"/>
      <c r="AZ88" s="459"/>
      <c r="BA88" s="459"/>
      <c r="BB88" s="459"/>
      <c r="BC88" s="459"/>
      <c r="BD88" s="459"/>
      <c r="BE88" s="459"/>
      <c r="BF88" s="459"/>
      <c r="BG88" s="459"/>
      <c r="BH88" s="459"/>
      <c r="BI88" s="459"/>
      <c r="BJ88" s="459"/>
    </row>
    <row r="89" ht="15.75" customHeight="1" spans="1:62">
      <c r="A89" s="459"/>
      <c r="B89" s="459"/>
      <c r="C89" s="459"/>
      <c r="D89" s="459"/>
      <c r="E89" s="459"/>
      <c r="F89" s="459"/>
      <c r="G89" s="459"/>
      <c r="H89" s="459"/>
      <c r="I89" s="459"/>
      <c r="J89" s="459"/>
      <c r="K89" s="459"/>
      <c r="L89" s="459"/>
      <c r="M89" s="459"/>
      <c r="N89" s="459"/>
      <c r="O89" s="459"/>
      <c r="P89" s="459"/>
      <c r="Q89" s="459"/>
      <c r="R89" s="459"/>
      <c r="S89" s="459"/>
      <c r="T89" s="459"/>
      <c r="U89" s="459"/>
      <c r="V89" s="459"/>
      <c r="W89" s="459"/>
      <c r="X89" s="459"/>
      <c r="Y89" s="459"/>
      <c r="Z89" s="459"/>
      <c r="AA89" s="459"/>
      <c r="AB89" s="459"/>
      <c r="AC89" s="459"/>
      <c r="AD89" s="459"/>
      <c r="AE89" s="459"/>
      <c r="AF89" s="459"/>
      <c r="AG89" s="459"/>
      <c r="AH89" s="459"/>
      <c r="AI89" s="459"/>
      <c r="AJ89" s="459"/>
      <c r="AK89" s="459"/>
      <c r="AL89" s="459"/>
      <c r="AM89" s="459"/>
      <c r="AN89" s="459"/>
      <c r="AO89" s="459"/>
      <c r="AP89" s="459"/>
      <c r="AQ89" s="459"/>
      <c r="AR89" s="459"/>
      <c r="AS89" s="459"/>
      <c r="AT89" s="459"/>
      <c r="AU89" s="459"/>
      <c r="AV89" s="459"/>
      <c r="AW89" s="459"/>
      <c r="AX89" s="459"/>
      <c r="AY89" s="459"/>
      <c r="AZ89" s="459"/>
      <c r="BA89" s="459"/>
      <c r="BB89" s="459"/>
      <c r="BC89" s="459"/>
      <c r="BD89" s="459"/>
      <c r="BE89" s="459"/>
      <c r="BF89" s="459"/>
      <c r="BG89" s="459"/>
      <c r="BH89" s="459"/>
      <c r="BI89" s="459"/>
      <c r="BJ89" s="459"/>
    </row>
    <row r="90" ht="15.75" customHeight="1" spans="1:62">
      <c r="A90" s="459"/>
      <c r="B90" s="459"/>
      <c r="C90" s="459"/>
      <c r="D90" s="459"/>
      <c r="E90" s="459"/>
      <c r="F90" s="459"/>
      <c r="G90" s="459"/>
      <c r="H90" s="459"/>
      <c r="I90" s="459"/>
      <c r="J90" s="459"/>
      <c r="K90" s="459"/>
      <c r="L90" s="459"/>
      <c r="M90" s="459"/>
      <c r="N90" s="459"/>
      <c r="O90" s="459"/>
      <c r="P90" s="459"/>
      <c r="Q90" s="459"/>
      <c r="R90" s="459"/>
      <c r="S90" s="459"/>
      <c r="T90" s="459"/>
      <c r="U90" s="459"/>
      <c r="V90" s="459"/>
      <c r="W90" s="459"/>
      <c r="X90" s="459"/>
      <c r="Y90" s="459"/>
      <c r="Z90" s="459"/>
      <c r="AA90" s="459"/>
      <c r="AB90" s="459"/>
      <c r="AC90" s="459"/>
      <c r="AD90" s="459"/>
      <c r="AE90" s="459"/>
      <c r="AF90" s="459"/>
      <c r="AG90" s="459"/>
      <c r="AH90" s="459"/>
      <c r="AI90" s="459"/>
      <c r="AJ90" s="459"/>
      <c r="AK90" s="459"/>
      <c r="AL90" s="459"/>
      <c r="AM90" s="459"/>
      <c r="AN90" s="459"/>
      <c r="AO90" s="459"/>
      <c r="AP90" s="459"/>
      <c r="AQ90" s="459"/>
      <c r="AR90" s="459"/>
      <c r="AS90" s="459"/>
      <c r="AT90" s="459"/>
      <c r="AU90" s="459"/>
      <c r="AV90" s="459"/>
      <c r="AW90" s="459"/>
      <c r="AX90" s="459"/>
      <c r="AY90" s="459"/>
      <c r="AZ90" s="459"/>
      <c r="BA90" s="459"/>
      <c r="BB90" s="459"/>
      <c r="BC90" s="459"/>
      <c r="BD90" s="459"/>
      <c r="BE90" s="459"/>
      <c r="BF90" s="459"/>
      <c r="BG90" s="459"/>
      <c r="BH90" s="459"/>
      <c r="BI90" s="459"/>
      <c r="BJ90" s="459"/>
    </row>
    <row r="91" ht="15.75" customHeight="1" spans="1:62">
      <c r="A91" s="459"/>
      <c r="B91" s="459"/>
      <c r="C91" s="459"/>
      <c r="D91" s="459"/>
      <c r="E91" s="459"/>
      <c r="F91" s="459"/>
      <c r="G91" s="459"/>
      <c r="H91" s="459"/>
      <c r="I91" s="459"/>
      <c r="J91" s="459"/>
      <c r="K91" s="459"/>
      <c r="L91" s="459"/>
      <c r="M91" s="459"/>
      <c r="N91" s="459"/>
      <c r="O91" s="459"/>
      <c r="P91" s="459"/>
      <c r="Q91" s="459"/>
      <c r="R91" s="459"/>
      <c r="S91" s="459"/>
      <c r="T91" s="459"/>
      <c r="U91" s="459"/>
      <c r="V91" s="459"/>
      <c r="W91" s="459"/>
      <c r="X91" s="459"/>
      <c r="Y91" s="459"/>
      <c r="Z91" s="459"/>
      <c r="AA91" s="459"/>
      <c r="AB91" s="459"/>
      <c r="AC91" s="459"/>
      <c r="AD91" s="459"/>
      <c r="AE91" s="459"/>
      <c r="AF91" s="459"/>
      <c r="AG91" s="459"/>
      <c r="AH91" s="459"/>
      <c r="AI91" s="459"/>
      <c r="AJ91" s="459"/>
      <c r="AK91" s="459"/>
      <c r="AL91" s="459"/>
      <c r="AM91" s="459"/>
      <c r="AN91" s="459"/>
      <c r="AO91" s="459"/>
      <c r="AP91" s="459"/>
      <c r="AQ91" s="459"/>
      <c r="AR91" s="459"/>
      <c r="AS91" s="459"/>
      <c r="AT91" s="459"/>
      <c r="AU91" s="459"/>
      <c r="AV91" s="459"/>
      <c r="AW91" s="459"/>
      <c r="AX91" s="459"/>
      <c r="AY91" s="459"/>
      <c r="AZ91" s="459"/>
      <c r="BA91" s="459"/>
      <c r="BB91" s="459"/>
      <c r="BC91" s="459"/>
      <c r="BD91" s="459"/>
      <c r="BE91" s="459"/>
      <c r="BF91" s="459"/>
      <c r="BG91" s="459"/>
      <c r="BH91" s="459"/>
      <c r="BI91" s="459"/>
      <c r="BJ91" s="459"/>
    </row>
    <row r="92" ht="15.75" customHeight="1" spans="1:62">
      <c r="A92" s="459"/>
      <c r="B92" s="459"/>
      <c r="C92" s="459"/>
      <c r="D92" s="459"/>
      <c r="E92" s="459"/>
      <c r="F92" s="459"/>
      <c r="G92" s="459"/>
      <c r="H92" s="459"/>
      <c r="I92" s="459"/>
      <c r="J92" s="459"/>
      <c r="K92" s="459"/>
      <c r="L92" s="459"/>
      <c r="M92" s="459"/>
      <c r="N92" s="459"/>
      <c r="O92" s="459"/>
      <c r="P92" s="459"/>
      <c r="Q92" s="459"/>
      <c r="R92" s="459"/>
      <c r="S92" s="459"/>
      <c r="T92" s="459"/>
      <c r="U92" s="459"/>
      <c r="V92" s="459"/>
      <c r="W92" s="459"/>
      <c r="X92" s="459"/>
      <c r="Y92" s="459"/>
      <c r="Z92" s="459"/>
      <c r="AA92" s="459"/>
      <c r="AB92" s="459"/>
      <c r="AC92" s="459"/>
      <c r="AD92" s="459"/>
      <c r="AE92" s="459"/>
      <c r="AF92" s="459"/>
      <c r="AG92" s="459"/>
      <c r="AH92" s="459"/>
      <c r="AI92" s="459"/>
      <c r="AJ92" s="459"/>
      <c r="AK92" s="459"/>
      <c r="AL92" s="459"/>
      <c r="AM92" s="459"/>
      <c r="AN92" s="459"/>
      <c r="AO92" s="459"/>
      <c r="AP92" s="459"/>
      <c r="AQ92" s="459"/>
      <c r="AR92" s="459"/>
      <c r="AS92" s="459"/>
      <c r="AT92" s="459"/>
      <c r="AU92" s="459"/>
      <c r="AV92" s="459"/>
      <c r="AW92" s="459"/>
      <c r="AX92" s="459"/>
      <c r="AY92" s="459"/>
      <c r="AZ92" s="459"/>
      <c r="BA92" s="459"/>
      <c r="BB92" s="459"/>
      <c r="BC92" s="459"/>
      <c r="BD92" s="459"/>
      <c r="BE92" s="459"/>
      <c r="BF92" s="459"/>
      <c r="BG92" s="459"/>
      <c r="BH92" s="459"/>
      <c r="BI92" s="459"/>
      <c r="BJ92" s="459"/>
    </row>
    <row r="93" ht="15.75" customHeight="1" spans="1:62">
      <c r="A93" s="459"/>
      <c r="B93" s="459"/>
      <c r="C93" s="459"/>
      <c r="D93" s="459"/>
      <c r="E93" s="459"/>
      <c r="F93" s="459"/>
      <c r="G93" s="459"/>
      <c r="H93" s="459"/>
      <c r="I93" s="459"/>
      <c r="J93" s="459"/>
      <c r="K93" s="459"/>
      <c r="L93" s="459"/>
      <c r="M93" s="459"/>
      <c r="N93" s="459"/>
      <c r="O93" s="459"/>
      <c r="P93" s="459"/>
      <c r="Q93" s="459"/>
      <c r="R93" s="459"/>
      <c r="S93" s="459"/>
      <c r="T93" s="459"/>
      <c r="U93" s="459"/>
      <c r="V93" s="459"/>
      <c r="W93" s="459"/>
      <c r="X93" s="459"/>
      <c r="Y93" s="459"/>
      <c r="Z93" s="459"/>
      <c r="AA93" s="459"/>
      <c r="AB93" s="459"/>
      <c r="AC93" s="459"/>
      <c r="AD93" s="459"/>
      <c r="AE93" s="459"/>
      <c r="AF93" s="459"/>
      <c r="AG93" s="459"/>
      <c r="AH93" s="459"/>
      <c r="AI93" s="459"/>
      <c r="AJ93" s="459"/>
      <c r="AK93" s="459"/>
      <c r="AL93" s="459"/>
      <c r="AM93" s="459"/>
      <c r="AN93" s="459"/>
      <c r="AO93" s="459"/>
      <c r="AP93" s="459"/>
      <c r="AQ93" s="459"/>
      <c r="AR93" s="459"/>
      <c r="AS93" s="459"/>
      <c r="AT93" s="459"/>
      <c r="AU93" s="459"/>
      <c r="AV93" s="459"/>
      <c r="AW93" s="459"/>
      <c r="AX93" s="459"/>
      <c r="AY93" s="459"/>
      <c r="AZ93" s="459"/>
      <c r="BA93" s="459"/>
      <c r="BB93" s="459"/>
      <c r="BC93" s="459"/>
      <c r="BD93" s="459"/>
      <c r="BE93" s="459"/>
      <c r="BF93" s="459"/>
      <c r="BG93" s="459"/>
      <c r="BH93" s="459"/>
      <c r="BI93" s="459"/>
      <c r="BJ93" s="459"/>
    </row>
    <row r="94" ht="15.75" customHeight="1" spans="1:62">
      <c r="A94" s="459"/>
      <c r="B94" s="459"/>
      <c r="C94" s="459"/>
      <c r="D94" s="459"/>
      <c r="E94" s="459"/>
      <c r="F94" s="459"/>
      <c r="G94" s="459"/>
      <c r="H94" s="459"/>
      <c r="I94" s="459"/>
      <c r="J94" s="459"/>
      <c r="K94" s="459"/>
      <c r="L94" s="459"/>
      <c r="M94" s="459"/>
      <c r="N94" s="459"/>
      <c r="O94" s="459"/>
      <c r="P94" s="459"/>
      <c r="Q94" s="459"/>
      <c r="R94" s="459"/>
      <c r="S94" s="459"/>
      <c r="T94" s="459"/>
      <c r="U94" s="459"/>
      <c r="V94" s="459"/>
      <c r="W94" s="459"/>
      <c r="X94" s="459"/>
      <c r="Y94" s="459"/>
      <c r="Z94" s="459"/>
      <c r="AA94" s="459"/>
      <c r="AB94" s="459"/>
      <c r="AC94" s="459"/>
      <c r="AD94" s="459"/>
      <c r="AE94" s="459"/>
      <c r="AF94" s="459"/>
      <c r="AG94" s="459"/>
      <c r="AH94" s="459"/>
      <c r="AI94" s="459"/>
      <c r="AJ94" s="459"/>
      <c r="AK94" s="459"/>
      <c r="AL94" s="459"/>
      <c r="AM94" s="459"/>
      <c r="AN94" s="459"/>
      <c r="AO94" s="459"/>
      <c r="AP94" s="459"/>
      <c r="AQ94" s="459"/>
      <c r="AR94" s="459"/>
      <c r="AS94" s="459"/>
      <c r="AT94" s="459"/>
      <c r="AU94" s="459"/>
      <c r="AV94" s="459"/>
      <c r="AW94" s="459"/>
      <c r="AX94" s="459"/>
      <c r="AY94" s="459"/>
      <c r="AZ94" s="459"/>
      <c r="BA94" s="459"/>
      <c r="BB94" s="459"/>
      <c r="BC94" s="459"/>
      <c r="BD94" s="459"/>
      <c r="BE94" s="459"/>
      <c r="BF94" s="459"/>
      <c r="BG94" s="459"/>
      <c r="BH94" s="459"/>
      <c r="BI94" s="459"/>
      <c r="BJ94" s="459"/>
    </row>
    <row r="95" ht="15.75" customHeight="1" spans="1:62">
      <c r="A95" s="459"/>
      <c r="B95" s="459"/>
      <c r="C95" s="459"/>
      <c r="D95" s="459"/>
      <c r="E95" s="459"/>
      <c r="F95" s="459"/>
      <c r="G95" s="459"/>
      <c r="H95" s="459"/>
      <c r="I95" s="459"/>
      <c r="J95" s="459"/>
      <c r="K95" s="459"/>
      <c r="L95" s="459"/>
      <c r="M95" s="459"/>
      <c r="N95" s="459"/>
      <c r="O95" s="459"/>
      <c r="P95" s="459"/>
      <c r="Q95" s="459"/>
      <c r="R95" s="459"/>
      <c r="S95" s="459"/>
      <c r="T95" s="459"/>
      <c r="U95" s="459"/>
      <c r="V95" s="459"/>
      <c r="W95" s="459"/>
      <c r="X95" s="459"/>
      <c r="Y95" s="459"/>
      <c r="Z95" s="459"/>
      <c r="AA95" s="459"/>
      <c r="AB95" s="459"/>
      <c r="AC95" s="459"/>
      <c r="AD95" s="459"/>
      <c r="AE95" s="459"/>
      <c r="AF95" s="459"/>
      <c r="AG95" s="459"/>
      <c r="AH95" s="459"/>
      <c r="AI95" s="459"/>
      <c r="AJ95" s="459"/>
      <c r="AK95" s="459"/>
      <c r="AL95" s="459"/>
      <c r="AM95" s="459"/>
      <c r="AN95" s="459"/>
      <c r="AO95" s="459"/>
      <c r="AP95" s="459"/>
      <c r="AQ95" s="459"/>
      <c r="AR95" s="459"/>
      <c r="AS95" s="459"/>
      <c r="AT95" s="459"/>
      <c r="AU95" s="459"/>
      <c r="AV95" s="459"/>
      <c r="AW95" s="459"/>
      <c r="AX95" s="459"/>
      <c r="AY95" s="459"/>
      <c r="AZ95" s="459"/>
      <c r="BA95" s="459"/>
      <c r="BB95" s="459"/>
      <c r="BC95" s="459"/>
      <c r="BD95" s="459"/>
      <c r="BE95" s="459"/>
      <c r="BF95" s="459"/>
      <c r="BG95" s="459"/>
      <c r="BH95" s="459"/>
      <c r="BI95" s="459"/>
      <c r="BJ95" s="459"/>
    </row>
    <row r="96" ht="15.75" customHeight="1" spans="1:62">
      <c r="A96" s="459"/>
      <c r="B96" s="459"/>
      <c r="C96" s="459"/>
      <c r="D96" s="459"/>
      <c r="E96" s="459"/>
      <c r="F96" s="459"/>
      <c r="G96" s="459"/>
      <c r="H96" s="459"/>
      <c r="I96" s="459"/>
      <c r="J96" s="459"/>
      <c r="K96" s="459"/>
      <c r="L96" s="459"/>
      <c r="M96" s="459"/>
      <c r="N96" s="459"/>
      <c r="O96" s="459"/>
      <c r="P96" s="459"/>
      <c r="Q96" s="459"/>
      <c r="R96" s="459"/>
      <c r="S96" s="459"/>
      <c r="T96" s="459"/>
      <c r="U96" s="459"/>
      <c r="V96" s="459"/>
      <c r="W96" s="459"/>
      <c r="X96" s="459"/>
      <c r="Y96" s="459"/>
      <c r="Z96" s="459"/>
      <c r="AA96" s="459"/>
      <c r="AB96" s="459"/>
      <c r="AC96" s="459"/>
      <c r="AD96" s="459"/>
      <c r="AE96" s="459"/>
      <c r="AF96" s="459"/>
      <c r="AG96" s="459"/>
      <c r="AH96" s="459"/>
      <c r="AI96" s="459"/>
      <c r="AJ96" s="459"/>
      <c r="AK96" s="459"/>
      <c r="AL96" s="459"/>
      <c r="AM96" s="459"/>
      <c r="AN96" s="459"/>
      <c r="AO96" s="459"/>
      <c r="AP96" s="459"/>
      <c r="AQ96" s="459"/>
      <c r="AR96" s="459"/>
      <c r="AS96" s="459"/>
      <c r="AT96" s="459"/>
      <c r="AU96" s="459"/>
      <c r="AV96" s="459"/>
      <c r="AW96" s="459"/>
      <c r="AX96" s="459"/>
      <c r="AY96" s="459"/>
      <c r="AZ96" s="459"/>
      <c r="BA96" s="459"/>
      <c r="BB96" s="459"/>
      <c r="BC96" s="459"/>
      <c r="BD96" s="459"/>
      <c r="BE96" s="459"/>
      <c r="BF96" s="459"/>
      <c r="BG96" s="459"/>
      <c r="BH96" s="459"/>
      <c r="BI96" s="459"/>
      <c r="BJ96" s="459"/>
    </row>
    <row r="97" ht="15.75" customHeight="1" spans="1:62">
      <c r="A97" s="459"/>
      <c r="B97" s="459"/>
      <c r="C97" s="459"/>
      <c r="D97" s="459"/>
      <c r="E97" s="459"/>
      <c r="F97" s="459"/>
      <c r="G97" s="459"/>
      <c r="H97" s="459"/>
      <c r="I97" s="459"/>
      <c r="J97" s="459"/>
      <c r="K97" s="459"/>
      <c r="L97" s="459"/>
      <c r="M97" s="459"/>
      <c r="N97" s="459"/>
      <c r="O97" s="459"/>
      <c r="P97" s="459"/>
      <c r="Q97" s="459"/>
      <c r="R97" s="459"/>
      <c r="S97" s="459"/>
      <c r="T97" s="459"/>
      <c r="U97" s="459"/>
      <c r="V97" s="459"/>
      <c r="W97" s="459"/>
      <c r="X97" s="459"/>
      <c r="Y97" s="459"/>
      <c r="Z97" s="459"/>
      <c r="AA97" s="459"/>
      <c r="AB97" s="459"/>
      <c r="AC97" s="459"/>
      <c r="AD97" s="459"/>
      <c r="AE97" s="459"/>
      <c r="AF97" s="459"/>
      <c r="AG97" s="459"/>
      <c r="AH97" s="459"/>
      <c r="AI97" s="459"/>
      <c r="AJ97" s="459"/>
      <c r="AK97" s="459"/>
      <c r="AL97" s="459"/>
      <c r="AM97" s="459"/>
      <c r="AN97" s="459"/>
      <c r="AO97" s="459"/>
      <c r="AP97" s="459"/>
      <c r="AQ97" s="459"/>
      <c r="AR97" s="459"/>
      <c r="AS97" s="459"/>
      <c r="AT97" s="459"/>
      <c r="AU97" s="459"/>
      <c r="AV97" s="459"/>
      <c r="AW97" s="459"/>
      <c r="AX97" s="459"/>
      <c r="AY97" s="459"/>
      <c r="AZ97" s="459"/>
      <c r="BA97" s="459"/>
      <c r="BB97" s="459"/>
      <c r="BC97" s="459"/>
      <c r="BD97" s="459"/>
      <c r="BE97" s="459"/>
      <c r="BF97" s="459"/>
      <c r="BG97" s="459"/>
      <c r="BH97" s="459"/>
      <c r="BI97" s="459"/>
      <c r="BJ97" s="459"/>
    </row>
    <row r="98" ht="15.75" customHeight="1" spans="1:62">
      <c r="A98" s="459"/>
      <c r="B98" s="459"/>
      <c r="C98" s="459"/>
      <c r="D98" s="459"/>
      <c r="E98" s="459"/>
      <c r="F98" s="459"/>
      <c r="G98" s="459"/>
      <c r="H98" s="459"/>
      <c r="I98" s="459"/>
      <c r="J98" s="459"/>
      <c r="K98" s="459"/>
      <c r="L98" s="459"/>
      <c r="M98" s="459"/>
      <c r="N98" s="459"/>
      <c r="O98" s="459"/>
      <c r="P98" s="459"/>
      <c r="Q98" s="459"/>
      <c r="R98" s="459"/>
      <c r="S98" s="459"/>
      <c r="T98" s="459"/>
      <c r="U98" s="459"/>
      <c r="V98" s="459"/>
      <c r="W98" s="459"/>
      <c r="X98" s="459"/>
      <c r="Y98" s="459"/>
      <c r="Z98" s="459"/>
      <c r="AA98" s="459"/>
      <c r="AB98" s="459"/>
      <c r="AC98" s="459"/>
      <c r="AD98" s="459"/>
      <c r="AE98" s="459"/>
      <c r="AF98" s="459"/>
      <c r="AG98" s="459"/>
      <c r="AH98" s="459"/>
      <c r="AI98" s="459"/>
      <c r="AJ98" s="459"/>
      <c r="AK98" s="459"/>
      <c r="AL98" s="459"/>
      <c r="AM98" s="459"/>
      <c r="AN98" s="459"/>
      <c r="AO98" s="459"/>
      <c r="AP98" s="459"/>
      <c r="AQ98" s="459"/>
      <c r="AR98" s="459"/>
      <c r="AS98" s="459"/>
      <c r="AT98" s="459"/>
      <c r="AU98" s="459"/>
      <c r="AV98" s="459"/>
      <c r="AW98" s="459"/>
      <c r="AX98" s="459"/>
      <c r="AY98" s="459"/>
      <c r="AZ98" s="459"/>
      <c r="BA98" s="459"/>
      <c r="BB98" s="459"/>
      <c r="BC98" s="459"/>
      <c r="BD98" s="459"/>
      <c r="BE98" s="459"/>
      <c r="BF98" s="459"/>
      <c r="BG98" s="459"/>
      <c r="BH98" s="459"/>
      <c r="BI98" s="459"/>
      <c r="BJ98" s="459"/>
    </row>
    <row r="99" ht="15.75" customHeight="1" spans="1:62">
      <c r="A99" s="459"/>
      <c r="B99" s="459"/>
      <c r="C99" s="459"/>
      <c r="D99" s="459"/>
      <c r="E99" s="459"/>
      <c r="F99" s="459"/>
      <c r="G99" s="459"/>
      <c r="H99" s="459"/>
      <c r="I99" s="459"/>
      <c r="J99" s="459"/>
      <c r="K99" s="459"/>
      <c r="L99" s="459"/>
      <c r="M99" s="459"/>
      <c r="N99" s="459"/>
      <c r="O99" s="459"/>
      <c r="P99" s="459"/>
      <c r="Q99" s="459"/>
      <c r="R99" s="459"/>
      <c r="S99" s="459"/>
      <c r="T99" s="459"/>
      <c r="U99" s="459"/>
      <c r="V99" s="459"/>
      <c r="W99" s="459"/>
      <c r="X99" s="459"/>
      <c r="Y99" s="459"/>
      <c r="Z99" s="459"/>
      <c r="AA99" s="459"/>
      <c r="AB99" s="459"/>
      <c r="AC99" s="459"/>
      <c r="AD99" s="459"/>
      <c r="AE99" s="459"/>
      <c r="AF99" s="459"/>
      <c r="AG99" s="459"/>
      <c r="AH99" s="459"/>
      <c r="AI99" s="459"/>
      <c r="AJ99" s="459"/>
      <c r="AK99" s="459"/>
      <c r="AL99" s="459"/>
      <c r="AM99" s="459"/>
      <c r="AN99" s="459"/>
      <c r="AO99" s="459"/>
      <c r="AP99" s="459"/>
      <c r="AQ99" s="459"/>
      <c r="AR99" s="459"/>
      <c r="AS99" s="459"/>
      <c r="AT99" s="459"/>
      <c r="AU99" s="459"/>
      <c r="AV99" s="459"/>
      <c r="AW99" s="459"/>
      <c r="AX99" s="459"/>
      <c r="AY99" s="459"/>
      <c r="AZ99" s="459"/>
      <c r="BA99" s="459"/>
      <c r="BB99" s="459"/>
      <c r="BC99" s="459"/>
      <c r="BD99" s="459"/>
      <c r="BE99" s="459"/>
      <c r="BF99" s="459"/>
      <c r="BG99" s="459"/>
      <c r="BH99" s="459"/>
      <c r="BI99" s="459"/>
      <c r="BJ99" s="459"/>
    </row>
    <row r="100" ht="15.75" customHeight="1" spans="1:62">
      <c r="A100" s="459"/>
      <c r="B100" s="459"/>
      <c r="C100" s="459"/>
      <c r="D100" s="459"/>
      <c r="E100" s="459"/>
      <c r="F100" s="459"/>
      <c r="G100" s="459"/>
      <c r="H100" s="459"/>
      <c r="I100" s="459"/>
      <c r="J100" s="459"/>
      <c r="K100" s="459"/>
      <c r="L100" s="459"/>
      <c r="M100" s="459"/>
      <c r="N100" s="459"/>
      <c r="O100" s="459"/>
      <c r="P100" s="459"/>
      <c r="Q100" s="459"/>
      <c r="R100" s="459"/>
      <c r="S100" s="459"/>
      <c r="T100" s="459"/>
      <c r="U100" s="459"/>
      <c r="V100" s="459"/>
      <c r="W100" s="459"/>
      <c r="X100" s="459"/>
      <c r="Y100" s="459"/>
      <c r="Z100" s="459"/>
      <c r="AA100" s="459"/>
      <c r="AB100" s="459"/>
      <c r="AC100" s="459"/>
      <c r="AD100" s="459"/>
      <c r="AE100" s="459"/>
      <c r="AF100" s="459"/>
      <c r="AG100" s="459"/>
      <c r="AH100" s="459"/>
      <c r="AI100" s="459"/>
      <c r="AJ100" s="459"/>
      <c r="AK100" s="459"/>
      <c r="AL100" s="459"/>
      <c r="AM100" s="459"/>
      <c r="AN100" s="459"/>
      <c r="AO100" s="459"/>
      <c r="AP100" s="459"/>
      <c r="AQ100" s="459"/>
      <c r="AR100" s="459"/>
      <c r="AS100" s="459"/>
      <c r="AT100" s="459"/>
      <c r="AU100" s="459"/>
      <c r="AV100" s="459"/>
      <c r="AW100" s="459"/>
      <c r="AX100" s="459"/>
      <c r="AY100" s="459"/>
      <c r="AZ100" s="459"/>
      <c r="BA100" s="459"/>
      <c r="BB100" s="459"/>
      <c r="BC100" s="459"/>
      <c r="BD100" s="459"/>
      <c r="BE100" s="459"/>
      <c r="BF100" s="459"/>
      <c r="BG100" s="459"/>
      <c r="BH100" s="459"/>
      <c r="BI100" s="459"/>
      <c r="BJ100" s="459"/>
    </row>
    <row r="101" ht="15.75" customHeight="1" spans="1:62">
      <c r="A101" s="459"/>
      <c r="B101" s="459"/>
      <c r="C101" s="459"/>
      <c r="D101" s="459"/>
      <c r="E101" s="459"/>
      <c r="F101" s="459"/>
      <c r="G101" s="459"/>
      <c r="H101" s="459"/>
      <c r="I101" s="459"/>
      <c r="J101" s="459"/>
      <c r="K101" s="459"/>
      <c r="L101" s="459"/>
      <c r="M101" s="459"/>
      <c r="N101" s="459"/>
      <c r="O101" s="459"/>
      <c r="P101" s="459"/>
      <c r="Q101" s="459"/>
      <c r="R101" s="459"/>
      <c r="S101" s="459"/>
      <c r="T101" s="459"/>
      <c r="U101" s="459"/>
      <c r="V101" s="459"/>
      <c r="W101" s="459"/>
      <c r="X101" s="459"/>
      <c r="Y101" s="459"/>
      <c r="Z101" s="459"/>
      <c r="AA101" s="459"/>
      <c r="AB101" s="459"/>
      <c r="AC101" s="459"/>
      <c r="AD101" s="459"/>
      <c r="AE101" s="459"/>
      <c r="AF101" s="459"/>
      <c r="AG101" s="459"/>
      <c r="AH101" s="459"/>
      <c r="AI101" s="459"/>
      <c r="AJ101" s="459"/>
      <c r="AK101" s="459"/>
      <c r="AL101" s="459"/>
      <c r="AM101" s="459"/>
      <c r="AN101" s="459"/>
      <c r="AO101" s="459"/>
      <c r="AP101" s="459"/>
      <c r="AQ101" s="459"/>
      <c r="AR101" s="459"/>
      <c r="AS101" s="459"/>
      <c r="AT101" s="459"/>
      <c r="AU101" s="459"/>
      <c r="AV101" s="459"/>
      <c r="AW101" s="459"/>
      <c r="AX101" s="459"/>
      <c r="AY101" s="459"/>
      <c r="AZ101" s="459"/>
      <c r="BA101" s="459"/>
      <c r="BB101" s="459"/>
      <c r="BC101" s="459"/>
      <c r="BD101" s="459"/>
      <c r="BE101" s="459"/>
      <c r="BF101" s="459"/>
      <c r="BG101" s="459"/>
      <c r="BH101" s="459"/>
      <c r="BI101" s="459"/>
      <c r="BJ101" s="459"/>
    </row>
    <row r="102" ht="15.75" customHeight="1" spans="1:62">
      <c r="A102" s="459"/>
      <c r="B102" s="459"/>
      <c r="C102" s="459"/>
      <c r="D102" s="459"/>
      <c r="E102" s="459"/>
      <c r="F102" s="459"/>
      <c r="G102" s="459"/>
      <c r="H102" s="459"/>
      <c r="I102" s="459"/>
      <c r="J102" s="459"/>
      <c r="K102" s="459"/>
      <c r="L102" s="459"/>
      <c r="M102" s="459"/>
      <c r="N102" s="459"/>
      <c r="O102" s="459"/>
      <c r="P102" s="459"/>
      <c r="Q102" s="459"/>
      <c r="R102" s="459"/>
      <c r="S102" s="459"/>
      <c r="T102" s="459"/>
      <c r="U102" s="459"/>
      <c r="V102" s="459"/>
      <c r="W102" s="459"/>
      <c r="X102" s="459"/>
      <c r="Y102" s="459"/>
      <c r="Z102" s="459"/>
      <c r="AA102" s="459"/>
      <c r="AB102" s="459"/>
      <c r="AC102" s="459"/>
      <c r="AD102" s="459"/>
      <c r="AE102" s="459"/>
      <c r="AF102" s="459"/>
      <c r="AG102" s="459"/>
      <c r="AH102" s="459"/>
      <c r="AI102" s="459"/>
      <c r="AJ102" s="459"/>
      <c r="AK102" s="459"/>
      <c r="AL102" s="459"/>
      <c r="AM102" s="459"/>
      <c r="AN102" s="459"/>
      <c r="AO102" s="459"/>
      <c r="AP102" s="459"/>
      <c r="AQ102" s="459"/>
      <c r="AR102" s="459"/>
      <c r="AS102" s="459"/>
      <c r="AT102" s="459"/>
      <c r="AU102" s="459"/>
      <c r="AV102" s="459"/>
      <c r="AW102" s="459"/>
      <c r="AX102" s="459"/>
      <c r="AY102" s="459"/>
      <c r="AZ102" s="459"/>
      <c r="BA102" s="459"/>
      <c r="BB102" s="459"/>
      <c r="BC102" s="459"/>
      <c r="BD102" s="459"/>
      <c r="BE102" s="459"/>
      <c r="BF102" s="459"/>
      <c r="BG102" s="459"/>
      <c r="BH102" s="459"/>
      <c r="BI102" s="459"/>
      <c r="BJ102" s="459"/>
    </row>
    <row r="103" ht="15.75" customHeight="1" spans="1:62">
      <c r="A103" s="459"/>
      <c r="B103" s="459"/>
      <c r="C103" s="459"/>
      <c r="D103" s="459"/>
      <c r="E103" s="459"/>
      <c r="F103" s="459"/>
      <c r="G103" s="459"/>
      <c r="H103" s="459"/>
      <c r="I103" s="459"/>
      <c r="J103" s="459"/>
      <c r="K103" s="459"/>
      <c r="L103" s="459"/>
      <c r="M103" s="459"/>
      <c r="N103" s="459"/>
      <c r="O103" s="459"/>
      <c r="P103" s="459"/>
      <c r="Q103" s="459"/>
      <c r="R103" s="459"/>
      <c r="S103" s="459"/>
      <c r="T103" s="459"/>
      <c r="U103" s="459"/>
      <c r="V103" s="459"/>
      <c r="W103" s="459"/>
      <c r="X103" s="459"/>
      <c r="Y103" s="459"/>
      <c r="Z103" s="459"/>
      <c r="AA103" s="459"/>
      <c r="AB103" s="459"/>
      <c r="AC103" s="459"/>
      <c r="AD103" s="459"/>
      <c r="AE103" s="459"/>
      <c r="AF103" s="459"/>
      <c r="AG103" s="459"/>
      <c r="AH103" s="459"/>
      <c r="AI103" s="459"/>
      <c r="AJ103" s="459"/>
      <c r="AK103" s="459"/>
      <c r="AL103" s="459"/>
      <c r="AM103" s="459"/>
      <c r="AN103" s="459"/>
      <c r="AO103" s="459"/>
      <c r="AP103" s="459"/>
      <c r="AQ103" s="459"/>
      <c r="AR103" s="459"/>
      <c r="AS103" s="459"/>
      <c r="AT103" s="459"/>
      <c r="AU103" s="459"/>
      <c r="AV103" s="459"/>
      <c r="AW103" s="459"/>
      <c r="AX103" s="459"/>
      <c r="AY103" s="459"/>
      <c r="AZ103" s="459"/>
      <c r="BA103" s="459"/>
      <c r="BB103" s="459"/>
      <c r="BC103" s="459"/>
      <c r="BD103" s="459"/>
      <c r="BE103" s="459"/>
      <c r="BF103" s="459"/>
      <c r="BG103" s="459"/>
      <c r="BH103" s="459"/>
      <c r="BI103" s="459"/>
      <c r="BJ103" s="459"/>
    </row>
    <row r="104" ht="15.75" customHeight="1" spans="1:62">
      <c r="A104" s="459"/>
      <c r="B104" s="459"/>
      <c r="C104" s="459"/>
      <c r="D104" s="459"/>
      <c r="E104" s="459"/>
      <c r="F104" s="459"/>
      <c r="G104" s="459"/>
      <c r="H104" s="459"/>
      <c r="I104" s="459"/>
      <c r="J104" s="459"/>
      <c r="K104" s="459"/>
      <c r="L104" s="459"/>
      <c r="M104" s="459"/>
      <c r="N104" s="459"/>
      <c r="O104" s="459"/>
      <c r="P104" s="459"/>
      <c r="Q104" s="459"/>
      <c r="R104" s="459"/>
      <c r="S104" s="459"/>
      <c r="T104" s="459"/>
      <c r="U104" s="459"/>
      <c r="V104" s="459"/>
      <c r="W104" s="459"/>
      <c r="X104" s="459"/>
      <c r="Y104" s="459"/>
      <c r="Z104" s="459"/>
      <c r="AA104" s="459"/>
      <c r="AB104" s="459"/>
      <c r="AC104" s="459"/>
      <c r="AD104" s="459"/>
      <c r="AE104" s="459"/>
      <c r="AF104" s="459"/>
      <c r="AG104" s="459"/>
      <c r="AH104" s="459"/>
      <c r="AI104" s="459"/>
      <c r="AJ104" s="459"/>
      <c r="AK104" s="459"/>
      <c r="AL104" s="459"/>
      <c r="AM104" s="459"/>
      <c r="AN104" s="459"/>
      <c r="AO104" s="459"/>
      <c r="AP104" s="459"/>
      <c r="AQ104" s="459"/>
      <c r="AR104" s="459"/>
      <c r="AS104" s="459"/>
      <c r="AT104" s="459"/>
      <c r="AU104" s="459"/>
      <c r="AV104" s="459"/>
      <c r="AW104" s="459"/>
      <c r="AX104" s="459"/>
      <c r="AY104" s="459"/>
      <c r="AZ104" s="459"/>
      <c r="BA104" s="459"/>
      <c r="BB104" s="459"/>
      <c r="BC104" s="459"/>
      <c r="BD104" s="459"/>
      <c r="BE104" s="459"/>
      <c r="BF104" s="459"/>
      <c r="BG104" s="459"/>
      <c r="BH104" s="459"/>
      <c r="BI104" s="459"/>
      <c r="BJ104" s="459"/>
    </row>
    <row r="105" ht="15.75" customHeight="1" spans="1:62">
      <c r="A105" s="459"/>
      <c r="B105" s="459"/>
      <c r="C105" s="459"/>
      <c r="D105" s="459"/>
      <c r="E105" s="459"/>
      <c r="F105" s="459"/>
      <c r="G105" s="459"/>
      <c r="H105" s="459"/>
      <c r="I105" s="459"/>
      <c r="J105" s="459"/>
      <c r="K105" s="459"/>
      <c r="L105" s="459"/>
      <c r="M105" s="459"/>
      <c r="N105" s="459"/>
      <c r="O105" s="459"/>
      <c r="P105" s="459"/>
      <c r="Q105" s="459"/>
      <c r="R105" s="459"/>
      <c r="S105" s="459"/>
      <c r="T105" s="459"/>
      <c r="U105" s="459"/>
      <c r="V105" s="459"/>
      <c r="W105" s="459"/>
      <c r="X105" s="459"/>
      <c r="Y105" s="459"/>
      <c r="Z105" s="459"/>
      <c r="AA105" s="459"/>
      <c r="AB105" s="459"/>
      <c r="AC105" s="459"/>
      <c r="AD105" s="459"/>
      <c r="AE105" s="459"/>
      <c r="AF105" s="459"/>
      <c r="AG105" s="459"/>
      <c r="AH105" s="459"/>
      <c r="AI105" s="459"/>
      <c r="AJ105" s="459"/>
      <c r="AK105" s="459"/>
      <c r="AL105" s="459"/>
      <c r="AM105" s="459"/>
      <c r="AN105" s="459"/>
      <c r="AO105" s="459"/>
      <c r="AP105" s="459"/>
      <c r="AQ105" s="459"/>
      <c r="AR105" s="459"/>
      <c r="AS105" s="459"/>
      <c r="AT105" s="459"/>
      <c r="AU105" s="459"/>
      <c r="AV105" s="459"/>
      <c r="AW105" s="459"/>
      <c r="AX105" s="459"/>
      <c r="AY105" s="459"/>
      <c r="AZ105" s="459"/>
      <c r="BA105" s="459"/>
      <c r="BB105" s="459"/>
      <c r="BC105" s="459"/>
      <c r="BD105" s="459"/>
      <c r="BE105" s="459"/>
      <c r="BF105" s="459"/>
      <c r="BG105" s="459"/>
      <c r="BH105" s="459"/>
      <c r="BI105" s="459"/>
      <c r="BJ105" s="459"/>
    </row>
    <row r="106" ht="15.75" customHeight="1" spans="1:62">
      <c r="A106" s="459"/>
      <c r="B106" s="459"/>
      <c r="C106" s="459"/>
      <c r="D106" s="459"/>
      <c r="E106" s="459"/>
      <c r="F106" s="459"/>
      <c r="G106" s="459"/>
      <c r="H106" s="459"/>
      <c r="I106" s="459"/>
      <c r="J106" s="459"/>
      <c r="K106" s="459"/>
      <c r="L106" s="459"/>
      <c r="M106" s="459"/>
      <c r="N106" s="459"/>
      <c r="O106" s="459"/>
      <c r="P106" s="459"/>
      <c r="Q106" s="459"/>
      <c r="R106" s="459"/>
      <c r="S106" s="459"/>
      <c r="T106" s="459"/>
      <c r="U106" s="459"/>
      <c r="V106" s="459"/>
      <c r="W106" s="459"/>
      <c r="X106" s="459"/>
      <c r="Y106" s="459"/>
      <c r="Z106" s="459"/>
      <c r="AA106" s="459"/>
      <c r="AB106" s="459"/>
      <c r="AC106" s="459"/>
      <c r="AD106" s="459"/>
      <c r="AE106" s="459"/>
      <c r="AF106" s="459"/>
      <c r="AG106" s="459"/>
      <c r="AH106" s="459"/>
      <c r="AI106" s="459"/>
      <c r="AJ106" s="459"/>
      <c r="AK106" s="459"/>
      <c r="AL106" s="459"/>
      <c r="AM106" s="459"/>
      <c r="AN106" s="459"/>
      <c r="AO106" s="459"/>
      <c r="AP106" s="459"/>
      <c r="AQ106" s="459"/>
      <c r="AR106" s="459"/>
      <c r="AS106" s="459"/>
      <c r="AT106" s="459"/>
      <c r="AU106" s="459"/>
      <c r="AV106" s="459"/>
      <c r="AW106" s="459"/>
      <c r="AX106" s="459"/>
      <c r="AY106" s="459"/>
      <c r="AZ106" s="459"/>
      <c r="BA106" s="459"/>
      <c r="BB106" s="459"/>
      <c r="BC106" s="459"/>
      <c r="BD106" s="459"/>
      <c r="BE106" s="459"/>
      <c r="BF106" s="459"/>
      <c r="BG106" s="459"/>
      <c r="BH106" s="459"/>
      <c r="BI106" s="459"/>
      <c r="BJ106" s="459"/>
    </row>
    <row r="107" ht="15.75" customHeight="1" spans="1:62">
      <c r="A107" s="459"/>
      <c r="B107" s="459"/>
      <c r="C107" s="459"/>
      <c r="D107" s="459"/>
      <c r="E107" s="459"/>
      <c r="F107" s="459"/>
      <c r="G107" s="459"/>
      <c r="H107" s="459"/>
      <c r="I107" s="459"/>
      <c r="J107" s="459"/>
      <c r="K107" s="459"/>
      <c r="L107" s="459"/>
      <c r="M107" s="459"/>
      <c r="N107" s="459"/>
      <c r="O107" s="459"/>
      <c r="P107" s="459"/>
      <c r="Q107" s="459"/>
      <c r="R107" s="459"/>
      <c r="S107" s="459"/>
      <c r="T107" s="459"/>
      <c r="U107" s="459"/>
      <c r="V107" s="459"/>
      <c r="W107" s="459"/>
      <c r="X107" s="459"/>
      <c r="Y107" s="459"/>
      <c r="Z107" s="459"/>
      <c r="AA107" s="459"/>
      <c r="AB107" s="459"/>
      <c r="AC107" s="459"/>
      <c r="AD107" s="459"/>
      <c r="AE107" s="459"/>
      <c r="AF107" s="459"/>
      <c r="AG107" s="459"/>
      <c r="AH107" s="459"/>
      <c r="AI107" s="459"/>
      <c r="AJ107" s="459"/>
      <c r="AK107" s="459"/>
      <c r="AL107" s="459"/>
      <c r="AM107" s="459"/>
      <c r="AN107" s="459"/>
      <c r="AO107" s="459"/>
      <c r="AP107" s="459"/>
      <c r="AQ107" s="459"/>
      <c r="AR107" s="459"/>
      <c r="AS107" s="459"/>
      <c r="AT107" s="459"/>
      <c r="AU107" s="459"/>
      <c r="AV107" s="459"/>
      <c r="AW107" s="459"/>
      <c r="AX107" s="459"/>
      <c r="AY107" s="459"/>
      <c r="AZ107" s="459"/>
      <c r="BA107" s="459"/>
      <c r="BB107" s="459"/>
      <c r="BC107" s="459"/>
      <c r="BD107" s="459"/>
      <c r="BE107" s="459"/>
      <c r="BF107" s="459"/>
      <c r="BG107" s="459"/>
      <c r="BH107" s="459"/>
      <c r="BI107" s="459"/>
      <c r="BJ107" s="459"/>
    </row>
    <row r="108" ht="15.75" customHeight="1" spans="1:62">
      <c r="A108" s="459"/>
      <c r="B108" s="459"/>
      <c r="C108" s="459"/>
      <c r="D108" s="459"/>
      <c r="E108" s="459"/>
      <c r="F108" s="459"/>
      <c r="G108" s="459"/>
      <c r="H108" s="459"/>
      <c r="I108" s="459"/>
      <c r="J108" s="459"/>
      <c r="K108" s="459"/>
      <c r="L108" s="459"/>
      <c r="M108" s="459"/>
      <c r="N108" s="459"/>
      <c r="O108" s="459"/>
      <c r="P108" s="459"/>
      <c r="Q108" s="459"/>
      <c r="R108" s="459"/>
      <c r="S108" s="459"/>
      <c r="T108" s="459"/>
      <c r="U108" s="459"/>
      <c r="V108" s="459"/>
      <c r="W108" s="459"/>
      <c r="X108" s="459"/>
      <c r="Y108" s="459"/>
      <c r="Z108" s="459"/>
      <c r="AA108" s="459"/>
      <c r="AB108" s="459"/>
      <c r="AC108" s="459"/>
      <c r="AD108" s="459"/>
      <c r="AE108" s="459"/>
      <c r="AF108" s="459"/>
      <c r="AG108" s="459"/>
      <c r="AH108" s="459"/>
      <c r="AI108" s="459"/>
      <c r="AJ108" s="459"/>
      <c r="AK108" s="459"/>
      <c r="AL108" s="459"/>
      <c r="AM108" s="459"/>
      <c r="AN108" s="459"/>
      <c r="AO108" s="459"/>
      <c r="AP108" s="459"/>
      <c r="AQ108" s="459"/>
      <c r="AR108" s="459"/>
      <c r="AS108" s="459"/>
      <c r="AT108" s="459"/>
      <c r="AU108" s="459"/>
      <c r="AV108" s="459"/>
      <c r="AW108" s="459"/>
      <c r="AX108" s="459"/>
      <c r="AY108" s="459"/>
      <c r="AZ108" s="459"/>
      <c r="BA108" s="459"/>
      <c r="BB108" s="459"/>
      <c r="BC108" s="459"/>
      <c r="BD108" s="459"/>
      <c r="BE108" s="459"/>
      <c r="BF108" s="459"/>
      <c r="BG108" s="459"/>
      <c r="BH108" s="459"/>
      <c r="BI108" s="459"/>
      <c r="BJ108" s="459"/>
    </row>
    <row r="109" ht="15.75" customHeight="1" spans="1:62">
      <c r="A109" s="459"/>
      <c r="B109" s="459"/>
      <c r="C109" s="459"/>
      <c r="D109" s="459"/>
      <c r="E109" s="459"/>
      <c r="F109" s="459"/>
      <c r="G109" s="459"/>
      <c r="H109" s="459"/>
      <c r="I109" s="459"/>
      <c r="J109" s="459"/>
      <c r="K109" s="459"/>
      <c r="L109" s="459"/>
      <c r="M109" s="459"/>
      <c r="N109" s="459"/>
      <c r="O109" s="459"/>
      <c r="P109" s="459"/>
      <c r="Q109" s="459"/>
      <c r="R109" s="459"/>
      <c r="S109" s="459"/>
      <c r="T109" s="459"/>
      <c r="U109" s="459"/>
      <c r="V109" s="459"/>
      <c r="W109" s="459"/>
      <c r="X109" s="459"/>
      <c r="Y109" s="459"/>
      <c r="Z109" s="459"/>
      <c r="AA109" s="459"/>
      <c r="AB109" s="459"/>
      <c r="AC109" s="459"/>
      <c r="AD109" s="459"/>
      <c r="AE109" s="459"/>
      <c r="AF109" s="459"/>
      <c r="AG109" s="459"/>
      <c r="AH109" s="459"/>
      <c r="AI109" s="459"/>
      <c r="AJ109" s="459"/>
      <c r="AK109" s="459"/>
      <c r="AL109" s="459"/>
      <c r="AM109" s="459"/>
      <c r="AN109" s="459"/>
      <c r="AO109" s="459"/>
      <c r="AP109" s="459"/>
      <c r="AQ109" s="459"/>
      <c r="AR109" s="459"/>
      <c r="AS109" s="459"/>
      <c r="AT109" s="459"/>
      <c r="AU109" s="459"/>
      <c r="AV109" s="459"/>
      <c r="AW109" s="459"/>
      <c r="AX109" s="459"/>
      <c r="AY109" s="459"/>
      <c r="AZ109" s="459"/>
      <c r="BA109" s="459"/>
      <c r="BB109" s="459"/>
      <c r="BC109" s="459"/>
      <c r="BD109" s="459"/>
      <c r="BE109" s="459"/>
      <c r="BF109" s="459"/>
      <c r="BG109" s="459"/>
      <c r="BH109" s="459"/>
      <c r="BI109" s="459"/>
      <c r="BJ109" s="459"/>
    </row>
    <row r="110" ht="15.75" customHeight="1" spans="1:62">
      <c r="A110" s="459"/>
      <c r="B110" s="459"/>
      <c r="C110" s="459"/>
      <c r="D110" s="459"/>
      <c r="E110" s="459"/>
      <c r="F110" s="459"/>
      <c r="G110" s="459"/>
      <c r="H110" s="459"/>
      <c r="I110" s="459"/>
      <c r="J110" s="459"/>
      <c r="K110" s="459"/>
      <c r="L110" s="459"/>
      <c r="M110" s="459"/>
      <c r="N110" s="459"/>
      <c r="O110" s="459"/>
      <c r="P110" s="459"/>
      <c r="Q110" s="459"/>
      <c r="R110" s="459"/>
      <c r="S110" s="459"/>
      <c r="T110" s="459"/>
      <c r="U110" s="459"/>
      <c r="V110" s="459"/>
      <c r="W110" s="459"/>
      <c r="X110" s="459"/>
      <c r="Y110" s="459"/>
      <c r="Z110" s="459"/>
      <c r="AA110" s="459"/>
      <c r="AB110" s="459"/>
      <c r="AC110" s="459"/>
      <c r="AD110" s="459"/>
      <c r="AE110" s="459"/>
      <c r="AF110" s="459"/>
      <c r="AG110" s="459"/>
      <c r="AH110" s="459"/>
      <c r="AI110" s="459"/>
      <c r="AJ110" s="459"/>
      <c r="AK110" s="459"/>
      <c r="AL110" s="459"/>
      <c r="AM110" s="459"/>
      <c r="AN110" s="459"/>
      <c r="AO110" s="459"/>
      <c r="AP110" s="459"/>
      <c r="AQ110" s="459"/>
      <c r="AR110" s="459"/>
      <c r="AS110" s="459"/>
      <c r="AT110" s="459"/>
      <c r="AU110" s="459"/>
      <c r="AV110" s="459"/>
      <c r="AW110" s="459"/>
      <c r="AX110" s="459"/>
      <c r="AY110" s="459"/>
      <c r="AZ110" s="459"/>
      <c r="BA110" s="459"/>
      <c r="BB110" s="459"/>
      <c r="BC110" s="459"/>
      <c r="BD110" s="459"/>
      <c r="BE110" s="459"/>
      <c r="BF110" s="459"/>
      <c r="BG110" s="459"/>
      <c r="BH110" s="459"/>
      <c r="BI110" s="459"/>
      <c r="BJ110" s="459"/>
    </row>
    <row r="111" ht="15.75" customHeight="1" spans="1:62">
      <c r="A111" s="459"/>
      <c r="B111" s="459"/>
      <c r="C111" s="459"/>
      <c r="D111" s="459"/>
      <c r="E111" s="459"/>
      <c r="F111" s="459"/>
      <c r="G111" s="459"/>
      <c r="H111" s="459"/>
      <c r="I111" s="459"/>
      <c r="J111" s="459"/>
      <c r="K111" s="459"/>
      <c r="L111" s="459"/>
      <c r="M111" s="459"/>
      <c r="N111" s="459"/>
      <c r="O111" s="459"/>
      <c r="P111" s="459"/>
      <c r="Q111" s="459"/>
      <c r="R111" s="459"/>
      <c r="S111" s="459"/>
      <c r="T111" s="459"/>
      <c r="U111" s="459"/>
      <c r="V111" s="459"/>
      <c r="W111" s="459"/>
      <c r="X111" s="459"/>
      <c r="Y111" s="459"/>
      <c r="Z111" s="459"/>
      <c r="AA111" s="459"/>
      <c r="AB111" s="459"/>
      <c r="AC111" s="459"/>
      <c r="AD111" s="459"/>
      <c r="AE111" s="459"/>
      <c r="AF111" s="459"/>
      <c r="AG111" s="459"/>
      <c r="AH111" s="459"/>
      <c r="AI111" s="459"/>
      <c r="AJ111" s="459"/>
      <c r="AK111" s="459"/>
      <c r="AL111" s="459"/>
      <c r="AM111" s="459"/>
      <c r="AN111" s="459"/>
      <c r="AO111" s="459"/>
      <c r="AP111" s="459"/>
      <c r="AQ111" s="459"/>
      <c r="AR111" s="459"/>
      <c r="AS111" s="459"/>
      <c r="AT111" s="459"/>
      <c r="AU111" s="459"/>
      <c r="AV111" s="459"/>
      <c r="AW111" s="459"/>
      <c r="AX111" s="459"/>
      <c r="AY111" s="459"/>
      <c r="AZ111" s="459"/>
      <c r="BA111" s="459"/>
      <c r="BB111" s="459"/>
      <c r="BC111" s="459"/>
      <c r="BD111" s="459"/>
      <c r="BE111" s="459"/>
      <c r="BF111" s="459"/>
      <c r="BG111" s="459"/>
      <c r="BH111" s="459"/>
      <c r="BI111" s="459"/>
      <c r="BJ111" s="459"/>
    </row>
    <row r="112" ht="15.75" customHeight="1" spans="1:62">
      <c r="A112" s="459"/>
      <c r="B112" s="459"/>
      <c r="C112" s="459"/>
      <c r="D112" s="459"/>
      <c r="E112" s="459"/>
      <c r="F112" s="459"/>
      <c r="G112" s="459"/>
      <c r="H112" s="459"/>
      <c r="I112" s="459"/>
      <c r="J112" s="459"/>
      <c r="K112" s="459"/>
      <c r="L112" s="459"/>
      <c r="M112" s="459"/>
      <c r="N112" s="459"/>
      <c r="O112" s="459"/>
      <c r="P112" s="459"/>
      <c r="Q112" s="459"/>
      <c r="R112" s="459"/>
      <c r="S112" s="459"/>
      <c r="T112" s="459"/>
      <c r="U112" s="459"/>
      <c r="V112" s="459"/>
      <c r="W112" s="459"/>
      <c r="X112" s="459"/>
      <c r="Y112" s="459"/>
      <c r="Z112" s="459"/>
      <c r="AA112" s="459"/>
      <c r="AB112" s="459"/>
      <c r="AC112" s="459"/>
      <c r="AD112" s="459"/>
      <c r="AE112" s="459"/>
      <c r="AF112" s="459"/>
      <c r="AG112" s="459"/>
      <c r="AH112" s="459"/>
      <c r="AI112" s="459"/>
      <c r="AJ112" s="459"/>
      <c r="AK112" s="459"/>
      <c r="AL112" s="459"/>
      <c r="AM112" s="459"/>
      <c r="AN112" s="459"/>
      <c r="AO112" s="459"/>
      <c r="AP112" s="459"/>
      <c r="AQ112" s="459"/>
      <c r="AR112" s="459"/>
      <c r="AS112" s="459"/>
      <c r="AT112" s="459"/>
      <c r="AU112" s="459"/>
      <c r="AV112" s="459"/>
      <c r="AW112" s="459"/>
      <c r="AX112" s="459"/>
      <c r="AY112" s="459"/>
      <c r="AZ112" s="459"/>
      <c r="BA112" s="459"/>
      <c r="BB112" s="459"/>
      <c r="BC112" s="459"/>
      <c r="BD112" s="459"/>
      <c r="BE112" s="459"/>
      <c r="BF112" s="459"/>
      <c r="BG112" s="459"/>
      <c r="BH112" s="459"/>
      <c r="BI112" s="459"/>
      <c r="BJ112" s="459"/>
    </row>
    <row r="113" ht="15.75" customHeight="1" spans="1:62">
      <c r="A113" s="459"/>
      <c r="B113" s="459"/>
      <c r="C113" s="459"/>
      <c r="D113" s="459"/>
      <c r="E113" s="459"/>
      <c r="F113" s="459"/>
      <c r="G113" s="459"/>
      <c r="H113" s="459"/>
      <c r="I113" s="459"/>
      <c r="J113" s="459"/>
      <c r="K113" s="459"/>
      <c r="L113" s="459"/>
      <c r="M113" s="459"/>
      <c r="N113" s="459"/>
      <c r="O113" s="459"/>
      <c r="P113" s="459"/>
      <c r="Q113" s="459"/>
      <c r="R113" s="459"/>
      <c r="S113" s="459"/>
      <c r="T113" s="459"/>
      <c r="U113" s="459"/>
      <c r="V113" s="459"/>
      <c r="W113" s="459"/>
      <c r="X113" s="459"/>
      <c r="Y113" s="459"/>
      <c r="Z113" s="459"/>
      <c r="AA113" s="459"/>
      <c r="AB113" s="459"/>
      <c r="AC113" s="459"/>
      <c r="AD113" s="459"/>
      <c r="AE113" s="459"/>
      <c r="AF113" s="459"/>
      <c r="AG113" s="459"/>
      <c r="AH113" s="459"/>
      <c r="AI113" s="459"/>
      <c r="AJ113" s="459"/>
      <c r="AK113" s="459"/>
      <c r="AL113" s="459"/>
      <c r="AM113" s="459"/>
      <c r="AN113" s="459"/>
      <c r="AO113" s="459"/>
      <c r="AP113" s="459"/>
      <c r="AQ113" s="459"/>
      <c r="AR113" s="459"/>
      <c r="AS113" s="459"/>
      <c r="AT113" s="459"/>
      <c r="AU113" s="459"/>
      <c r="AV113" s="459"/>
      <c r="AW113" s="459"/>
      <c r="AX113" s="459"/>
      <c r="AY113" s="459"/>
      <c r="AZ113" s="459"/>
      <c r="BA113" s="459"/>
      <c r="BB113" s="459"/>
      <c r="BC113" s="459"/>
      <c r="BD113" s="459"/>
      <c r="BE113" s="459"/>
      <c r="BF113" s="459"/>
      <c r="BG113" s="459"/>
      <c r="BH113" s="459"/>
      <c r="BI113" s="459"/>
      <c r="BJ113" s="459"/>
    </row>
    <row r="114" ht="15.75" customHeight="1" spans="1:62">
      <c r="A114" s="459"/>
      <c r="B114" s="459"/>
      <c r="C114" s="459"/>
      <c r="D114" s="459"/>
      <c r="E114" s="459"/>
      <c r="F114" s="459"/>
      <c r="G114" s="459"/>
      <c r="H114" s="459"/>
      <c r="I114" s="459"/>
      <c r="J114" s="459"/>
      <c r="K114" s="459"/>
      <c r="L114" s="459"/>
      <c r="M114" s="459"/>
      <c r="N114" s="459"/>
      <c r="O114" s="459"/>
      <c r="P114" s="459"/>
      <c r="Q114" s="459"/>
      <c r="R114" s="459"/>
      <c r="S114" s="459"/>
      <c r="T114" s="459"/>
      <c r="U114" s="459"/>
      <c r="V114" s="459"/>
      <c r="W114" s="459"/>
      <c r="X114" s="459"/>
      <c r="Y114" s="459"/>
      <c r="Z114" s="459"/>
      <c r="AA114" s="459"/>
      <c r="AB114" s="459"/>
      <c r="AC114" s="459"/>
      <c r="AD114" s="459"/>
      <c r="AE114" s="459"/>
      <c r="AF114" s="459"/>
      <c r="AG114" s="459"/>
      <c r="AH114" s="459"/>
      <c r="AI114" s="459"/>
      <c r="AJ114" s="459"/>
      <c r="AK114" s="459"/>
      <c r="AL114" s="459"/>
      <c r="AM114" s="459"/>
      <c r="AN114" s="459"/>
      <c r="AO114" s="459"/>
      <c r="AP114" s="459"/>
      <c r="AQ114" s="459"/>
      <c r="AR114" s="459"/>
      <c r="AS114" s="459"/>
      <c r="AT114" s="459"/>
      <c r="AU114" s="459"/>
      <c r="AV114" s="459"/>
      <c r="AW114" s="459"/>
      <c r="AX114" s="459"/>
      <c r="AY114" s="459"/>
      <c r="AZ114" s="459"/>
      <c r="BA114" s="459"/>
      <c r="BB114" s="459"/>
      <c r="BC114" s="459"/>
      <c r="BD114" s="459"/>
      <c r="BE114" s="459"/>
      <c r="BF114" s="459"/>
      <c r="BG114" s="459"/>
      <c r="BH114" s="459"/>
      <c r="BI114" s="459"/>
      <c r="BJ114" s="459"/>
    </row>
    <row r="115" ht="15.75" customHeight="1" spans="1:62">
      <c r="A115" s="459"/>
      <c r="B115" s="459"/>
      <c r="C115" s="459"/>
      <c r="D115" s="459"/>
      <c r="E115" s="459"/>
      <c r="F115" s="459"/>
      <c r="G115" s="459"/>
      <c r="H115" s="459"/>
      <c r="I115" s="459"/>
      <c r="J115" s="459"/>
      <c r="K115" s="459"/>
      <c r="L115" s="459"/>
      <c r="M115" s="459"/>
      <c r="N115" s="459"/>
      <c r="O115" s="459"/>
      <c r="P115" s="459"/>
      <c r="Q115" s="459"/>
      <c r="R115" s="459"/>
      <c r="S115" s="459"/>
      <c r="T115" s="459"/>
      <c r="U115" s="459"/>
      <c r="V115" s="459"/>
      <c r="W115" s="459"/>
      <c r="X115" s="459"/>
      <c r="Y115" s="459"/>
      <c r="Z115" s="459"/>
      <c r="AA115" s="459"/>
      <c r="AB115" s="459"/>
      <c r="AC115" s="459"/>
      <c r="AD115" s="459"/>
      <c r="AE115" s="459"/>
      <c r="AF115" s="459"/>
      <c r="AG115" s="459"/>
      <c r="AH115" s="459"/>
      <c r="AI115" s="459"/>
      <c r="AJ115" s="459"/>
      <c r="AK115" s="459"/>
      <c r="AL115" s="459"/>
      <c r="AM115" s="459"/>
      <c r="AN115" s="459"/>
      <c r="AO115" s="459"/>
      <c r="AP115" s="459"/>
      <c r="AQ115" s="459"/>
      <c r="AR115" s="459"/>
      <c r="AS115" s="459"/>
      <c r="AT115" s="459"/>
      <c r="AU115" s="459"/>
      <c r="AV115" s="459"/>
      <c r="AW115" s="459"/>
      <c r="AX115" s="459"/>
      <c r="AY115" s="459"/>
      <c r="AZ115" s="459"/>
      <c r="BA115" s="459"/>
      <c r="BB115" s="459"/>
      <c r="BC115" s="459"/>
      <c r="BD115" s="459"/>
      <c r="BE115" s="459"/>
      <c r="BF115" s="459"/>
      <c r="BG115" s="459"/>
      <c r="BH115" s="459"/>
      <c r="BI115" s="459"/>
      <c r="BJ115" s="459"/>
    </row>
    <row r="116" ht="15.75" customHeight="1" spans="1:62">
      <c r="A116" s="459"/>
      <c r="B116" s="459"/>
      <c r="C116" s="459"/>
      <c r="D116" s="459"/>
      <c r="E116" s="459"/>
      <c r="F116" s="459"/>
      <c r="G116" s="459"/>
      <c r="H116" s="459"/>
      <c r="I116" s="459"/>
      <c r="J116" s="459"/>
      <c r="K116" s="459"/>
      <c r="L116" s="459"/>
      <c r="M116" s="459"/>
      <c r="N116" s="459"/>
      <c r="O116" s="459"/>
      <c r="P116" s="459"/>
      <c r="Q116" s="459"/>
      <c r="R116" s="459"/>
      <c r="S116" s="459"/>
      <c r="T116" s="459"/>
      <c r="U116" s="459"/>
      <c r="V116" s="459"/>
      <c r="W116" s="459"/>
      <c r="X116" s="459"/>
      <c r="Y116" s="459"/>
      <c r="Z116" s="459"/>
      <c r="AA116" s="459"/>
      <c r="AB116" s="459"/>
      <c r="AC116" s="459"/>
      <c r="AD116" s="459"/>
      <c r="AE116" s="459"/>
      <c r="AF116" s="459"/>
      <c r="AG116" s="459"/>
      <c r="AH116" s="459"/>
      <c r="AI116" s="459"/>
      <c r="AJ116" s="459"/>
      <c r="AK116" s="459"/>
      <c r="AL116" s="459"/>
      <c r="AM116" s="459"/>
      <c r="AN116" s="459"/>
      <c r="AO116" s="459"/>
      <c r="AP116" s="459"/>
      <c r="AQ116" s="459"/>
      <c r="AR116" s="459"/>
      <c r="AS116" s="459"/>
      <c r="AT116" s="459"/>
      <c r="AU116" s="459"/>
      <c r="AV116" s="459"/>
      <c r="AW116" s="459"/>
      <c r="AX116" s="459"/>
      <c r="AY116" s="459"/>
      <c r="AZ116" s="459"/>
      <c r="BA116" s="459"/>
      <c r="BB116" s="459"/>
      <c r="BC116" s="459"/>
      <c r="BD116" s="459"/>
      <c r="BE116" s="459"/>
      <c r="BF116" s="459"/>
      <c r="BG116" s="459"/>
      <c r="BH116" s="459"/>
      <c r="BI116" s="459"/>
      <c r="BJ116" s="459"/>
    </row>
    <row r="117" ht="15.75" customHeight="1" spans="1:62">
      <c r="A117" s="459"/>
      <c r="B117" s="459"/>
      <c r="C117" s="459"/>
      <c r="D117" s="459"/>
      <c r="E117" s="459"/>
      <c r="F117" s="459"/>
      <c r="G117" s="459"/>
      <c r="H117" s="459"/>
      <c r="I117" s="459"/>
      <c r="J117" s="459"/>
      <c r="K117" s="459"/>
      <c r="L117" s="459"/>
      <c r="M117" s="459"/>
      <c r="N117" s="459"/>
      <c r="O117" s="459"/>
      <c r="P117" s="459"/>
      <c r="Q117" s="459"/>
      <c r="R117" s="459"/>
      <c r="S117" s="459"/>
      <c r="T117" s="459"/>
      <c r="U117" s="459"/>
      <c r="V117" s="459"/>
      <c r="W117" s="459"/>
      <c r="X117" s="459"/>
      <c r="Y117" s="459"/>
      <c r="Z117" s="459"/>
      <c r="AA117" s="459"/>
      <c r="AB117" s="459"/>
      <c r="AC117" s="459"/>
      <c r="AD117" s="459"/>
      <c r="AE117" s="459"/>
      <c r="AF117" s="459"/>
      <c r="AG117" s="459"/>
      <c r="AH117" s="459"/>
      <c r="AI117" s="459"/>
      <c r="AJ117" s="459"/>
      <c r="AK117" s="459"/>
      <c r="AL117" s="459"/>
      <c r="AM117" s="459"/>
      <c r="AN117" s="459"/>
      <c r="AO117" s="459"/>
      <c r="AP117" s="459"/>
      <c r="AQ117" s="459"/>
      <c r="AR117" s="459"/>
      <c r="AS117" s="459"/>
      <c r="AT117" s="459"/>
      <c r="AU117" s="459"/>
      <c r="AV117" s="459"/>
      <c r="AW117" s="459"/>
      <c r="AX117" s="459"/>
      <c r="AY117" s="459"/>
      <c r="AZ117" s="459"/>
      <c r="BA117" s="459"/>
      <c r="BB117" s="459"/>
      <c r="BC117" s="459"/>
      <c r="BD117" s="459"/>
      <c r="BE117" s="459"/>
      <c r="BF117" s="459"/>
      <c r="BG117" s="459"/>
      <c r="BH117" s="459"/>
      <c r="BI117" s="459"/>
      <c r="BJ117" s="459"/>
    </row>
    <row r="118" ht="15.75" customHeight="1" spans="1:62">
      <c r="A118" s="459"/>
      <c r="B118" s="459"/>
      <c r="C118" s="459"/>
      <c r="D118" s="459"/>
      <c r="E118" s="459"/>
      <c r="F118" s="459"/>
      <c r="G118" s="459"/>
      <c r="H118" s="459"/>
      <c r="I118" s="459"/>
      <c r="J118" s="459"/>
      <c r="K118" s="459"/>
      <c r="L118" s="459"/>
      <c r="M118" s="459"/>
      <c r="N118" s="459"/>
      <c r="O118" s="459"/>
      <c r="P118" s="459"/>
      <c r="Q118" s="459"/>
      <c r="R118" s="459"/>
      <c r="S118" s="459"/>
      <c r="T118" s="459"/>
      <c r="U118" s="459"/>
      <c r="V118" s="459"/>
      <c r="W118" s="459"/>
      <c r="X118" s="459"/>
      <c r="Y118" s="459"/>
      <c r="Z118" s="459"/>
      <c r="AA118" s="459"/>
      <c r="AB118" s="459"/>
      <c r="AC118" s="459"/>
      <c r="AD118" s="459"/>
      <c r="AE118" s="459"/>
      <c r="AF118" s="459"/>
      <c r="AG118" s="459"/>
      <c r="AH118" s="459"/>
      <c r="AI118" s="459"/>
      <c r="AJ118" s="459"/>
      <c r="AK118" s="459"/>
      <c r="AL118" s="459"/>
      <c r="AM118" s="459"/>
      <c r="AN118" s="459"/>
      <c r="AO118" s="459"/>
      <c r="AP118" s="459"/>
      <c r="AQ118" s="459"/>
      <c r="AR118" s="459"/>
      <c r="AS118" s="459"/>
      <c r="AT118" s="459"/>
      <c r="AU118" s="459"/>
      <c r="AV118" s="459"/>
      <c r="AW118" s="459"/>
      <c r="AX118" s="459"/>
      <c r="AY118" s="459"/>
      <c r="AZ118" s="459"/>
      <c r="BA118" s="459"/>
      <c r="BB118" s="459"/>
      <c r="BC118" s="459"/>
      <c r="BD118" s="459"/>
      <c r="BE118" s="459"/>
      <c r="BF118" s="459"/>
      <c r="BG118" s="459"/>
      <c r="BH118" s="459"/>
      <c r="BI118" s="459"/>
      <c r="BJ118" s="459"/>
    </row>
    <row r="119" ht="15.75" customHeight="1" spans="1:62">
      <c r="A119" s="459"/>
      <c r="B119" s="459"/>
      <c r="C119" s="459"/>
      <c r="D119" s="459"/>
      <c r="E119" s="459"/>
      <c r="F119" s="459"/>
      <c r="G119" s="459"/>
      <c r="H119" s="459"/>
      <c r="I119" s="459"/>
      <c r="J119" s="459"/>
      <c r="K119" s="459"/>
      <c r="L119" s="459"/>
      <c r="M119" s="459"/>
      <c r="N119" s="459"/>
      <c r="O119" s="459"/>
      <c r="P119" s="459"/>
      <c r="Q119" s="459"/>
      <c r="R119" s="459"/>
      <c r="S119" s="459"/>
      <c r="T119" s="459"/>
      <c r="U119" s="459"/>
      <c r="V119" s="459"/>
      <c r="W119" s="459"/>
      <c r="X119" s="459"/>
      <c r="Y119" s="459"/>
      <c r="Z119" s="459"/>
      <c r="AA119" s="459"/>
      <c r="AB119" s="459"/>
      <c r="AC119" s="459"/>
      <c r="AD119" s="459"/>
      <c r="AE119" s="459"/>
      <c r="AF119" s="459"/>
      <c r="AG119" s="459"/>
      <c r="AH119" s="459"/>
      <c r="AI119" s="459"/>
      <c r="AJ119" s="459"/>
      <c r="AK119" s="459"/>
      <c r="AL119" s="459"/>
      <c r="AM119" s="459"/>
      <c r="AN119" s="459"/>
      <c r="AO119" s="459"/>
      <c r="AP119" s="459"/>
      <c r="AQ119" s="459"/>
      <c r="AR119" s="459"/>
      <c r="AS119" s="459"/>
      <c r="AT119" s="459"/>
      <c r="AU119" s="459"/>
      <c r="AV119" s="459"/>
      <c r="AW119" s="459"/>
      <c r="AX119" s="459"/>
      <c r="AY119" s="459"/>
      <c r="AZ119" s="459"/>
      <c r="BA119" s="459"/>
      <c r="BB119" s="459"/>
      <c r="BC119" s="459"/>
      <c r="BD119" s="459"/>
      <c r="BE119" s="459"/>
      <c r="BF119" s="459"/>
      <c r="BG119" s="459"/>
      <c r="BH119" s="459"/>
      <c r="BI119" s="459"/>
      <c r="BJ119" s="459"/>
    </row>
    <row r="120" ht="15.75" customHeight="1" spans="1:62">
      <c r="A120" s="459"/>
      <c r="B120" s="459"/>
      <c r="C120" s="459"/>
      <c r="D120" s="459"/>
      <c r="E120" s="459"/>
      <c r="F120" s="459"/>
      <c r="G120" s="459"/>
      <c r="H120" s="459"/>
      <c r="I120" s="459"/>
      <c r="J120" s="459"/>
      <c r="K120" s="459"/>
      <c r="L120" s="459"/>
      <c r="M120" s="459"/>
      <c r="N120" s="459"/>
      <c r="O120" s="459"/>
      <c r="P120" s="459"/>
      <c r="Q120" s="459"/>
      <c r="R120" s="459"/>
      <c r="S120" s="459"/>
      <c r="T120" s="459"/>
      <c r="U120" s="459"/>
      <c r="V120" s="459"/>
      <c r="W120" s="459"/>
      <c r="X120" s="459"/>
      <c r="Y120" s="459"/>
      <c r="Z120" s="459"/>
      <c r="AA120" s="459"/>
      <c r="AB120" s="459"/>
      <c r="AC120" s="459"/>
      <c r="AD120" s="459"/>
      <c r="AE120" s="459"/>
      <c r="AF120" s="459"/>
      <c r="AG120" s="459"/>
      <c r="AH120" s="459"/>
      <c r="AI120" s="459"/>
      <c r="AJ120" s="459"/>
      <c r="AK120" s="459"/>
      <c r="AL120" s="459"/>
      <c r="AM120" s="459"/>
      <c r="AN120" s="459"/>
      <c r="AO120" s="459"/>
      <c r="AP120" s="459"/>
      <c r="AQ120" s="459"/>
      <c r="AR120" s="459"/>
      <c r="AS120" s="459"/>
      <c r="AT120" s="459"/>
      <c r="AU120" s="459"/>
      <c r="AV120" s="459"/>
      <c r="AW120" s="459"/>
      <c r="AX120" s="459"/>
      <c r="AY120" s="459"/>
      <c r="AZ120" s="459"/>
      <c r="BA120" s="459"/>
      <c r="BB120" s="459"/>
      <c r="BC120" s="459"/>
      <c r="BD120" s="459"/>
      <c r="BE120" s="459"/>
      <c r="BF120" s="459"/>
      <c r="BG120" s="459"/>
      <c r="BH120" s="459"/>
      <c r="BI120" s="459"/>
      <c r="BJ120" s="459"/>
    </row>
    <row r="121" ht="15.75" customHeight="1" spans="1:62">
      <c r="A121" s="459"/>
      <c r="B121" s="459"/>
      <c r="C121" s="459"/>
      <c r="D121" s="459"/>
      <c r="E121" s="459"/>
      <c r="F121" s="459"/>
      <c r="G121" s="459"/>
      <c r="H121" s="459"/>
      <c r="I121" s="459"/>
      <c r="J121" s="459"/>
      <c r="K121" s="459"/>
      <c r="L121" s="459"/>
      <c r="M121" s="459"/>
      <c r="N121" s="459"/>
      <c r="O121" s="459"/>
      <c r="P121" s="459"/>
      <c r="Q121" s="459"/>
      <c r="R121" s="459"/>
      <c r="S121" s="459"/>
      <c r="T121" s="459"/>
      <c r="U121" s="459"/>
      <c r="V121" s="459"/>
      <c r="W121" s="459"/>
      <c r="X121" s="459"/>
      <c r="Y121" s="459"/>
      <c r="Z121" s="459"/>
      <c r="AA121" s="459"/>
      <c r="AB121" s="459"/>
      <c r="AC121" s="459"/>
      <c r="AD121" s="459"/>
      <c r="AE121" s="459"/>
      <c r="AF121" s="459"/>
      <c r="AG121" s="459"/>
      <c r="AH121" s="459"/>
      <c r="AI121" s="459"/>
      <c r="AJ121" s="459"/>
      <c r="AK121" s="459"/>
      <c r="AL121" s="459"/>
      <c r="AM121" s="459"/>
      <c r="AN121" s="459"/>
      <c r="AO121" s="459"/>
      <c r="AP121" s="459"/>
      <c r="AQ121" s="459"/>
      <c r="AR121" s="459"/>
      <c r="AS121" s="459"/>
      <c r="AT121" s="459"/>
      <c r="AU121" s="459"/>
      <c r="AV121" s="459"/>
      <c r="AW121" s="459"/>
      <c r="AX121" s="459"/>
      <c r="AY121" s="459"/>
      <c r="AZ121" s="459"/>
      <c r="BA121" s="459"/>
      <c r="BB121" s="459"/>
      <c r="BC121" s="459"/>
      <c r="BD121" s="459"/>
      <c r="BE121" s="459"/>
      <c r="BF121" s="459"/>
      <c r="BG121" s="459"/>
      <c r="BH121" s="459"/>
      <c r="BI121" s="459"/>
      <c r="BJ121" s="459"/>
    </row>
    <row r="122" ht="15.75" customHeight="1" spans="1:62">
      <c r="A122" s="459"/>
      <c r="B122" s="459"/>
      <c r="C122" s="459"/>
      <c r="D122" s="459"/>
      <c r="E122" s="459"/>
      <c r="F122" s="459"/>
      <c r="G122" s="459"/>
      <c r="H122" s="459"/>
      <c r="I122" s="459"/>
      <c r="J122" s="459"/>
      <c r="K122" s="459"/>
      <c r="L122" s="459"/>
      <c r="M122" s="459"/>
      <c r="N122" s="459"/>
      <c r="O122" s="459"/>
      <c r="P122" s="459"/>
      <c r="Q122" s="459"/>
      <c r="R122" s="459"/>
      <c r="S122" s="459"/>
      <c r="T122" s="459"/>
      <c r="U122" s="459"/>
      <c r="V122" s="459"/>
      <c r="W122" s="459"/>
      <c r="X122" s="459"/>
      <c r="Y122" s="459"/>
      <c r="Z122" s="459"/>
      <c r="AA122" s="459"/>
      <c r="AB122" s="459"/>
      <c r="AC122" s="459"/>
      <c r="AD122" s="459"/>
      <c r="AE122" s="459"/>
      <c r="AF122" s="459"/>
      <c r="AG122" s="459"/>
      <c r="AH122" s="459"/>
      <c r="AI122" s="459"/>
      <c r="AJ122" s="459"/>
      <c r="AK122" s="459"/>
      <c r="AL122" s="459"/>
      <c r="AM122" s="459"/>
      <c r="AN122" s="459"/>
      <c r="AO122" s="459"/>
      <c r="AP122" s="459"/>
      <c r="AQ122" s="459"/>
      <c r="AR122" s="459"/>
      <c r="AS122" s="459"/>
      <c r="AT122" s="459"/>
      <c r="AU122" s="459"/>
      <c r="AV122" s="459"/>
      <c r="AW122" s="459"/>
      <c r="AX122" s="459"/>
      <c r="AY122" s="459"/>
      <c r="AZ122" s="459"/>
      <c r="BA122" s="459"/>
      <c r="BB122" s="459"/>
      <c r="BC122" s="459"/>
      <c r="BD122" s="459"/>
      <c r="BE122" s="459"/>
      <c r="BF122" s="459"/>
      <c r="BG122" s="459"/>
      <c r="BH122" s="459"/>
      <c r="BI122" s="459"/>
      <c r="BJ122" s="459"/>
    </row>
    <row r="123" ht="15.75" customHeight="1" spans="1:62">
      <c r="A123" s="459"/>
      <c r="B123" s="459"/>
      <c r="C123" s="459"/>
      <c r="D123" s="459"/>
      <c r="E123" s="459"/>
      <c r="F123" s="459"/>
      <c r="G123" s="459"/>
      <c r="H123" s="459"/>
      <c r="I123" s="459"/>
      <c r="J123" s="459"/>
      <c r="K123" s="459"/>
      <c r="L123" s="459"/>
      <c r="M123" s="459"/>
      <c r="N123" s="459"/>
      <c r="O123" s="459"/>
      <c r="P123" s="459"/>
      <c r="Q123" s="459"/>
      <c r="R123" s="459"/>
      <c r="S123" s="459"/>
      <c r="T123" s="459"/>
      <c r="U123" s="459"/>
      <c r="V123" s="459"/>
      <c r="W123" s="459"/>
      <c r="X123" s="459"/>
      <c r="Y123" s="459"/>
      <c r="Z123" s="459"/>
      <c r="AA123" s="459"/>
      <c r="AB123" s="459"/>
      <c r="AC123" s="459"/>
      <c r="AD123" s="459"/>
      <c r="AE123" s="459"/>
      <c r="AF123" s="459"/>
      <c r="AG123" s="459"/>
      <c r="AH123" s="459"/>
      <c r="AI123" s="459"/>
      <c r="AJ123" s="459"/>
      <c r="AK123" s="459"/>
      <c r="AL123" s="459"/>
      <c r="AM123" s="459"/>
      <c r="AN123" s="459"/>
      <c r="AO123" s="459"/>
      <c r="AP123" s="459"/>
      <c r="AQ123" s="459"/>
      <c r="AR123" s="459"/>
      <c r="AS123" s="459"/>
      <c r="AT123" s="459"/>
      <c r="AU123" s="459"/>
      <c r="AV123" s="459"/>
      <c r="AW123" s="459"/>
      <c r="AX123" s="459"/>
      <c r="AY123" s="459"/>
      <c r="AZ123" s="459"/>
      <c r="BA123" s="459"/>
      <c r="BB123" s="459"/>
      <c r="BC123" s="459"/>
      <c r="BD123" s="459"/>
      <c r="BE123" s="459"/>
      <c r="BF123" s="459"/>
      <c r="BG123" s="459"/>
      <c r="BH123" s="459"/>
      <c r="BI123" s="459"/>
      <c r="BJ123" s="459"/>
    </row>
    <row r="124" ht="15.75" customHeight="1" spans="1:62">
      <c r="A124" s="459"/>
      <c r="B124" s="459"/>
      <c r="C124" s="459"/>
      <c r="D124" s="459"/>
      <c r="E124" s="459"/>
      <c r="F124" s="459"/>
      <c r="G124" s="459"/>
      <c r="H124" s="459"/>
      <c r="I124" s="459"/>
      <c r="J124" s="459"/>
      <c r="K124" s="459"/>
      <c r="L124" s="459"/>
      <c r="M124" s="459"/>
      <c r="N124" s="459"/>
      <c r="O124" s="459"/>
      <c r="P124" s="459"/>
      <c r="Q124" s="459"/>
      <c r="R124" s="459"/>
      <c r="S124" s="459"/>
      <c r="T124" s="459"/>
      <c r="U124" s="459"/>
      <c r="V124" s="459"/>
      <c r="W124" s="459"/>
      <c r="X124" s="459"/>
      <c r="Y124" s="459"/>
      <c r="Z124" s="459"/>
      <c r="AA124" s="459"/>
      <c r="AB124" s="459"/>
      <c r="AC124" s="459"/>
      <c r="AD124" s="459"/>
      <c r="AE124" s="459"/>
      <c r="AF124" s="459"/>
      <c r="AG124" s="459"/>
      <c r="AH124" s="459"/>
      <c r="AI124" s="459"/>
      <c r="AJ124" s="459"/>
      <c r="AK124" s="459"/>
      <c r="AL124" s="459"/>
      <c r="AM124" s="459"/>
      <c r="AN124" s="459"/>
      <c r="AO124" s="459"/>
      <c r="AP124" s="459"/>
      <c r="AQ124" s="459"/>
      <c r="AR124" s="459"/>
      <c r="AS124" s="459"/>
      <c r="AT124" s="459"/>
      <c r="AU124" s="459"/>
      <c r="AV124" s="459"/>
      <c r="AW124" s="459"/>
      <c r="AX124" s="459"/>
      <c r="AY124" s="459"/>
      <c r="AZ124" s="459"/>
      <c r="BA124" s="459"/>
      <c r="BB124" s="459"/>
      <c r="BC124" s="459"/>
      <c r="BD124" s="459"/>
      <c r="BE124" s="459"/>
      <c r="BF124" s="459"/>
      <c r="BG124" s="459"/>
      <c r="BH124" s="459"/>
      <c r="BI124" s="459"/>
      <c r="BJ124" s="459"/>
    </row>
    <row r="125" ht="15.75" customHeight="1" spans="1:62">
      <c r="A125" s="459"/>
      <c r="B125" s="459"/>
      <c r="C125" s="459"/>
      <c r="D125" s="459"/>
      <c r="E125" s="459"/>
      <c r="F125" s="459"/>
      <c r="G125" s="459"/>
      <c r="H125" s="459"/>
      <c r="I125" s="459"/>
      <c r="J125" s="459"/>
      <c r="K125" s="459"/>
      <c r="L125" s="459"/>
      <c r="M125" s="459"/>
      <c r="N125" s="459"/>
      <c r="O125" s="459"/>
      <c r="P125" s="459"/>
      <c r="Q125" s="459"/>
      <c r="R125" s="459"/>
      <c r="S125" s="459"/>
      <c r="T125" s="459"/>
      <c r="U125" s="459"/>
      <c r="V125" s="459"/>
      <c r="W125" s="459"/>
      <c r="X125" s="459"/>
      <c r="Y125" s="459"/>
      <c r="Z125" s="459"/>
      <c r="AA125" s="459"/>
      <c r="AB125" s="459"/>
      <c r="AC125" s="459"/>
      <c r="AD125" s="459"/>
      <c r="AE125" s="459"/>
      <c r="AF125" s="459"/>
      <c r="AG125" s="459"/>
      <c r="AH125" s="459"/>
      <c r="AI125" s="459"/>
      <c r="AJ125" s="459"/>
      <c r="AK125" s="459"/>
      <c r="AL125" s="459"/>
      <c r="AM125" s="459"/>
      <c r="AN125" s="459"/>
      <c r="AO125" s="459"/>
      <c r="AP125" s="459"/>
      <c r="AQ125" s="459"/>
      <c r="AR125" s="459"/>
      <c r="AS125" s="459"/>
      <c r="AT125" s="459"/>
      <c r="AU125" s="459"/>
      <c r="AV125" s="459"/>
      <c r="AW125" s="459"/>
      <c r="AX125" s="459"/>
      <c r="AY125" s="459"/>
      <c r="AZ125" s="459"/>
      <c r="BA125" s="459"/>
      <c r="BB125" s="459"/>
      <c r="BC125" s="459"/>
      <c r="BD125" s="459"/>
      <c r="BE125" s="459"/>
      <c r="BF125" s="459"/>
      <c r="BG125" s="459"/>
      <c r="BH125" s="459"/>
      <c r="BI125" s="459"/>
      <c r="BJ125" s="459"/>
    </row>
    <row r="126" ht="15.75" customHeight="1" spans="1:62">
      <c r="A126" s="459"/>
      <c r="B126" s="459"/>
      <c r="C126" s="459"/>
      <c r="D126" s="459"/>
      <c r="E126" s="459"/>
      <c r="F126" s="459"/>
      <c r="G126" s="459"/>
      <c r="H126" s="459"/>
      <c r="I126" s="459"/>
      <c r="J126" s="459"/>
      <c r="K126" s="459"/>
      <c r="L126" s="459"/>
      <c r="M126" s="459"/>
      <c r="N126" s="459"/>
      <c r="O126" s="459"/>
      <c r="P126" s="459"/>
      <c r="Q126" s="459"/>
      <c r="R126" s="459"/>
      <c r="S126" s="459"/>
      <c r="T126" s="459"/>
      <c r="U126" s="459"/>
      <c r="V126" s="459"/>
      <c r="W126" s="459"/>
      <c r="X126" s="459"/>
      <c r="Y126" s="459"/>
      <c r="Z126" s="459"/>
      <c r="AA126" s="459"/>
      <c r="AB126" s="459"/>
      <c r="AC126" s="459"/>
      <c r="AD126" s="459"/>
      <c r="AE126" s="459"/>
      <c r="AF126" s="459"/>
      <c r="AG126" s="459"/>
      <c r="AH126" s="459"/>
      <c r="AI126" s="459"/>
      <c r="AJ126" s="459"/>
      <c r="AK126" s="459"/>
      <c r="AL126" s="459"/>
      <c r="AM126" s="459"/>
      <c r="AN126" s="459"/>
      <c r="AO126" s="459"/>
      <c r="AP126" s="459"/>
      <c r="AQ126" s="459"/>
      <c r="AR126" s="459"/>
      <c r="AS126" s="459"/>
      <c r="AT126" s="459"/>
      <c r="AU126" s="459"/>
      <c r="AV126" s="459"/>
      <c r="AW126" s="459"/>
      <c r="AX126" s="459"/>
      <c r="AY126" s="459"/>
      <c r="AZ126" s="459"/>
      <c r="BA126" s="459"/>
      <c r="BB126" s="459"/>
      <c r="BC126" s="459"/>
      <c r="BD126" s="459"/>
      <c r="BE126" s="459"/>
      <c r="BF126" s="459"/>
      <c r="BG126" s="459"/>
      <c r="BH126" s="459"/>
      <c r="BI126" s="459"/>
      <c r="BJ126" s="459"/>
    </row>
    <row r="127" ht="15.75" customHeight="1" spans="1:62">
      <c r="A127" s="459"/>
      <c r="B127" s="459"/>
      <c r="C127" s="459"/>
      <c r="D127" s="459"/>
      <c r="E127" s="459"/>
      <c r="F127" s="459"/>
      <c r="G127" s="459"/>
      <c r="H127" s="459"/>
      <c r="I127" s="459"/>
      <c r="J127" s="459"/>
      <c r="K127" s="459"/>
      <c r="L127" s="459"/>
      <c r="M127" s="459"/>
      <c r="N127" s="459"/>
      <c r="O127" s="459"/>
      <c r="P127" s="459"/>
      <c r="Q127" s="459"/>
      <c r="R127" s="459"/>
      <c r="S127" s="459"/>
      <c r="T127" s="459"/>
      <c r="U127" s="459"/>
      <c r="V127" s="459"/>
      <c r="W127" s="459"/>
      <c r="X127" s="459"/>
      <c r="Y127" s="459"/>
      <c r="Z127" s="459"/>
      <c r="AA127" s="459"/>
      <c r="AB127" s="459"/>
      <c r="AC127" s="459"/>
      <c r="AD127" s="459"/>
      <c r="AE127" s="459"/>
      <c r="AF127" s="459"/>
      <c r="AG127" s="459"/>
      <c r="AH127" s="459"/>
      <c r="AI127" s="459"/>
      <c r="AJ127" s="459"/>
      <c r="AK127" s="459"/>
      <c r="AL127" s="459"/>
      <c r="AM127" s="459"/>
      <c r="AN127" s="459"/>
      <c r="AO127" s="459"/>
      <c r="AP127" s="459"/>
      <c r="AQ127" s="459"/>
      <c r="AR127" s="459"/>
      <c r="AS127" s="459"/>
      <c r="AT127" s="459"/>
      <c r="AU127" s="459"/>
      <c r="AV127" s="459"/>
      <c r="AW127" s="459"/>
      <c r="AX127" s="459"/>
      <c r="AY127" s="459"/>
      <c r="AZ127" s="459"/>
      <c r="BA127" s="459"/>
      <c r="BB127" s="459"/>
      <c r="BC127" s="459"/>
      <c r="BD127" s="459"/>
      <c r="BE127" s="459"/>
      <c r="BF127" s="459"/>
      <c r="BG127" s="459"/>
      <c r="BH127" s="459"/>
      <c r="BI127" s="459"/>
      <c r="BJ127" s="459"/>
    </row>
    <row r="128" ht="15.75" customHeight="1" spans="1:62">
      <c r="A128" s="459"/>
      <c r="B128" s="459"/>
      <c r="C128" s="459"/>
      <c r="D128" s="459"/>
      <c r="E128" s="459"/>
      <c r="F128" s="459"/>
      <c r="G128" s="459"/>
      <c r="H128" s="459"/>
      <c r="I128" s="459"/>
      <c r="J128" s="459"/>
      <c r="K128" s="459"/>
      <c r="L128" s="459"/>
      <c r="M128" s="459"/>
      <c r="N128" s="459"/>
      <c r="O128" s="459"/>
      <c r="P128" s="459"/>
      <c r="Q128" s="459"/>
      <c r="R128" s="459"/>
      <c r="S128" s="459"/>
      <c r="T128" s="459"/>
      <c r="U128" s="459"/>
      <c r="V128" s="459"/>
      <c r="W128" s="459"/>
      <c r="X128" s="459"/>
      <c r="Y128" s="459"/>
      <c r="Z128" s="459"/>
      <c r="AA128" s="459"/>
      <c r="AB128" s="459"/>
      <c r="AC128" s="459"/>
      <c r="AD128" s="459"/>
      <c r="AE128" s="459"/>
      <c r="AF128" s="459"/>
      <c r="AG128" s="459"/>
      <c r="AH128" s="459"/>
      <c r="AI128" s="459"/>
      <c r="AJ128" s="459"/>
      <c r="AK128" s="459"/>
      <c r="AL128" s="459"/>
      <c r="AM128" s="459"/>
      <c r="AN128" s="459"/>
      <c r="AO128" s="459"/>
      <c r="AP128" s="459"/>
      <c r="AQ128" s="459"/>
      <c r="AR128" s="459"/>
      <c r="AS128" s="459"/>
      <c r="AT128" s="459"/>
      <c r="AU128" s="459"/>
      <c r="AV128" s="459"/>
      <c r="AW128" s="459"/>
      <c r="AX128" s="459"/>
      <c r="AY128" s="459"/>
      <c r="AZ128" s="459"/>
      <c r="BA128" s="459"/>
      <c r="BB128" s="459"/>
      <c r="BC128" s="459"/>
      <c r="BD128" s="459"/>
      <c r="BE128" s="459"/>
      <c r="BF128" s="459"/>
      <c r="BG128" s="459"/>
      <c r="BH128" s="459"/>
      <c r="BI128" s="459"/>
      <c r="BJ128" s="459"/>
    </row>
    <row r="129" ht="15.75" customHeight="1" spans="1:62">
      <c r="A129" s="459"/>
      <c r="B129" s="459"/>
      <c r="C129" s="459"/>
      <c r="D129" s="459"/>
      <c r="E129" s="459"/>
      <c r="F129" s="459"/>
      <c r="G129" s="459"/>
      <c r="H129" s="459"/>
      <c r="I129" s="459"/>
      <c r="J129" s="459"/>
      <c r="K129" s="459"/>
      <c r="L129" s="459"/>
      <c r="M129" s="459"/>
      <c r="N129" s="459"/>
      <c r="O129" s="459"/>
      <c r="P129" s="459"/>
      <c r="Q129" s="459"/>
      <c r="R129" s="459"/>
      <c r="S129" s="459"/>
      <c r="T129" s="459"/>
      <c r="U129" s="459"/>
      <c r="V129" s="459"/>
      <c r="W129" s="459"/>
      <c r="X129" s="459"/>
      <c r="Y129" s="459"/>
      <c r="Z129" s="459"/>
      <c r="AA129" s="459"/>
      <c r="AB129" s="459"/>
      <c r="AC129" s="459"/>
      <c r="AD129" s="459"/>
      <c r="AE129" s="459"/>
      <c r="AF129" s="459"/>
      <c r="AG129" s="459"/>
      <c r="AH129" s="459"/>
      <c r="AI129" s="459"/>
      <c r="AJ129" s="459"/>
      <c r="AK129" s="459"/>
      <c r="AL129" s="459"/>
      <c r="AM129" s="459"/>
      <c r="AN129" s="459"/>
      <c r="AO129" s="459"/>
      <c r="AP129" s="459"/>
      <c r="AQ129" s="459"/>
      <c r="AR129" s="459"/>
      <c r="AS129" s="459"/>
      <c r="AT129" s="459"/>
      <c r="AU129" s="459"/>
      <c r="AV129" s="459"/>
      <c r="AW129" s="459"/>
      <c r="AX129" s="459"/>
      <c r="AY129" s="459"/>
      <c r="AZ129" s="459"/>
      <c r="BA129" s="459"/>
      <c r="BB129" s="459"/>
      <c r="BC129" s="459"/>
      <c r="BD129" s="459"/>
      <c r="BE129" s="459"/>
      <c r="BF129" s="459"/>
      <c r="BG129" s="459"/>
      <c r="BH129" s="459"/>
      <c r="BI129" s="459"/>
      <c r="BJ129" s="459"/>
    </row>
    <row r="130" ht="15.75" customHeight="1" spans="1:62">
      <c r="A130" s="459"/>
      <c r="B130" s="459"/>
      <c r="C130" s="459"/>
      <c r="D130" s="459"/>
      <c r="E130" s="459"/>
      <c r="F130" s="459"/>
      <c r="G130" s="459"/>
      <c r="H130" s="459"/>
      <c r="I130" s="459"/>
      <c r="J130" s="459"/>
      <c r="K130" s="459"/>
      <c r="L130" s="459"/>
      <c r="M130" s="459"/>
      <c r="N130" s="459"/>
      <c r="O130" s="459"/>
      <c r="P130" s="459"/>
      <c r="Q130" s="459"/>
      <c r="R130" s="459"/>
      <c r="S130" s="459"/>
      <c r="T130" s="459"/>
      <c r="U130" s="459"/>
      <c r="V130" s="459"/>
      <c r="W130" s="459"/>
      <c r="X130" s="459"/>
      <c r="Y130" s="459"/>
      <c r="Z130" s="459"/>
      <c r="AA130" s="459"/>
      <c r="AB130" s="459"/>
      <c r="AC130" s="459"/>
      <c r="AD130" s="459"/>
      <c r="AE130" s="459"/>
      <c r="AF130" s="459"/>
      <c r="AG130" s="459"/>
      <c r="AH130" s="459"/>
      <c r="AI130" s="459"/>
      <c r="AJ130" s="459"/>
      <c r="AK130" s="459"/>
      <c r="AL130" s="459"/>
      <c r="AM130" s="459"/>
      <c r="AN130" s="459"/>
      <c r="AO130" s="459"/>
      <c r="AP130" s="459"/>
      <c r="AQ130" s="459"/>
      <c r="AR130" s="459"/>
      <c r="AS130" s="459"/>
      <c r="AT130" s="459"/>
      <c r="AU130" s="459"/>
      <c r="AV130" s="459"/>
      <c r="AW130" s="459"/>
      <c r="AX130" s="459"/>
      <c r="AY130" s="459"/>
      <c r="AZ130" s="459"/>
      <c r="BA130" s="459"/>
      <c r="BB130" s="459"/>
      <c r="BC130" s="459"/>
      <c r="BD130" s="459"/>
      <c r="BE130" s="459"/>
      <c r="BF130" s="459"/>
      <c r="BG130" s="459"/>
      <c r="BH130" s="459"/>
      <c r="BI130" s="459"/>
      <c r="BJ130" s="459"/>
    </row>
    <row r="131" ht="15.75" customHeight="1" spans="1:62">
      <c r="A131" s="459"/>
      <c r="B131" s="459"/>
      <c r="C131" s="459"/>
      <c r="D131" s="459"/>
      <c r="E131" s="459"/>
      <c r="F131" s="459"/>
      <c r="G131" s="459"/>
      <c r="H131" s="459"/>
      <c r="I131" s="459"/>
      <c r="J131" s="459"/>
      <c r="K131" s="459"/>
      <c r="L131" s="459"/>
      <c r="M131" s="459"/>
      <c r="N131" s="459"/>
      <c r="O131" s="459"/>
      <c r="P131" s="459"/>
      <c r="Q131" s="459"/>
      <c r="R131" s="459"/>
      <c r="S131" s="459"/>
      <c r="T131" s="459"/>
      <c r="U131" s="459"/>
      <c r="V131" s="459"/>
      <c r="W131" s="459"/>
      <c r="X131" s="459"/>
      <c r="Y131" s="459"/>
      <c r="Z131" s="459"/>
      <c r="AA131" s="459"/>
      <c r="AB131" s="459"/>
      <c r="AC131" s="459"/>
      <c r="AD131" s="459"/>
      <c r="AE131" s="459"/>
      <c r="AF131" s="459"/>
      <c r="AG131" s="459"/>
      <c r="AH131" s="459"/>
      <c r="AI131" s="459"/>
      <c r="AJ131" s="459"/>
      <c r="AK131" s="459"/>
      <c r="AL131" s="459"/>
      <c r="AM131" s="459"/>
      <c r="AN131" s="459"/>
      <c r="AO131" s="459"/>
      <c r="AP131" s="459"/>
      <c r="AQ131" s="459"/>
      <c r="AR131" s="459"/>
      <c r="AS131" s="459"/>
      <c r="AT131" s="459"/>
      <c r="AU131" s="459"/>
      <c r="AV131" s="459"/>
      <c r="AW131" s="459"/>
      <c r="AX131" s="459"/>
      <c r="AY131" s="459"/>
      <c r="AZ131" s="459"/>
      <c r="BA131" s="459"/>
      <c r="BB131" s="459"/>
      <c r="BC131" s="459"/>
      <c r="BD131" s="459"/>
      <c r="BE131" s="459"/>
      <c r="BF131" s="459"/>
      <c r="BG131" s="459"/>
      <c r="BH131" s="459"/>
      <c r="BI131" s="459"/>
      <c r="BJ131" s="459"/>
    </row>
    <row r="132" ht="15.75" customHeight="1" spans="1:62">
      <c r="A132" s="459"/>
      <c r="B132" s="459"/>
      <c r="C132" s="459"/>
      <c r="D132" s="459"/>
      <c r="E132" s="459"/>
      <c r="F132" s="459"/>
      <c r="G132" s="459"/>
      <c r="H132" s="459"/>
      <c r="I132" s="459"/>
      <c r="J132" s="459"/>
      <c r="K132" s="459"/>
      <c r="L132" s="459"/>
      <c r="M132" s="459"/>
      <c r="N132" s="459"/>
      <c r="O132" s="459"/>
      <c r="P132" s="459"/>
      <c r="Q132" s="459"/>
      <c r="R132" s="459"/>
      <c r="S132" s="459"/>
      <c r="T132" s="459"/>
      <c r="U132" s="459"/>
      <c r="V132" s="459"/>
      <c r="W132" s="459"/>
      <c r="X132" s="459"/>
      <c r="Y132" s="459"/>
      <c r="Z132" s="459"/>
      <c r="AA132" s="459"/>
      <c r="AB132" s="459"/>
      <c r="AC132" s="459"/>
      <c r="AD132" s="459"/>
      <c r="AE132" s="459"/>
      <c r="AF132" s="459"/>
      <c r="AG132" s="459"/>
      <c r="AH132" s="459"/>
      <c r="AI132" s="459"/>
      <c r="AJ132" s="459"/>
      <c r="AK132" s="459"/>
      <c r="AL132" s="459"/>
      <c r="AM132" s="459"/>
      <c r="AN132" s="459"/>
      <c r="AO132" s="459"/>
      <c r="AP132" s="459"/>
      <c r="AQ132" s="459"/>
      <c r="AR132" s="459"/>
      <c r="AS132" s="459"/>
      <c r="AT132" s="459"/>
      <c r="AU132" s="459"/>
      <c r="AV132" s="459"/>
      <c r="AW132" s="459"/>
      <c r="AX132" s="459"/>
      <c r="AY132" s="459"/>
      <c r="AZ132" s="459"/>
      <c r="BA132" s="459"/>
      <c r="BB132" s="459"/>
      <c r="BC132" s="459"/>
      <c r="BD132" s="459"/>
      <c r="BE132" s="459"/>
      <c r="BF132" s="459"/>
      <c r="BG132" s="459"/>
      <c r="BH132" s="459"/>
      <c r="BI132" s="459"/>
      <c r="BJ132" s="459"/>
    </row>
    <row r="133" ht="15.75" customHeight="1" spans="1:62">
      <c r="A133" s="459"/>
      <c r="B133" s="459"/>
      <c r="C133" s="459"/>
      <c r="D133" s="459"/>
      <c r="E133" s="459"/>
      <c r="F133" s="459"/>
      <c r="G133" s="459"/>
      <c r="H133" s="459"/>
      <c r="I133" s="459"/>
      <c r="J133" s="459"/>
      <c r="K133" s="459"/>
      <c r="L133" s="459"/>
      <c r="M133" s="459"/>
      <c r="N133" s="459"/>
      <c r="O133" s="459"/>
      <c r="P133" s="459"/>
      <c r="Q133" s="459"/>
      <c r="R133" s="459"/>
      <c r="S133" s="459"/>
      <c r="T133" s="459"/>
      <c r="U133" s="459"/>
      <c r="V133" s="459"/>
      <c r="W133" s="459"/>
      <c r="X133" s="459"/>
      <c r="Y133" s="459"/>
      <c r="Z133" s="459"/>
      <c r="AA133" s="459"/>
      <c r="AB133" s="459"/>
      <c r="AC133" s="459"/>
      <c r="AD133" s="459"/>
      <c r="AE133" s="459"/>
      <c r="AF133" s="459"/>
      <c r="AG133" s="459"/>
      <c r="AH133" s="459"/>
      <c r="AI133" s="459"/>
      <c r="AJ133" s="459"/>
      <c r="AK133" s="459"/>
      <c r="AL133" s="459"/>
      <c r="AM133" s="459"/>
      <c r="AN133" s="459"/>
      <c r="AO133" s="459"/>
      <c r="AP133" s="459"/>
      <c r="AQ133" s="459"/>
      <c r="AR133" s="459"/>
      <c r="AS133" s="459"/>
      <c r="AT133" s="459"/>
      <c r="AU133" s="459"/>
      <c r="AV133" s="459"/>
      <c r="AW133" s="459"/>
      <c r="AX133" s="459"/>
      <c r="AY133" s="459"/>
      <c r="AZ133" s="459"/>
      <c r="BA133" s="459"/>
      <c r="BB133" s="459"/>
      <c r="BC133" s="459"/>
      <c r="BD133" s="459"/>
      <c r="BE133" s="459"/>
      <c r="BF133" s="459"/>
      <c r="BG133" s="459"/>
      <c r="BH133" s="459"/>
      <c r="BI133" s="459"/>
      <c r="BJ133" s="459"/>
    </row>
    <row r="134" ht="15.75" customHeight="1" spans="1:62">
      <c r="A134" s="459"/>
      <c r="B134" s="459"/>
      <c r="C134" s="459"/>
      <c r="D134" s="459"/>
      <c r="E134" s="459"/>
      <c r="F134" s="459"/>
      <c r="G134" s="459"/>
      <c r="H134" s="459"/>
      <c r="I134" s="459"/>
      <c r="J134" s="459"/>
      <c r="K134" s="459"/>
      <c r="L134" s="459"/>
      <c r="M134" s="459"/>
      <c r="N134" s="459"/>
      <c r="O134" s="459"/>
      <c r="P134" s="459"/>
      <c r="Q134" s="459"/>
      <c r="R134" s="459"/>
      <c r="S134" s="459"/>
      <c r="T134" s="459"/>
      <c r="U134" s="459"/>
      <c r="V134" s="459"/>
      <c r="W134" s="459"/>
      <c r="X134" s="459"/>
      <c r="Y134" s="459"/>
      <c r="Z134" s="459"/>
      <c r="AA134" s="459"/>
      <c r="AB134" s="459"/>
      <c r="AC134" s="459"/>
      <c r="AD134" s="459"/>
      <c r="AE134" s="459"/>
      <c r="AF134" s="459"/>
      <c r="AG134" s="459"/>
      <c r="AH134" s="459"/>
      <c r="AI134" s="459"/>
      <c r="AJ134" s="459"/>
      <c r="AK134" s="459"/>
      <c r="AL134" s="459"/>
      <c r="AM134" s="459"/>
      <c r="AN134" s="459"/>
      <c r="AO134" s="459"/>
      <c r="AP134" s="459"/>
      <c r="AQ134" s="459"/>
      <c r="AR134" s="459"/>
      <c r="AS134" s="459"/>
      <c r="AT134" s="459"/>
      <c r="AU134" s="459"/>
      <c r="AV134" s="459"/>
      <c r="AW134" s="459"/>
      <c r="AX134" s="459"/>
      <c r="AY134" s="459"/>
      <c r="AZ134" s="459"/>
      <c r="BA134" s="459"/>
      <c r="BB134" s="459"/>
      <c r="BC134" s="459"/>
      <c r="BD134" s="459"/>
      <c r="BE134" s="459"/>
      <c r="BF134" s="459"/>
      <c r="BG134" s="459"/>
      <c r="BH134" s="459"/>
      <c r="BI134" s="459"/>
      <c r="BJ134" s="459"/>
    </row>
    <row r="135" ht="15.75" customHeight="1" spans="1:62">
      <c r="A135" s="459"/>
      <c r="B135" s="459"/>
      <c r="C135" s="459"/>
      <c r="D135" s="459"/>
      <c r="E135" s="459"/>
      <c r="F135" s="459"/>
      <c r="G135" s="459"/>
      <c r="H135" s="459"/>
      <c r="I135" s="459"/>
      <c r="J135" s="459"/>
      <c r="K135" s="459"/>
      <c r="L135" s="459"/>
      <c r="M135" s="459"/>
      <c r="N135" s="459"/>
      <c r="O135" s="459"/>
      <c r="P135" s="459"/>
      <c r="Q135" s="459"/>
      <c r="R135" s="459"/>
      <c r="S135" s="459"/>
      <c r="T135" s="459"/>
      <c r="U135" s="459"/>
      <c r="V135" s="459"/>
      <c r="W135" s="459"/>
      <c r="X135" s="459"/>
      <c r="Y135" s="459"/>
      <c r="Z135" s="459"/>
      <c r="AA135" s="459"/>
      <c r="AB135" s="459"/>
      <c r="AC135" s="459"/>
      <c r="AD135" s="459"/>
      <c r="AE135" s="459"/>
      <c r="AF135" s="459"/>
      <c r="AG135" s="459"/>
      <c r="AH135" s="459"/>
      <c r="AI135" s="459"/>
      <c r="AJ135" s="459"/>
      <c r="AK135" s="459"/>
      <c r="AL135" s="459"/>
      <c r="AM135" s="459"/>
      <c r="AN135" s="459"/>
      <c r="AO135" s="459"/>
      <c r="AP135" s="459"/>
      <c r="AQ135" s="459"/>
      <c r="AR135" s="459"/>
      <c r="AS135" s="459"/>
      <c r="AT135" s="459"/>
      <c r="AU135" s="459"/>
      <c r="AV135" s="459"/>
      <c r="AW135" s="459"/>
      <c r="AX135" s="459"/>
      <c r="AY135" s="459"/>
      <c r="AZ135" s="459"/>
      <c r="BA135" s="459"/>
      <c r="BB135" s="459"/>
      <c r="BC135" s="459"/>
      <c r="BD135" s="459"/>
      <c r="BE135" s="459"/>
      <c r="BF135" s="459"/>
      <c r="BG135" s="459"/>
      <c r="BH135" s="459"/>
      <c r="BI135" s="459"/>
      <c r="BJ135" s="459"/>
    </row>
    <row r="136" ht="15.75" customHeight="1" spans="1:62">
      <c r="A136" s="459"/>
      <c r="B136" s="459"/>
      <c r="C136" s="459"/>
      <c r="D136" s="459"/>
      <c r="E136" s="459"/>
      <c r="F136" s="459"/>
      <c r="G136" s="459"/>
      <c r="H136" s="459"/>
      <c r="I136" s="459"/>
      <c r="J136" s="459"/>
      <c r="K136" s="459"/>
      <c r="L136" s="459"/>
      <c r="M136" s="459"/>
      <c r="N136" s="459"/>
      <c r="O136" s="459"/>
      <c r="P136" s="459"/>
      <c r="Q136" s="459"/>
      <c r="R136" s="459"/>
      <c r="S136" s="459"/>
      <c r="T136" s="459"/>
      <c r="U136" s="459"/>
      <c r="V136" s="459"/>
      <c r="W136" s="459"/>
      <c r="X136" s="459"/>
      <c r="Y136" s="459"/>
      <c r="Z136" s="459"/>
      <c r="AA136" s="459"/>
      <c r="AB136" s="459"/>
      <c r="AC136" s="459"/>
      <c r="AD136" s="459"/>
      <c r="AE136" s="459"/>
      <c r="AF136" s="459"/>
      <c r="AG136" s="459"/>
      <c r="AH136" s="459"/>
      <c r="AI136" s="459"/>
      <c r="AJ136" s="459"/>
      <c r="AK136" s="459"/>
      <c r="AL136" s="459"/>
      <c r="AM136" s="459"/>
      <c r="AN136" s="459"/>
      <c r="AO136" s="459"/>
      <c r="AP136" s="459"/>
      <c r="AQ136" s="459"/>
      <c r="AR136" s="459"/>
      <c r="AS136" s="459"/>
      <c r="AT136" s="459"/>
      <c r="AU136" s="459"/>
      <c r="AV136" s="459"/>
      <c r="AW136" s="459"/>
      <c r="AX136" s="459"/>
      <c r="AY136" s="459"/>
      <c r="AZ136" s="459"/>
      <c r="BA136" s="459"/>
      <c r="BB136" s="459"/>
      <c r="BC136" s="459"/>
      <c r="BD136" s="459"/>
      <c r="BE136" s="459"/>
      <c r="BF136" s="459"/>
      <c r="BG136" s="459"/>
      <c r="BH136" s="459"/>
      <c r="BI136" s="459"/>
      <c r="BJ136" s="459"/>
    </row>
    <row r="137" ht="15.75" customHeight="1" spans="1:62">
      <c r="A137" s="459"/>
      <c r="B137" s="459"/>
      <c r="C137" s="459"/>
      <c r="D137" s="459"/>
      <c r="E137" s="459"/>
      <c r="F137" s="459"/>
      <c r="G137" s="459"/>
      <c r="H137" s="459"/>
      <c r="I137" s="459"/>
      <c r="J137" s="459"/>
      <c r="K137" s="459"/>
      <c r="L137" s="459"/>
      <c r="M137" s="459"/>
      <c r="N137" s="459"/>
      <c r="O137" s="459"/>
      <c r="P137" s="459"/>
      <c r="Q137" s="459"/>
      <c r="R137" s="459"/>
      <c r="S137" s="459"/>
      <c r="T137" s="459"/>
      <c r="U137" s="459"/>
      <c r="V137" s="459"/>
      <c r="W137" s="459"/>
      <c r="X137" s="459"/>
      <c r="Y137" s="459"/>
      <c r="Z137" s="459"/>
      <c r="AA137" s="459"/>
      <c r="AB137" s="459"/>
      <c r="AC137" s="459"/>
      <c r="AD137" s="459"/>
      <c r="AE137" s="459"/>
      <c r="AF137" s="459"/>
      <c r="AG137" s="459"/>
      <c r="AH137" s="459"/>
      <c r="AI137" s="459"/>
      <c r="AJ137" s="459"/>
      <c r="AK137" s="459"/>
      <c r="AL137" s="459"/>
      <c r="AM137" s="459"/>
      <c r="AN137" s="459"/>
      <c r="AO137" s="459"/>
      <c r="AP137" s="459"/>
      <c r="AQ137" s="459"/>
      <c r="AR137" s="459"/>
      <c r="AS137" s="459"/>
      <c r="AT137" s="459"/>
      <c r="AU137" s="459"/>
      <c r="AV137" s="459"/>
      <c r="AW137" s="459"/>
      <c r="AX137" s="459"/>
      <c r="AY137" s="459"/>
      <c r="AZ137" s="459"/>
      <c r="BA137" s="459"/>
      <c r="BB137" s="459"/>
      <c r="BC137" s="459"/>
      <c r="BD137" s="459"/>
      <c r="BE137" s="459"/>
      <c r="BF137" s="459"/>
      <c r="BG137" s="459"/>
      <c r="BH137" s="459"/>
      <c r="BI137" s="459"/>
      <c r="BJ137" s="459"/>
    </row>
    <row r="138" ht="15.75" customHeight="1" spans="1:62">
      <c r="A138" s="459"/>
      <c r="B138" s="459"/>
      <c r="C138" s="459"/>
      <c r="D138" s="459"/>
      <c r="E138" s="459"/>
      <c r="F138" s="459"/>
      <c r="G138" s="459"/>
      <c r="H138" s="459"/>
      <c r="I138" s="459"/>
      <c r="J138" s="459"/>
      <c r="K138" s="459"/>
      <c r="L138" s="459"/>
      <c r="M138" s="459"/>
      <c r="N138" s="459"/>
      <c r="O138" s="459"/>
      <c r="P138" s="459"/>
      <c r="Q138" s="459"/>
      <c r="R138" s="459"/>
      <c r="S138" s="459"/>
      <c r="T138" s="459"/>
      <c r="U138" s="459"/>
      <c r="V138" s="459"/>
      <c r="W138" s="459"/>
      <c r="X138" s="459"/>
      <c r="Y138" s="459"/>
      <c r="Z138" s="459"/>
      <c r="AA138" s="459"/>
      <c r="AB138" s="459"/>
      <c r="AC138" s="459"/>
      <c r="AD138" s="459"/>
      <c r="AE138" s="459"/>
      <c r="AF138" s="459"/>
      <c r="AG138" s="459"/>
      <c r="AH138" s="459"/>
      <c r="AI138" s="459"/>
      <c r="AJ138" s="459"/>
      <c r="AK138" s="459"/>
      <c r="AL138" s="459"/>
      <c r="AM138" s="459"/>
      <c r="AN138" s="459"/>
      <c r="AO138" s="459"/>
      <c r="AP138" s="459"/>
      <c r="AQ138" s="459"/>
      <c r="AR138" s="459"/>
      <c r="AS138" s="459"/>
      <c r="AT138" s="459"/>
      <c r="AU138" s="459"/>
      <c r="AV138" s="459"/>
      <c r="AW138" s="459"/>
      <c r="AX138" s="459"/>
      <c r="AY138" s="459"/>
      <c r="AZ138" s="459"/>
      <c r="BA138" s="459"/>
      <c r="BB138" s="459"/>
      <c r="BC138" s="459"/>
      <c r="BD138" s="459"/>
      <c r="BE138" s="459"/>
      <c r="BF138" s="459"/>
      <c r="BG138" s="459"/>
      <c r="BH138" s="459"/>
      <c r="BI138" s="459"/>
      <c r="BJ138" s="459"/>
    </row>
    <row r="139" ht="15.75" customHeight="1" spans="1:62">
      <c r="A139" s="459"/>
      <c r="B139" s="459"/>
      <c r="C139" s="459"/>
      <c r="D139" s="459"/>
      <c r="E139" s="459"/>
      <c r="F139" s="459"/>
      <c r="G139" s="459"/>
      <c r="H139" s="459"/>
      <c r="I139" s="459"/>
      <c r="J139" s="459"/>
      <c r="K139" s="459"/>
      <c r="L139" s="459"/>
      <c r="M139" s="459"/>
      <c r="N139" s="459"/>
      <c r="O139" s="459"/>
      <c r="P139" s="459"/>
      <c r="Q139" s="459"/>
      <c r="R139" s="459"/>
      <c r="S139" s="459"/>
      <c r="T139" s="459"/>
      <c r="U139" s="459"/>
      <c r="V139" s="459"/>
      <c r="W139" s="459"/>
      <c r="X139" s="459"/>
      <c r="Y139" s="459"/>
      <c r="Z139" s="459"/>
      <c r="AA139" s="459"/>
      <c r="AB139" s="459"/>
      <c r="AC139" s="459"/>
      <c r="AD139" s="459"/>
      <c r="AE139" s="459"/>
      <c r="AF139" s="459"/>
      <c r="AG139" s="459"/>
      <c r="AH139" s="459"/>
      <c r="AI139" s="459"/>
      <c r="AJ139" s="459"/>
      <c r="AK139" s="459"/>
      <c r="AL139" s="459"/>
      <c r="AM139" s="459"/>
      <c r="AN139" s="459"/>
      <c r="AO139" s="459"/>
      <c r="AP139" s="459"/>
      <c r="AQ139" s="459"/>
      <c r="AR139" s="459"/>
      <c r="AS139" s="459"/>
      <c r="AT139" s="459"/>
      <c r="AU139" s="459"/>
      <c r="AV139" s="459"/>
      <c r="AW139" s="459"/>
      <c r="AX139" s="459"/>
      <c r="AY139" s="459"/>
      <c r="AZ139" s="459"/>
      <c r="BA139" s="459"/>
      <c r="BB139" s="459"/>
      <c r="BC139" s="459"/>
      <c r="BD139" s="459"/>
      <c r="BE139" s="459"/>
      <c r="BF139" s="459"/>
      <c r="BG139" s="459"/>
      <c r="BH139" s="459"/>
      <c r="BI139" s="459"/>
      <c r="BJ139" s="459"/>
    </row>
    <row r="140" ht="15.75" customHeight="1" spans="1:62">
      <c r="A140" s="459"/>
      <c r="B140" s="459"/>
      <c r="C140" s="459"/>
      <c r="D140" s="459"/>
      <c r="E140" s="459"/>
      <c r="F140" s="459"/>
      <c r="G140" s="459"/>
      <c r="H140" s="459"/>
      <c r="I140" s="459"/>
      <c r="J140" s="459"/>
      <c r="K140" s="459"/>
      <c r="L140" s="459"/>
      <c r="M140" s="459"/>
      <c r="N140" s="459"/>
      <c r="O140" s="459"/>
      <c r="P140" s="459"/>
      <c r="Q140" s="459"/>
      <c r="R140" s="459"/>
      <c r="S140" s="459"/>
      <c r="T140" s="459"/>
      <c r="U140" s="459"/>
      <c r="V140" s="459"/>
      <c r="W140" s="459"/>
      <c r="X140" s="459"/>
      <c r="Y140" s="459"/>
      <c r="Z140" s="459"/>
      <c r="AA140" s="459"/>
      <c r="AB140" s="459"/>
      <c r="AC140" s="459"/>
      <c r="AD140" s="459"/>
      <c r="AE140" s="459"/>
      <c r="AF140" s="459"/>
      <c r="AG140" s="459"/>
      <c r="AH140" s="459"/>
      <c r="AI140" s="459"/>
      <c r="AJ140" s="459"/>
      <c r="AK140" s="459"/>
      <c r="AL140" s="459"/>
      <c r="AM140" s="459"/>
      <c r="AN140" s="459"/>
      <c r="AO140" s="459"/>
      <c r="AP140" s="459"/>
      <c r="AQ140" s="459"/>
      <c r="AR140" s="459"/>
      <c r="AS140" s="459"/>
      <c r="AT140" s="459"/>
      <c r="AU140" s="459"/>
      <c r="AV140" s="459"/>
      <c r="AW140" s="459"/>
      <c r="AX140" s="459"/>
      <c r="AY140" s="459"/>
      <c r="AZ140" s="459"/>
      <c r="BA140" s="459"/>
      <c r="BB140" s="459"/>
      <c r="BC140" s="459"/>
      <c r="BD140" s="459"/>
      <c r="BE140" s="459"/>
      <c r="BF140" s="459"/>
      <c r="BG140" s="459"/>
      <c r="BH140" s="459"/>
      <c r="BI140" s="459"/>
      <c r="BJ140" s="459"/>
    </row>
    <row r="141" ht="15.75" customHeight="1" spans="1:62">
      <c r="A141" s="459"/>
      <c r="B141" s="459"/>
      <c r="C141" s="459"/>
      <c r="D141" s="459"/>
      <c r="E141" s="459"/>
      <c r="F141" s="459"/>
      <c r="G141" s="459"/>
      <c r="H141" s="459"/>
      <c r="I141" s="459"/>
      <c r="J141" s="459"/>
      <c r="K141" s="459"/>
      <c r="L141" s="459"/>
      <c r="M141" s="459"/>
      <c r="N141" s="459"/>
      <c r="O141" s="459"/>
      <c r="P141" s="459"/>
      <c r="Q141" s="459"/>
      <c r="R141" s="459"/>
      <c r="S141" s="459"/>
      <c r="T141" s="459"/>
      <c r="U141" s="459"/>
      <c r="V141" s="459"/>
      <c r="W141" s="459"/>
      <c r="X141" s="459"/>
      <c r="Y141" s="459"/>
      <c r="Z141" s="459"/>
      <c r="AA141" s="459"/>
      <c r="AB141" s="459"/>
      <c r="AC141" s="459"/>
      <c r="AD141" s="459"/>
      <c r="AE141" s="459"/>
      <c r="AF141" s="459"/>
      <c r="AG141" s="459"/>
      <c r="AH141" s="459"/>
      <c r="AI141" s="459"/>
      <c r="AJ141" s="459"/>
      <c r="AK141" s="459"/>
      <c r="AL141" s="459"/>
      <c r="AM141" s="459"/>
      <c r="AN141" s="459"/>
      <c r="AO141" s="459"/>
      <c r="AP141" s="459"/>
      <c r="AQ141" s="459"/>
      <c r="AR141" s="459"/>
      <c r="AS141" s="459"/>
      <c r="AT141" s="459"/>
      <c r="AU141" s="459"/>
      <c r="AV141" s="459"/>
      <c r="AW141" s="459"/>
      <c r="AX141" s="459"/>
      <c r="AY141" s="459"/>
      <c r="AZ141" s="459"/>
      <c r="BA141" s="459"/>
      <c r="BB141" s="459"/>
      <c r="BC141" s="459"/>
      <c r="BD141" s="459"/>
      <c r="BE141" s="459"/>
      <c r="BF141" s="459"/>
      <c r="BG141" s="459"/>
      <c r="BH141" s="459"/>
      <c r="BI141" s="459"/>
      <c r="BJ141" s="459"/>
    </row>
    <row r="142" ht="15.75" customHeight="1" spans="1:62">
      <c r="A142" s="459"/>
      <c r="B142" s="459"/>
      <c r="C142" s="459"/>
      <c r="D142" s="459"/>
      <c r="E142" s="459"/>
      <c r="F142" s="459"/>
      <c r="G142" s="459"/>
      <c r="H142" s="459"/>
      <c r="I142" s="459"/>
      <c r="J142" s="459"/>
      <c r="K142" s="459"/>
      <c r="L142" s="459"/>
      <c r="M142" s="459"/>
      <c r="N142" s="459"/>
      <c r="O142" s="459"/>
      <c r="P142" s="459"/>
      <c r="Q142" s="459"/>
      <c r="R142" s="459"/>
      <c r="S142" s="459"/>
      <c r="T142" s="459"/>
      <c r="U142" s="459"/>
      <c r="V142" s="459"/>
      <c r="W142" s="459"/>
      <c r="X142" s="459"/>
      <c r="Y142" s="459"/>
      <c r="Z142" s="459"/>
      <c r="AA142" s="459"/>
      <c r="AB142" s="459"/>
      <c r="AC142" s="459"/>
      <c r="AD142" s="459"/>
      <c r="AE142" s="459"/>
      <c r="AF142" s="459"/>
      <c r="AG142" s="459"/>
      <c r="AH142" s="459"/>
      <c r="AI142" s="459"/>
      <c r="AJ142" s="459"/>
      <c r="AK142" s="459"/>
      <c r="AL142" s="459"/>
      <c r="AM142" s="459"/>
      <c r="AN142" s="459"/>
      <c r="AO142" s="459"/>
      <c r="AP142" s="459"/>
      <c r="AQ142" s="459"/>
      <c r="AR142" s="459"/>
      <c r="AS142" s="459"/>
      <c r="AT142" s="459"/>
      <c r="AU142" s="459"/>
      <c r="AV142" s="459"/>
      <c r="AW142" s="459"/>
      <c r="AX142" s="459"/>
      <c r="AY142" s="459"/>
      <c r="AZ142" s="459"/>
      <c r="BA142" s="459"/>
      <c r="BB142" s="459"/>
      <c r="BC142" s="459"/>
      <c r="BD142" s="459"/>
      <c r="BE142" s="459"/>
      <c r="BF142" s="459"/>
      <c r="BG142" s="459"/>
      <c r="BH142" s="459"/>
      <c r="BI142" s="459"/>
      <c r="BJ142" s="459"/>
    </row>
    <row r="143" ht="15.75" customHeight="1" spans="1:62">
      <c r="A143" s="459"/>
      <c r="B143" s="459"/>
      <c r="C143" s="459"/>
      <c r="D143" s="459"/>
      <c r="E143" s="459"/>
      <c r="F143" s="459"/>
      <c r="G143" s="459"/>
      <c r="H143" s="459"/>
      <c r="I143" s="459"/>
      <c r="J143" s="459"/>
      <c r="K143" s="459"/>
      <c r="L143" s="459"/>
      <c r="M143" s="459"/>
      <c r="N143" s="459"/>
      <c r="O143" s="459"/>
      <c r="P143" s="459"/>
      <c r="Q143" s="459"/>
      <c r="R143" s="459"/>
      <c r="S143" s="459"/>
      <c r="T143" s="459"/>
      <c r="U143" s="459"/>
      <c r="V143" s="459"/>
      <c r="W143" s="459"/>
      <c r="X143" s="459"/>
      <c r="Y143" s="459"/>
      <c r="Z143" s="459"/>
      <c r="AA143" s="459"/>
      <c r="AB143" s="459"/>
      <c r="AC143" s="459"/>
      <c r="AD143" s="459"/>
      <c r="AE143" s="459"/>
      <c r="AF143" s="459"/>
      <c r="AG143" s="459"/>
      <c r="AH143" s="459"/>
      <c r="AI143" s="459"/>
      <c r="AJ143" s="459"/>
      <c r="AK143" s="459"/>
      <c r="AL143" s="459"/>
      <c r="AM143" s="459"/>
      <c r="AN143" s="459"/>
      <c r="AO143" s="459"/>
      <c r="AP143" s="459"/>
      <c r="AQ143" s="459"/>
      <c r="AR143" s="459"/>
      <c r="AS143" s="459"/>
      <c r="AT143" s="459"/>
      <c r="AU143" s="459"/>
      <c r="AV143" s="459"/>
      <c r="AW143" s="459"/>
      <c r="AX143" s="459"/>
      <c r="AY143" s="459"/>
      <c r="AZ143" s="459"/>
      <c r="BA143" s="459"/>
      <c r="BB143" s="459"/>
      <c r="BC143" s="459"/>
      <c r="BD143" s="459"/>
      <c r="BE143" s="459"/>
      <c r="BF143" s="459"/>
      <c r="BG143" s="459"/>
      <c r="BH143" s="459"/>
      <c r="BI143" s="459"/>
      <c r="BJ143" s="459"/>
    </row>
    <row r="144" ht="15.75" customHeight="1" spans="1:62">
      <c r="A144" s="459"/>
      <c r="B144" s="459"/>
      <c r="C144" s="459"/>
      <c r="D144" s="459"/>
      <c r="E144" s="459"/>
      <c r="F144" s="459"/>
      <c r="G144" s="459"/>
      <c r="H144" s="459"/>
      <c r="I144" s="459"/>
      <c r="J144" s="459"/>
      <c r="K144" s="459"/>
      <c r="L144" s="459"/>
      <c r="M144" s="459"/>
      <c r="N144" s="459"/>
      <c r="O144" s="459"/>
      <c r="P144" s="459"/>
      <c r="Q144" s="459"/>
      <c r="R144" s="459"/>
      <c r="S144" s="459"/>
      <c r="T144" s="459"/>
      <c r="U144" s="459"/>
      <c r="V144" s="459"/>
      <c r="W144" s="459"/>
      <c r="X144" s="459"/>
      <c r="Y144" s="459"/>
      <c r="Z144" s="459"/>
      <c r="AA144" s="459"/>
      <c r="AB144" s="459"/>
      <c r="AC144" s="459"/>
      <c r="AD144" s="459"/>
      <c r="AE144" s="459"/>
      <c r="AF144" s="459"/>
      <c r="AG144" s="459"/>
      <c r="AH144" s="459"/>
      <c r="AI144" s="459"/>
      <c r="AJ144" s="459"/>
      <c r="AK144" s="459"/>
      <c r="AL144" s="459"/>
      <c r="AM144" s="459"/>
      <c r="AN144" s="459"/>
      <c r="AO144" s="459"/>
      <c r="AP144" s="459"/>
      <c r="AQ144" s="459"/>
      <c r="AR144" s="459"/>
      <c r="AS144" s="459"/>
      <c r="AT144" s="459"/>
      <c r="AU144" s="459"/>
      <c r="AV144" s="459"/>
      <c r="AW144" s="459"/>
      <c r="AX144" s="459"/>
      <c r="AY144" s="459"/>
      <c r="AZ144" s="459"/>
      <c r="BA144" s="459"/>
      <c r="BB144" s="459"/>
      <c r="BC144" s="459"/>
      <c r="BD144" s="459"/>
      <c r="BE144" s="459"/>
      <c r="BF144" s="459"/>
      <c r="BG144" s="459"/>
      <c r="BH144" s="459"/>
      <c r="BI144" s="459"/>
      <c r="BJ144" s="459"/>
    </row>
    <row r="145" ht="15.75" customHeight="1" spans="1:62">
      <c r="A145" s="459"/>
      <c r="B145" s="459"/>
      <c r="C145" s="459"/>
      <c r="D145" s="459"/>
      <c r="E145" s="459"/>
      <c r="F145" s="459"/>
      <c r="G145" s="459"/>
      <c r="H145" s="459"/>
      <c r="I145" s="459"/>
      <c r="J145" s="459"/>
      <c r="K145" s="459"/>
      <c r="L145" s="459"/>
      <c r="M145" s="459"/>
      <c r="N145" s="459"/>
      <c r="O145" s="459"/>
      <c r="P145" s="459"/>
      <c r="Q145" s="459"/>
      <c r="R145" s="459"/>
      <c r="S145" s="459"/>
      <c r="T145" s="459"/>
      <c r="U145" s="459"/>
      <c r="V145" s="459"/>
      <c r="W145" s="459"/>
      <c r="X145" s="459"/>
      <c r="Y145" s="459"/>
      <c r="Z145" s="459"/>
      <c r="AA145" s="459"/>
      <c r="AB145" s="459"/>
      <c r="AC145" s="459"/>
      <c r="AD145" s="459"/>
      <c r="AE145" s="459"/>
      <c r="AF145" s="459"/>
      <c r="AG145" s="459"/>
      <c r="AH145" s="459"/>
      <c r="AI145" s="459"/>
      <c r="AJ145" s="459"/>
      <c r="AK145" s="459"/>
      <c r="AL145" s="459"/>
      <c r="AM145" s="459"/>
      <c r="AN145" s="459"/>
      <c r="AO145" s="459"/>
      <c r="AP145" s="459"/>
      <c r="AQ145" s="459"/>
      <c r="AR145" s="459"/>
      <c r="AS145" s="459"/>
      <c r="AT145" s="459"/>
      <c r="AU145" s="459"/>
      <c r="AV145" s="459"/>
      <c r="AW145" s="459"/>
      <c r="AX145" s="459"/>
      <c r="AY145" s="459"/>
      <c r="AZ145" s="459"/>
      <c r="BA145" s="459"/>
      <c r="BB145" s="459"/>
      <c r="BC145" s="459"/>
      <c r="BD145" s="459"/>
      <c r="BE145" s="459"/>
      <c r="BF145" s="459"/>
      <c r="BG145" s="459"/>
      <c r="BH145" s="459"/>
      <c r="BI145" s="459"/>
      <c r="BJ145" s="459"/>
    </row>
    <row r="146" ht="15.75" customHeight="1" spans="1:62">
      <c r="A146" s="459"/>
      <c r="B146" s="459"/>
      <c r="C146" s="459"/>
      <c r="D146" s="459"/>
      <c r="E146" s="459"/>
      <c r="F146" s="459"/>
      <c r="G146" s="459"/>
      <c r="H146" s="459"/>
      <c r="I146" s="459"/>
      <c r="J146" s="459"/>
      <c r="K146" s="459"/>
      <c r="L146" s="459"/>
      <c r="M146" s="459"/>
      <c r="N146" s="459"/>
      <c r="O146" s="459"/>
      <c r="P146" s="459"/>
      <c r="Q146" s="459"/>
      <c r="R146" s="459"/>
      <c r="S146" s="459"/>
      <c r="T146" s="459"/>
      <c r="U146" s="459"/>
      <c r="V146" s="459"/>
      <c r="W146" s="459"/>
      <c r="X146" s="459"/>
      <c r="Y146" s="459"/>
      <c r="Z146" s="459"/>
      <c r="AA146" s="459"/>
      <c r="AB146" s="459"/>
      <c r="AC146" s="459"/>
      <c r="AD146" s="459"/>
      <c r="AE146" s="459"/>
      <c r="AF146" s="459"/>
      <c r="AG146" s="459"/>
      <c r="AH146" s="459"/>
      <c r="AI146" s="459"/>
      <c r="AJ146" s="459"/>
      <c r="AK146" s="459"/>
      <c r="AL146" s="459"/>
      <c r="AM146" s="459"/>
      <c r="AN146" s="459"/>
      <c r="AO146" s="459"/>
      <c r="AP146" s="459"/>
      <c r="AQ146" s="459"/>
      <c r="AR146" s="459"/>
      <c r="AS146" s="459"/>
      <c r="AT146" s="459"/>
      <c r="AU146" s="459"/>
      <c r="AV146" s="459"/>
      <c r="AW146" s="459"/>
      <c r="AX146" s="459"/>
      <c r="AY146" s="459"/>
      <c r="AZ146" s="459"/>
      <c r="BA146" s="459"/>
      <c r="BB146" s="459"/>
      <c r="BC146" s="459"/>
      <c r="BD146" s="459"/>
      <c r="BE146" s="459"/>
      <c r="BF146" s="459"/>
      <c r="BG146" s="459"/>
      <c r="BH146" s="459"/>
      <c r="BI146" s="459"/>
      <c r="BJ146" s="459"/>
    </row>
    <row r="147" ht="15.75" customHeight="1" spans="1:62">
      <c r="A147" s="459"/>
      <c r="B147" s="459"/>
      <c r="C147" s="459"/>
      <c r="D147" s="459"/>
      <c r="E147" s="459"/>
      <c r="F147" s="459"/>
      <c r="G147" s="459"/>
      <c r="H147" s="459"/>
      <c r="I147" s="459"/>
      <c r="J147" s="459"/>
      <c r="K147" s="459"/>
      <c r="L147" s="459"/>
      <c r="M147" s="459"/>
      <c r="N147" s="459"/>
      <c r="O147" s="459"/>
      <c r="P147" s="459"/>
      <c r="Q147" s="459"/>
      <c r="R147" s="459"/>
      <c r="S147" s="459"/>
      <c r="T147" s="459"/>
      <c r="U147" s="459"/>
      <c r="V147" s="459"/>
      <c r="W147" s="459"/>
      <c r="X147" s="459"/>
      <c r="Y147" s="459"/>
      <c r="Z147" s="459"/>
      <c r="AA147" s="459"/>
      <c r="AB147" s="459"/>
      <c r="AC147" s="459"/>
      <c r="AD147" s="459"/>
      <c r="AE147" s="459"/>
      <c r="AF147" s="459"/>
      <c r="AG147" s="459"/>
      <c r="AH147" s="459"/>
      <c r="AI147" s="459"/>
      <c r="AJ147" s="459"/>
      <c r="AK147" s="459"/>
      <c r="AL147" s="459"/>
      <c r="AM147" s="459"/>
      <c r="AN147" s="459"/>
      <c r="AO147" s="459"/>
      <c r="AP147" s="459"/>
      <c r="AQ147" s="459"/>
      <c r="AR147" s="459"/>
      <c r="AS147" s="459"/>
      <c r="AT147" s="459"/>
      <c r="AU147" s="459"/>
      <c r="AV147" s="459"/>
      <c r="AW147" s="459"/>
      <c r="AX147" s="459"/>
      <c r="AY147" s="459"/>
      <c r="AZ147" s="459"/>
      <c r="BA147" s="459"/>
      <c r="BB147" s="459"/>
      <c r="BC147" s="459"/>
      <c r="BD147" s="459"/>
      <c r="BE147" s="459"/>
      <c r="BF147" s="459"/>
      <c r="BG147" s="459"/>
      <c r="BH147" s="459"/>
      <c r="BI147" s="459"/>
      <c r="BJ147" s="459"/>
    </row>
    <row r="148" ht="15.75" customHeight="1" spans="1:62">
      <c r="A148" s="459"/>
      <c r="B148" s="459"/>
      <c r="C148" s="459"/>
      <c r="D148" s="459"/>
      <c r="E148" s="459"/>
      <c r="F148" s="459"/>
      <c r="G148" s="459"/>
      <c r="H148" s="459"/>
      <c r="I148" s="459"/>
      <c r="J148" s="459"/>
      <c r="K148" s="459"/>
      <c r="L148" s="459"/>
      <c r="M148" s="459"/>
      <c r="N148" s="459"/>
      <c r="O148" s="459"/>
      <c r="P148" s="459"/>
      <c r="Q148" s="459"/>
      <c r="R148" s="459"/>
      <c r="S148" s="459"/>
      <c r="T148" s="459"/>
      <c r="U148" s="459"/>
      <c r="V148" s="459"/>
      <c r="W148" s="459"/>
      <c r="X148" s="459"/>
      <c r="Y148" s="459"/>
      <c r="Z148" s="459"/>
      <c r="AA148" s="459"/>
      <c r="AB148" s="459"/>
      <c r="AC148" s="459"/>
      <c r="AD148" s="459"/>
      <c r="AE148" s="459"/>
      <c r="AF148" s="459"/>
      <c r="AG148" s="459"/>
      <c r="AH148" s="459"/>
      <c r="AI148" s="459"/>
      <c r="AJ148" s="459"/>
      <c r="AK148" s="459"/>
      <c r="AL148" s="459"/>
      <c r="AM148" s="459"/>
      <c r="AN148" s="459"/>
      <c r="AO148" s="459"/>
      <c r="AP148" s="459"/>
      <c r="AQ148" s="459"/>
      <c r="AR148" s="459"/>
      <c r="AS148" s="459"/>
      <c r="AT148" s="459"/>
      <c r="AU148" s="459"/>
      <c r="AV148" s="459"/>
      <c r="AW148" s="459"/>
      <c r="AX148" s="459"/>
      <c r="AY148" s="459"/>
      <c r="AZ148" s="459"/>
      <c r="BA148" s="459"/>
      <c r="BB148" s="459"/>
      <c r="BC148" s="459"/>
      <c r="BD148" s="459"/>
      <c r="BE148" s="459"/>
      <c r="BF148" s="459"/>
      <c r="BG148" s="459"/>
      <c r="BH148" s="459"/>
      <c r="BI148" s="459"/>
      <c r="BJ148" s="459"/>
    </row>
    <row r="149" ht="15.75" customHeight="1" spans="1:62">
      <c r="A149" s="459"/>
      <c r="B149" s="459"/>
      <c r="C149" s="459"/>
      <c r="D149" s="459"/>
      <c r="E149" s="459"/>
      <c r="F149" s="459"/>
      <c r="G149" s="459"/>
      <c r="H149" s="459"/>
      <c r="I149" s="459"/>
      <c r="J149" s="459"/>
      <c r="K149" s="459"/>
      <c r="L149" s="459"/>
      <c r="M149" s="459"/>
      <c r="N149" s="459"/>
      <c r="O149" s="459"/>
      <c r="P149" s="459"/>
      <c r="Q149" s="459"/>
      <c r="R149" s="459"/>
      <c r="S149" s="459"/>
      <c r="T149" s="459"/>
      <c r="U149" s="459"/>
      <c r="V149" s="459"/>
      <c r="W149" s="459"/>
      <c r="X149" s="459"/>
      <c r="Y149" s="459"/>
      <c r="Z149" s="459"/>
      <c r="AA149" s="459"/>
      <c r="AB149" s="459"/>
      <c r="AC149" s="459"/>
      <c r="AD149" s="459"/>
      <c r="AE149" s="459"/>
      <c r="AF149" s="459"/>
      <c r="AG149" s="459"/>
      <c r="AH149" s="459"/>
      <c r="AI149" s="459"/>
      <c r="AJ149" s="459"/>
      <c r="AK149" s="459"/>
      <c r="AL149" s="459"/>
      <c r="AM149" s="459"/>
      <c r="AN149" s="459"/>
      <c r="AO149" s="459"/>
      <c r="AP149" s="459"/>
      <c r="AQ149" s="459"/>
      <c r="AR149" s="459"/>
      <c r="AS149" s="459"/>
      <c r="AT149" s="459"/>
      <c r="AU149" s="459"/>
      <c r="AV149" s="459"/>
      <c r="AW149" s="459"/>
      <c r="AX149" s="459"/>
      <c r="AY149" s="459"/>
      <c r="AZ149" s="459"/>
      <c r="BA149" s="459"/>
      <c r="BB149" s="459"/>
      <c r="BC149" s="459"/>
      <c r="BD149" s="459"/>
      <c r="BE149" s="459"/>
      <c r="BF149" s="459"/>
      <c r="BG149" s="459"/>
      <c r="BH149" s="459"/>
      <c r="BI149" s="459"/>
      <c r="BJ149" s="459"/>
    </row>
    <row r="150" ht="15.75" customHeight="1" spans="1:62">
      <c r="A150" s="459"/>
      <c r="B150" s="459"/>
      <c r="C150" s="459"/>
      <c r="D150" s="459"/>
      <c r="E150" s="459"/>
      <c r="F150" s="459"/>
      <c r="G150" s="459"/>
      <c r="H150" s="459"/>
      <c r="I150" s="459"/>
      <c r="J150" s="459"/>
      <c r="K150" s="459"/>
      <c r="L150" s="459"/>
      <c r="M150" s="459"/>
      <c r="N150" s="459"/>
      <c r="O150" s="459"/>
      <c r="P150" s="459"/>
      <c r="Q150" s="459"/>
      <c r="R150" s="459"/>
      <c r="S150" s="459"/>
      <c r="T150" s="459"/>
      <c r="U150" s="459"/>
      <c r="V150" s="459"/>
      <c r="W150" s="459"/>
      <c r="X150" s="459"/>
      <c r="Y150" s="459"/>
      <c r="Z150" s="459"/>
      <c r="AA150" s="459"/>
      <c r="AB150" s="459"/>
      <c r="AC150" s="459"/>
      <c r="AD150" s="459"/>
      <c r="AE150" s="459"/>
      <c r="AF150" s="459"/>
      <c r="AG150" s="459"/>
      <c r="AH150" s="459"/>
      <c r="AI150" s="459"/>
      <c r="AJ150" s="459"/>
      <c r="AK150" s="459"/>
      <c r="AL150" s="459"/>
      <c r="AM150" s="459"/>
      <c r="AN150" s="459"/>
      <c r="AO150" s="459"/>
      <c r="AP150" s="459"/>
      <c r="AQ150" s="459"/>
      <c r="AR150" s="459"/>
      <c r="AS150" s="459"/>
      <c r="AT150" s="459"/>
      <c r="AU150" s="459"/>
      <c r="AV150" s="459"/>
      <c r="AW150" s="459"/>
      <c r="AX150" s="459"/>
      <c r="AY150" s="459"/>
      <c r="AZ150" s="459"/>
      <c r="BA150" s="459"/>
      <c r="BB150" s="459"/>
      <c r="BC150" s="459"/>
      <c r="BD150" s="459"/>
      <c r="BE150" s="459"/>
      <c r="BF150" s="459"/>
      <c r="BG150" s="459"/>
      <c r="BH150" s="459"/>
      <c r="BI150" s="459"/>
      <c r="BJ150" s="459"/>
    </row>
    <row r="151" ht="15.75" customHeight="1" spans="1:62">
      <c r="A151" s="459"/>
      <c r="B151" s="459"/>
      <c r="C151" s="459"/>
      <c r="D151" s="459"/>
      <c r="E151" s="459"/>
      <c r="F151" s="459"/>
      <c r="G151" s="459"/>
      <c r="H151" s="459"/>
      <c r="I151" s="459"/>
      <c r="J151" s="459"/>
      <c r="K151" s="459"/>
      <c r="L151" s="459"/>
      <c r="M151" s="459"/>
      <c r="N151" s="459"/>
      <c r="O151" s="459"/>
      <c r="P151" s="459"/>
      <c r="Q151" s="459"/>
      <c r="R151" s="459"/>
      <c r="S151" s="459"/>
      <c r="T151" s="459"/>
      <c r="U151" s="459"/>
      <c r="V151" s="459"/>
      <c r="W151" s="459"/>
      <c r="X151" s="459"/>
      <c r="Y151" s="459"/>
      <c r="Z151" s="459"/>
      <c r="AA151" s="459"/>
      <c r="AB151" s="459"/>
      <c r="AC151" s="459"/>
      <c r="AD151" s="459"/>
      <c r="AE151" s="459"/>
      <c r="AF151" s="459"/>
      <c r="AG151" s="459"/>
      <c r="AH151" s="459"/>
      <c r="AI151" s="459"/>
      <c r="AJ151" s="459"/>
      <c r="AK151" s="459"/>
      <c r="AL151" s="459"/>
      <c r="AM151" s="459"/>
      <c r="AN151" s="459"/>
      <c r="AO151" s="459"/>
      <c r="AP151" s="459"/>
      <c r="AQ151" s="459"/>
      <c r="AR151" s="459"/>
      <c r="AS151" s="459"/>
      <c r="AT151" s="459"/>
      <c r="AU151" s="459"/>
      <c r="AV151" s="459"/>
      <c r="AW151" s="459"/>
      <c r="AX151" s="459"/>
      <c r="AY151" s="459"/>
      <c r="AZ151" s="459"/>
      <c r="BA151" s="459"/>
      <c r="BB151" s="459"/>
      <c r="BC151" s="459"/>
      <c r="BD151" s="459"/>
      <c r="BE151" s="459"/>
      <c r="BF151" s="459"/>
      <c r="BG151" s="459"/>
      <c r="BH151" s="459"/>
      <c r="BI151" s="459"/>
      <c r="BJ151" s="459"/>
    </row>
    <row r="152" ht="15.75" customHeight="1" spans="1:62">
      <c r="A152" s="459"/>
      <c r="B152" s="459"/>
      <c r="C152" s="459"/>
      <c r="D152" s="459"/>
      <c r="E152" s="459"/>
      <c r="F152" s="459"/>
      <c r="G152" s="459"/>
      <c r="H152" s="459"/>
      <c r="I152" s="459"/>
      <c r="J152" s="459"/>
      <c r="K152" s="459"/>
      <c r="L152" s="459"/>
      <c r="M152" s="459"/>
      <c r="N152" s="459"/>
      <c r="O152" s="459"/>
      <c r="P152" s="459"/>
      <c r="Q152" s="459"/>
      <c r="R152" s="459"/>
      <c r="S152" s="459"/>
      <c r="T152" s="459"/>
      <c r="U152" s="459"/>
      <c r="V152" s="459"/>
      <c r="W152" s="459"/>
      <c r="X152" s="459"/>
      <c r="Y152" s="459"/>
      <c r="Z152" s="459"/>
      <c r="AA152" s="459"/>
      <c r="AB152" s="459"/>
      <c r="AC152" s="459"/>
      <c r="AD152" s="459"/>
      <c r="AE152" s="459"/>
      <c r="AF152" s="459"/>
      <c r="AG152" s="459"/>
      <c r="AH152" s="459"/>
      <c r="AI152" s="459"/>
      <c r="AJ152" s="459"/>
      <c r="AK152" s="459"/>
      <c r="AL152" s="459"/>
      <c r="AM152" s="459"/>
      <c r="AN152" s="459"/>
      <c r="AO152" s="459"/>
      <c r="AP152" s="459"/>
      <c r="AQ152" s="459"/>
      <c r="AR152" s="459"/>
      <c r="AS152" s="459"/>
      <c r="AT152" s="459"/>
      <c r="AU152" s="459"/>
      <c r="AV152" s="459"/>
      <c r="AW152" s="459"/>
      <c r="AX152" s="459"/>
      <c r="AY152" s="459"/>
      <c r="AZ152" s="459"/>
      <c r="BA152" s="459"/>
      <c r="BB152" s="459"/>
      <c r="BC152" s="459"/>
      <c r="BD152" s="459"/>
      <c r="BE152" s="459"/>
      <c r="BF152" s="459"/>
      <c r="BG152" s="459"/>
      <c r="BH152" s="459"/>
      <c r="BI152" s="459"/>
      <c r="BJ152" s="459"/>
    </row>
    <row r="153" ht="15.75" customHeight="1" spans="1:62">
      <c r="A153" s="459"/>
      <c r="B153" s="459"/>
      <c r="C153" s="459"/>
      <c r="D153" s="459"/>
      <c r="E153" s="459"/>
      <c r="F153" s="459"/>
      <c r="G153" s="459"/>
      <c r="H153" s="459"/>
      <c r="I153" s="459"/>
      <c r="J153" s="459"/>
      <c r="K153" s="459"/>
      <c r="L153" s="459"/>
      <c r="M153" s="459"/>
      <c r="N153" s="459"/>
      <c r="O153" s="459"/>
      <c r="P153" s="459"/>
      <c r="Q153" s="459"/>
      <c r="R153" s="459"/>
      <c r="S153" s="459"/>
      <c r="T153" s="459"/>
      <c r="U153" s="459"/>
      <c r="V153" s="459"/>
      <c r="W153" s="459"/>
      <c r="X153" s="459"/>
      <c r="Y153" s="459"/>
      <c r="Z153" s="459"/>
      <c r="AA153" s="459"/>
      <c r="AB153" s="459"/>
      <c r="AC153" s="459"/>
      <c r="AD153" s="459"/>
      <c r="AE153" s="459"/>
      <c r="AF153" s="459"/>
      <c r="AG153" s="459"/>
      <c r="AH153" s="459"/>
      <c r="AI153" s="459"/>
      <c r="AJ153" s="459"/>
      <c r="AK153" s="459"/>
      <c r="AL153" s="459"/>
      <c r="AM153" s="459"/>
      <c r="AN153" s="459"/>
      <c r="AO153" s="459"/>
      <c r="AP153" s="459"/>
      <c r="AQ153" s="459"/>
      <c r="AR153" s="459"/>
      <c r="AS153" s="459"/>
      <c r="AT153" s="459"/>
      <c r="AU153" s="459"/>
      <c r="AV153" s="459"/>
      <c r="AW153" s="459"/>
      <c r="AX153" s="459"/>
      <c r="AY153" s="459"/>
      <c r="AZ153" s="459"/>
      <c r="BA153" s="459"/>
      <c r="BB153" s="459"/>
      <c r="BC153" s="459"/>
      <c r="BD153" s="459"/>
      <c r="BE153" s="459"/>
      <c r="BF153" s="459"/>
      <c r="BG153" s="459"/>
      <c r="BH153" s="459"/>
      <c r="BI153" s="459"/>
      <c r="BJ153" s="459"/>
    </row>
    <row r="154" ht="15.75" customHeight="1" spans="1:62">
      <c r="A154" s="459"/>
      <c r="B154" s="459"/>
      <c r="C154" s="459"/>
      <c r="D154" s="459"/>
      <c r="E154" s="459"/>
      <c r="F154" s="459"/>
      <c r="G154" s="459"/>
      <c r="H154" s="459"/>
      <c r="I154" s="459"/>
      <c r="J154" s="459"/>
      <c r="K154" s="459"/>
      <c r="L154" s="459"/>
      <c r="M154" s="459"/>
      <c r="N154" s="459"/>
      <c r="O154" s="459"/>
      <c r="P154" s="459"/>
      <c r="Q154" s="459"/>
      <c r="R154" s="459"/>
      <c r="S154" s="459"/>
      <c r="T154" s="459"/>
      <c r="U154" s="459"/>
      <c r="V154" s="459"/>
      <c r="W154" s="459"/>
      <c r="X154" s="459"/>
      <c r="Y154" s="459"/>
      <c r="Z154" s="459"/>
      <c r="AA154" s="459"/>
      <c r="AB154" s="459"/>
      <c r="AC154" s="459"/>
      <c r="AD154" s="459"/>
      <c r="AE154" s="459"/>
      <c r="AF154" s="459"/>
      <c r="AG154" s="459"/>
      <c r="AH154" s="459"/>
      <c r="AI154" s="459"/>
      <c r="AJ154" s="459"/>
      <c r="AK154" s="459"/>
      <c r="AL154" s="459"/>
      <c r="AM154" s="459"/>
      <c r="AN154" s="459"/>
      <c r="AO154" s="459"/>
      <c r="AP154" s="459"/>
      <c r="AQ154" s="459"/>
      <c r="AR154" s="459"/>
      <c r="AS154" s="459"/>
      <c r="AT154" s="459"/>
      <c r="AU154" s="459"/>
      <c r="AV154" s="459"/>
      <c r="AW154" s="459"/>
      <c r="AX154" s="459"/>
      <c r="AY154" s="459"/>
      <c r="AZ154" s="459"/>
      <c r="BA154" s="459"/>
      <c r="BB154" s="459"/>
      <c r="BC154" s="459"/>
      <c r="BD154" s="459"/>
      <c r="BE154" s="459"/>
      <c r="BF154" s="459"/>
      <c r="BG154" s="459"/>
      <c r="BH154" s="459"/>
      <c r="BI154" s="459"/>
      <c r="BJ154" s="459"/>
    </row>
    <row r="155" ht="15.75" customHeight="1" spans="1:62">
      <c r="A155" s="459"/>
      <c r="B155" s="459"/>
      <c r="C155" s="459"/>
      <c r="D155" s="459"/>
      <c r="E155" s="459"/>
      <c r="F155" s="459"/>
      <c r="G155" s="459"/>
      <c r="H155" s="459"/>
      <c r="I155" s="459"/>
      <c r="J155" s="459"/>
      <c r="K155" s="459"/>
      <c r="L155" s="459"/>
      <c r="M155" s="459"/>
      <c r="N155" s="459"/>
      <c r="O155" s="459"/>
      <c r="P155" s="459"/>
      <c r="Q155" s="459"/>
      <c r="R155" s="459"/>
      <c r="S155" s="459"/>
      <c r="T155" s="459"/>
      <c r="U155" s="459"/>
      <c r="V155" s="459"/>
      <c r="W155" s="459"/>
      <c r="X155" s="459"/>
      <c r="Y155" s="459"/>
      <c r="Z155" s="459"/>
      <c r="AA155" s="459"/>
      <c r="AB155" s="459"/>
      <c r="AC155" s="459"/>
      <c r="AD155" s="459"/>
      <c r="AE155" s="459"/>
      <c r="AF155" s="459"/>
      <c r="AG155" s="459"/>
      <c r="AH155" s="459"/>
      <c r="AI155" s="459"/>
      <c r="AJ155" s="459"/>
      <c r="AK155" s="459"/>
      <c r="AL155" s="459"/>
      <c r="AM155" s="459"/>
      <c r="AN155" s="459"/>
      <c r="AO155" s="459"/>
      <c r="AP155" s="459"/>
      <c r="AQ155" s="459"/>
      <c r="AR155" s="459"/>
      <c r="AS155" s="459"/>
      <c r="AT155" s="459"/>
      <c r="AU155" s="459"/>
      <c r="AV155" s="459"/>
      <c r="AW155" s="459"/>
      <c r="AX155" s="459"/>
      <c r="AY155" s="459"/>
      <c r="AZ155" s="459"/>
      <c r="BA155" s="459"/>
      <c r="BB155" s="459"/>
      <c r="BC155" s="459"/>
      <c r="BD155" s="459"/>
      <c r="BE155" s="459"/>
      <c r="BF155" s="459"/>
      <c r="BG155" s="459"/>
      <c r="BH155" s="459"/>
      <c r="BI155" s="459"/>
      <c r="BJ155" s="459"/>
    </row>
    <row r="156" ht="15.75" customHeight="1" spans="1:62">
      <c r="A156" s="459"/>
      <c r="B156" s="459"/>
      <c r="C156" s="459"/>
      <c r="D156" s="459"/>
      <c r="E156" s="459"/>
      <c r="F156" s="459"/>
      <c r="G156" s="459"/>
      <c r="H156" s="459"/>
      <c r="I156" s="459"/>
      <c r="J156" s="459"/>
      <c r="K156" s="459"/>
      <c r="L156" s="459"/>
      <c r="M156" s="459"/>
      <c r="N156" s="459"/>
      <c r="O156" s="459"/>
      <c r="P156" s="459"/>
      <c r="Q156" s="459"/>
      <c r="R156" s="459"/>
      <c r="S156" s="459"/>
      <c r="T156" s="459"/>
      <c r="U156" s="459"/>
      <c r="V156" s="459"/>
      <c r="W156" s="459"/>
      <c r="X156" s="459"/>
      <c r="Y156" s="459"/>
      <c r="Z156" s="459"/>
      <c r="AA156" s="459"/>
      <c r="AB156" s="459"/>
      <c r="AC156" s="459"/>
      <c r="AD156" s="459"/>
      <c r="AE156" s="459"/>
      <c r="AF156" s="459"/>
      <c r="AG156" s="459"/>
      <c r="AH156" s="459"/>
      <c r="AI156" s="459"/>
      <c r="AJ156" s="459"/>
      <c r="AK156" s="459"/>
      <c r="AL156" s="459"/>
      <c r="AM156" s="459"/>
      <c r="AN156" s="459"/>
      <c r="AO156" s="459"/>
      <c r="AP156" s="459"/>
      <c r="AQ156" s="459"/>
      <c r="AR156" s="459"/>
      <c r="AS156" s="459"/>
      <c r="AT156" s="459"/>
      <c r="AU156" s="459"/>
      <c r="AV156" s="459"/>
      <c r="AW156" s="459"/>
      <c r="AX156" s="459"/>
      <c r="AY156" s="459"/>
      <c r="AZ156" s="459"/>
      <c r="BA156" s="459"/>
      <c r="BB156" s="459"/>
      <c r="BC156" s="459"/>
      <c r="BD156" s="459"/>
      <c r="BE156" s="459"/>
      <c r="BF156" s="459"/>
      <c r="BG156" s="459"/>
      <c r="BH156" s="459"/>
      <c r="BI156" s="459"/>
      <c r="BJ156" s="459"/>
    </row>
    <row r="157" ht="15.75" customHeight="1" spans="1:62">
      <c r="A157" s="459"/>
      <c r="B157" s="459"/>
      <c r="C157" s="459"/>
      <c r="D157" s="459"/>
      <c r="E157" s="459"/>
      <c r="F157" s="459"/>
      <c r="G157" s="459"/>
      <c r="H157" s="459"/>
      <c r="I157" s="459"/>
      <c r="J157" s="459"/>
      <c r="K157" s="459"/>
      <c r="L157" s="459"/>
      <c r="M157" s="459"/>
      <c r="N157" s="459"/>
      <c r="O157" s="459"/>
      <c r="P157" s="459"/>
      <c r="Q157" s="459"/>
      <c r="R157" s="459"/>
      <c r="S157" s="459"/>
      <c r="T157" s="459"/>
      <c r="U157" s="459"/>
      <c r="V157" s="459"/>
      <c r="W157" s="459"/>
      <c r="X157" s="459"/>
      <c r="Y157" s="459"/>
      <c r="Z157" s="459"/>
      <c r="AA157" s="459"/>
      <c r="AB157" s="459"/>
      <c r="AC157" s="459"/>
      <c r="AD157" s="459"/>
      <c r="AE157" s="459"/>
      <c r="AF157" s="459"/>
      <c r="AG157" s="459"/>
      <c r="AH157" s="459"/>
      <c r="AI157" s="459"/>
      <c r="AJ157" s="459"/>
      <c r="AK157" s="459"/>
      <c r="AL157" s="459"/>
      <c r="AM157" s="459"/>
      <c r="AN157" s="459"/>
      <c r="AO157" s="459"/>
      <c r="AP157" s="459"/>
      <c r="AQ157" s="459"/>
      <c r="AR157" s="459"/>
      <c r="AS157" s="459"/>
      <c r="AT157" s="459"/>
      <c r="AU157" s="459"/>
      <c r="AV157" s="459"/>
      <c r="AW157" s="459"/>
      <c r="AX157" s="459"/>
      <c r="AY157" s="459"/>
      <c r="AZ157" s="459"/>
      <c r="BA157" s="459"/>
      <c r="BB157" s="459"/>
      <c r="BC157" s="459"/>
      <c r="BD157" s="459"/>
      <c r="BE157" s="459"/>
      <c r="BF157" s="459"/>
      <c r="BG157" s="459"/>
      <c r="BH157" s="459"/>
      <c r="BI157" s="459"/>
      <c r="BJ157" s="459"/>
    </row>
    <row r="158" ht="15.75" customHeight="1" spans="1:62">
      <c r="A158" s="459"/>
      <c r="B158" s="459"/>
      <c r="C158" s="459"/>
      <c r="D158" s="459"/>
      <c r="E158" s="459"/>
      <c r="F158" s="459"/>
      <c r="G158" s="459"/>
      <c r="H158" s="459"/>
      <c r="I158" s="459"/>
      <c r="J158" s="459"/>
      <c r="K158" s="459"/>
      <c r="L158" s="459"/>
      <c r="M158" s="459"/>
      <c r="N158" s="459"/>
      <c r="O158" s="459"/>
      <c r="P158" s="459"/>
      <c r="Q158" s="459"/>
      <c r="R158" s="459"/>
      <c r="S158" s="459"/>
      <c r="T158" s="459"/>
      <c r="U158" s="459"/>
      <c r="V158" s="459"/>
      <c r="W158" s="459"/>
      <c r="X158" s="459"/>
      <c r="Y158" s="459"/>
      <c r="Z158" s="459"/>
      <c r="AA158" s="459"/>
      <c r="AB158" s="459"/>
      <c r="AC158" s="459"/>
      <c r="AD158" s="459"/>
      <c r="AE158" s="459"/>
      <c r="AF158" s="459"/>
      <c r="AG158" s="459"/>
      <c r="AH158" s="459"/>
      <c r="AI158" s="459"/>
      <c r="AJ158" s="459"/>
      <c r="AK158" s="459"/>
      <c r="AL158" s="459"/>
      <c r="AM158" s="459"/>
      <c r="AN158" s="459"/>
      <c r="AO158" s="459"/>
      <c r="AP158" s="459"/>
      <c r="AQ158" s="459"/>
      <c r="AR158" s="459"/>
      <c r="AS158" s="459"/>
      <c r="AT158" s="459"/>
      <c r="AU158" s="459"/>
      <c r="AV158" s="459"/>
      <c r="AW158" s="459"/>
      <c r="AX158" s="459"/>
      <c r="AY158" s="459"/>
      <c r="AZ158" s="459"/>
      <c r="BA158" s="459"/>
      <c r="BB158" s="459"/>
      <c r="BC158" s="459"/>
      <c r="BD158" s="459"/>
      <c r="BE158" s="459"/>
      <c r="BF158" s="459"/>
      <c r="BG158" s="459"/>
      <c r="BH158" s="459"/>
      <c r="BI158" s="459"/>
      <c r="BJ158" s="459"/>
    </row>
    <row r="159" ht="15.75" customHeight="1" spans="1:62">
      <c r="A159" s="459"/>
      <c r="B159" s="459"/>
      <c r="C159" s="459"/>
      <c r="D159" s="459"/>
      <c r="E159" s="459"/>
      <c r="F159" s="459"/>
      <c r="G159" s="459"/>
      <c r="H159" s="459"/>
      <c r="I159" s="459"/>
      <c r="J159" s="459"/>
      <c r="K159" s="459"/>
      <c r="L159" s="459"/>
      <c r="M159" s="459"/>
      <c r="N159" s="459"/>
      <c r="O159" s="459"/>
      <c r="P159" s="459"/>
      <c r="Q159" s="459"/>
      <c r="R159" s="459"/>
      <c r="S159" s="459"/>
      <c r="T159" s="459"/>
      <c r="U159" s="459"/>
      <c r="V159" s="459"/>
      <c r="W159" s="459"/>
      <c r="X159" s="459"/>
      <c r="Y159" s="459"/>
      <c r="Z159" s="459"/>
      <c r="AA159" s="459"/>
      <c r="AB159" s="459"/>
      <c r="AC159" s="459"/>
      <c r="AD159" s="459"/>
      <c r="AE159" s="459"/>
      <c r="AF159" s="459"/>
      <c r="AG159" s="459"/>
      <c r="AH159" s="459"/>
      <c r="AI159" s="459"/>
      <c r="AJ159" s="459"/>
      <c r="AK159" s="459"/>
      <c r="AL159" s="459"/>
      <c r="AM159" s="459"/>
      <c r="AN159" s="459"/>
      <c r="AO159" s="459"/>
      <c r="AP159" s="459"/>
      <c r="AQ159" s="459"/>
      <c r="AR159" s="459"/>
      <c r="AS159" s="459"/>
      <c r="AT159" s="459"/>
      <c r="AU159" s="459"/>
      <c r="AV159" s="459"/>
      <c r="AW159" s="459"/>
      <c r="AX159" s="459"/>
      <c r="AY159" s="459"/>
      <c r="AZ159" s="459"/>
      <c r="BA159" s="459"/>
      <c r="BB159" s="459"/>
      <c r="BC159" s="459"/>
      <c r="BD159" s="459"/>
      <c r="BE159" s="459"/>
      <c r="BF159" s="459"/>
      <c r="BG159" s="459"/>
      <c r="BH159" s="459"/>
      <c r="BI159" s="459"/>
      <c r="BJ159" s="459"/>
    </row>
    <row r="160" ht="15.75" customHeight="1" spans="1:62">
      <c r="A160" s="459"/>
      <c r="B160" s="459"/>
      <c r="C160" s="459"/>
      <c r="D160" s="459"/>
      <c r="E160" s="459"/>
      <c r="F160" s="459"/>
      <c r="G160" s="459"/>
      <c r="H160" s="459"/>
      <c r="I160" s="459"/>
      <c r="J160" s="459"/>
      <c r="K160" s="459"/>
      <c r="L160" s="459"/>
      <c r="M160" s="459"/>
      <c r="N160" s="459"/>
      <c r="O160" s="459"/>
      <c r="P160" s="459"/>
      <c r="Q160" s="459"/>
      <c r="R160" s="459"/>
      <c r="S160" s="459"/>
      <c r="T160" s="459"/>
      <c r="U160" s="459"/>
      <c r="V160" s="459"/>
      <c r="W160" s="459"/>
      <c r="X160" s="459"/>
      <c r="Y160" s="459"/>
      <c r="Z160" s="459"/>
      <c r="AA160" s="459"/>
      <c r="AB160" s="459"/>
      <c r="AC160" s="459"/>
      <c r="AD160" s="459"/>
      <c r="AE160" s="459"/>
      <c r="AF160" s="459"/>
      <c r="AG160" s="459"/>
      <c r="AH160" s="459"/>
      <c r="AI160" s="459"/>
      <c r="AJ160" s="459"/>
      <c r="AK160" s="459"/>
      <c r="AL160" s="459"/>
      <c r="AM160" s="459"/>
      <c r="AN160" s="459"/>
      <c r="AO160" s="459"/>
      <c r="AP160" s="459"/>
      <c r="AQ160" s="459"/>
      <c r="AR160" s="459"/>
      <c r="AS160" s="459"/>
      <c r="AT160" s="459"/>
      <c r="AU160" s="459"/>
      <c r="AV160" s="459"/>
      <c r="AW160" s="459"/>
      <c r="AX160" s="459"/>
      <c r="AY160" s="459"/>
      <c r="AZ160" s="459"/>
      <c r="BA160" s="459"/>
      <c r="BB160" s="459"/>
      <c r="BC160" s="459"/>
      <c r="BD160" s="459"/>
      <c r="BE160" s="459"/>
      <c r="BF160" s="459"/>
      <c r="BG160" s="459"/>
      <c r="BH160" s="459"/>
      <c r="BI160" s="459"/>
      <c r="BJ160" s="459"/>
    </row>
    <row r="161" ht="15.75" customHeight="1" spans="1:62">
      <c r="A161" s="459"/>
      <c r="B161" s="459"/>
      <c r="C161" s="459"/>
      <c r="D161" s="459"/>
      <c r="E161" s="459"/>
      <c r="F161" s="459"/>
      <c r="G161" s="459"/>
      <c r="H161" s="459"/>
      <c r="I161" s="459"/>
      <c r="J161" s="459"/>
      <c r="K161" s="459"/>
      <c r="L161" s="459"/>
      <c r="M161" s="459"/>
      <c r="N161" s="459"/>
      <c r="O161" s="459"/>
      <c r="P161" s="459"/>
      <c r="Q161" s="459"/>
      <c r="R161" s="459"/>
      <c r="S161" s="459"/>
      <c r="T161" s="459"/>
      <c r="U161" s="459"/>
      <c r="V161" s="459"/>
      <c r="W161" s="459"/>
      <c r="X161" s="459"/>
      <c r="Y161" s="459"/>
      <c r="Z161" s="459"/>
      <c r="AA161" s="459"/>
      <c r="AB161" s="459"/>
      <c r="AC161" s="459"/>
      <c r="AD161" s="459"/>
      <c r="AE161" s="459"/>
      <c r="AF161" s="459"/>
      <c r="AG161" s="459"/>
      <c r="AH161" s="459"/>
      <c r="AI161" s="459"/>
      <c r="AJ161" s="459"/>
      <c r="AK161" s="459"/>
      <c r="AL161" s="459"/>
      <c r="AM161" s="459"/>
      <c r="AN161" s="459"/>
      <c r="AO161" s="459"/>
      <c r="AP161" s="459"/>
      <c r="AQ161" s="459"/>
      <c r="AR161" s="459"/>
      <c r="AS161" s="459"/>
      <c r="AT161" s="459"/>
      <c r="AU161" s="459"/>
      <c r="AV161" s="459"/>
      <c r="AW161" s="459"/>
      <c r="AX161" s="459"/>
      <c r="AY161" s="459"/>
      <c r="AZ161" s="459"/>
      <c r="BA161" s="459"/>
      <c r="BB161" s="459"/>
      <c r="BC161" s="459"/>
      <c r="BD161" s="459"/>
      <c r="BE161" s="459"/>
      <c r="BF161" s="459"/>
      <c r="BG161" s="459"/>
      <c r="BH161" s="459"/>
      <c r="BI161" s="459"/>
      <c r="BJ161" s="459"/>
    </row>
    <row r="162" ht="15.75" customHeight="1" spans="1:62">
      <c r="A162" s="459"/>
      <c r="B162" s="459"/>
      <c r="C162" s="459"/>
      <c r="D162" s="459"/>
      <c r="E162" s="459"/>
      <c r="F162" s="459"/>
      <c r="G162" s="459"/>
      <c r="H162" s="459"/>
      <c r="I162" s="459"/>
      <c r="J162" s="459"/>
      <c r="K162" s="459"/>
      <c r="L162" s="459"/>
      <c r="M162" s="459"/>
      <c r="N162" s="459"/>
      <c r="O162" s="459"/>
      <c r="P162" s="459"/>
      <c r="Q162" s="459"/>
      <c r="R162" s="459"/>
      <c r="S162" s="459"/>
      <c r="T162" s="459"/>
      <c r="U162" s="459"/>
      <c r="V162" s="459"/>
      <c r="W162" s="459"/>
      <c r="X162" s="459"/>
      <c r="Y162" s="459"/>
      <c r="Z162" s="459"/>
      <c r="AA162" s="459"/>
      <c r="AB162" s="459"/>
      <c r="AC162" s="459"/>
      <c r="AD162" s="459"/>
      <c r="AE162" s="459"/>
      <c r="AF162" s="459"/>
      <c r="AG162" s="459"/>
      <c r="AH162" s="459"/>
      <c r="AI162" s="459"/>
      <c r="AJ162" s="459"/>
      <c r="AK162" s="459"/>
      <c r="AL162" s="459"/>
      <c r="AM162" s="459"/>
      <c r="AN162" s="459"/>
      <c r="AO162" s="459"/>
      <c r="AP162" s="459"/>
      <c r="AQ162" s="459"/>
      <c r="AR162" s="459"/>
      <c r="AS162" s="459"/>
      <c r="AT162" s="459"/>
      <c r="AU162" s="459"/>
      <c r="AV162" s="459"/>
      <c r="AW162" s="459"/>
      <c r="AX162" s="459"/>
      <c r="AY162" s="459"/>
      <c r="AZ162" s="459"/>
      <c r="BA162" s="459"/>
      <c r="BB162" s="459"/>
      <c r="BC162" s="459"/>
      <c r="BD162" s="459"/>
      <c r="BE162" s="459"/>
      <c r="BF162" s="459"/>
      <c r="BG162" s="459"/>
      <c r="BH162" s="459"/>
      <c r="BI162" s="459"/>
      <c r="BJ162" s="459"/>
    </row>
    <row r="163" ht="15.75" customHeight="1" spans="1:62">
      <c r="A163" s="459"/>
      <c r="B163" s="459"/>
      <c r="C163" s="459"/>
      <c r="D163" s="459"/>
      <c r="E163" s="459"/>
      <c r="F163" s="459"/>
      <c r="G163" s="459"/>
      <c r="H163" s="459"/>
      <c r="I163" s="459"/>
      <c r="J163" s="459"/>
      <c r="K163" s="459"/>
      <c r="L163" s="459"/>
      <c r="M163" s="459"/>
      <c r="N163" s="459"/>
      <c r="O163" s="459"/>
      <c r="P163" s="459"/>
      <c r="Q163" s="459"/>
      <c r="R163" s="459"/>
      <c r="S163" s="459"/>
      <c r="T163" s="459"/>
      <c r="U163" s="459"/>
      <c r="V163" s="459"/>
      <c r="W163" s="459"/>
      <c r="X163" s="459"/>
      <c r="Y163" s="459"/>
      <c r="Z163" s="459"/>
      <c r="AA163" s="459"/>
      <c r="AB163" s="459"/>
      <c r="AC163" s="459"/>
      <c r="AD163" s="459"/>
      <c r="AE163" s="459"/>
      <c r="AF163" s="459"/>
      <c r="AG163" s="459"/>
      <c r="AH163" s="459"/>
      <c r="AI163" s="459"/>
      <c r="AJ163" s="459"/>
      <c r="AK163" s="459"/>
      <c r="AL163" s="459"/>
      <c r="AM163" s="459"/>
      <c r="AN163" s="459"/>
      <c r="AO163" s="459"/>
      <c r="AP163" s="459"/>
      <c r="AQ163" s="459"/>
      <c r="AR163" s="459"/>
      <c r="AS163" s="459"/>
      <c r="AT163" s="459"/>
      <c r="AU163" s="459"/>
      <c r="AV163" s="459"/>
      <c r="AW163" s="459"/>
      <c r="AX163" s="459"/>
      <c r="AY163" s="459"/>
      <c r="AZ163" s="459"/>
      <c r="BA163" s="459"/>
      <c r="BB163" s="459"/>
      <c r="BC163" s="459"/>
      <c r="BD163" s="459"/>
      <c r="BE163" s="459"/>
      <c r="BF163" s="459"/>
      <c r="BG163" s="459"/>
      <c r="BH163" s="459"/>
      <c r="BI163" s="459"/>
      <c r="BJ163" s="459"/>
    </row>
    <row r="164" ht="15.75" customHeight="1" spans="1:62">
      <c r="A164" s="459"/>
      <c r="B164" s="459"/>
      <c r="C164" s="459"/>
      <c r="D164" s="459"/>
      <c r="E164" s="459"/>
      <c r="F164" s="459"/>
      <c r="G164" s="459"/>
      <c r="H164" s="459"/>
      <c r="I164" s="459"/>
      <c r="J164" s="459"/>
      <c r="K164" s="459"/>
      <c r="L164" s="459"/>
      <c r="M164" s="459"/>
      <c r="N164" s="459"/>
      <c r="O164" s="459"/>
      <c r="P164" s="459"/>
      <c r="Q164" s="459"/>
      <c r="R164" s="459"/>
      <c r="S164" s="459"/>
      <c r="T164" s="459"/>
      <c r="U164" s="459"/>
      <c r="V164" s="459"/>
      <c r="W164" s="459"/>
      <c r="X164" s="459"/>
      <c r="Y164" s="459"/>
      <c r="Z164" s="459"/>
      <c r="AA164" s="459"/>
      <c r="AB164" s="459"/>
      <c r="AC164" s="459"/>
      <c r="AD164" s="459"/>
      <c r="AE164" s="459"/>
      <c r="AF164" s="459"/>
      <c r="AG164" s="459"/>
      <c r="AH164" s="459"/>
      <c r="AI164" s="459"/>
      <c r="AJ164" s="459"/>
      <c r="AK164" s="459"/>
      <c r="AL164" s="459"/>
      <c r="AM164" s="459"/>
      <c r="AN164" s="459"/>
      <c r="AO164" s="459"/>
      <c r="AP164" s="459"/>
      <c r="AQ164" s="459"/>
      <c r="AR164" s="459"/>
      <c r="AS164" s="459"/>
      <c r="AT164" s="459"/>
      <c r="AU164" s="459"/>
      <c r="AV164" s="459"/>
      <c r="AW164" s="459"/>
      <c r="AX164" s="459"/>
      <c r="AY164" s="459"/>
      <c r="AZ164" s="459"/>
      <c r="BA164" s="459"/>
      <c r="BB164" s="459"/>
      <c r="BC164" s="459"/>
      <c r="BD164" s="459"/>
      <c r="BE164" s="459"/>
      <c r="BF164" s="459"/>
      <c r="BG164" s="459"/>
      <c r="BH164" s="459"/>
      <c r="BI164" s="459"/>
      <c r="BJ164" s="459"/>
    </row>
    <row r="165" ht="15.75" customHeight="1" spans="1:62">
      <c r="A165" s="459"/>
      <c r="B165" s="459"/>
      <c r="C165" s="459"/>
      <c r="D165" s="459"/>
      <c r="E165" s="459"/>
      <c r="F165" s="459"/>
      <c r="G165" s="459"/>
      <c r="H165" s="459"/>
      <c r="I165" s="459"/>
      <c r="J165" s="459"/>
      <c r="K165" s="459"/>
      <c r="L165" s="459"/>
      <c r="M165" s="459"/>
      <c r="N165" s="459"/>
      <c r="O165" s="459"/>
      <c r="P165" s="459"/>
      <c r="Q165" s="459"/>
      <c r="R165" s="459"/>
      <c r="S165" s="459"/>
      <c r="T165" s="459"/>
      <c r="U165" s="459"/>
      <c r="V165" s="459"/>
      <c r="W165" s="459"/>
      <c r="X165" s="459"/>
      <c r="Y165" s="459"/>
      <c r="Z165" s="459"/>
      <c r="AA165" s="459"/>
      <c r="AB165" s="459"/>
      <c r="AC165" s="459"/>
      <c r="AD165" s="459"/>
      <c r="AE165" s="459"/>
      <c r="AF165" s="459"/>
      <c r="AG165" s="459"/>
      <c r="AH165" s="459"/>
      <c r="AI165" s="459"/>
      <c r="AJ165" s="459"/>
      <c r="AK165" s="459"/>
      <c r="AL165" s="459"/>
      <c r="AM165" s="459"/>
      <c r="AN165" s="459"/>
      <c r="AO165" s="459"/>
      <c r="AP165" s="459"/>
      <c r="AQ165" s="459"/>
      <c r="AR165" s="459"/>
      <c r="AS165" s="459"/>
      <c r="AT165" s="459"/>
      <c r="AU165" s="459"/>
      <c r="AV165" s="459"/>
      <c r="AW165" s="459"/>
      <c r="AX165" s="459"/>
      <c r="AY165" s="459"/>
      <c r="AZ165" s="459"/>
      <c r="BA165" s="459"/>
      <c r="BB165" s="459"/>
      <c r="BC165" s="459"/>
      <c r="BD165" s="459"/>
      <c r="BE165" s="459"/>
      <c r="BF165" s="459"/>
      <c r="BG165" s="459"/>
      <c r="BH165" s="459"/>
      <c r="BI165" s="459"/>
      <c r="BJ165" s="459"/>
    </row>
    <row r="166" ht="15.75" customHeight="1" spans="1:62">
      <c r="A166" s="459"/>
      <c r="B166" s="459"/>
      <c r="C166" s="459"/>
      <c r="D166" s="459"/>
      <c r="E166" s="459"/>
      <c r="F166" s="459"/>
      <c r="G166" s="459"/>
      <c r="H166" s="459"/>
      <c r="I166" s="459"/>
      <c r="J166" s="459"/>
      <c r="K166" s="459"/>
      <c r="L166" s="459"/>
      <c r="M166" s="459"/>
      <c r="N166" s="459"/>
      <c r="O166" s="459"/>
      <c r="P166" s="459"/>
      <c r="Q166" s="459"/>
      <c r="R166" s="459"/>
      <c r="S166" s="459"/>
      <c r="T166" s="459"/>
      <c r="U166" s="459"/>
      <c r="V166" s="459"/>
      <c r="W166" s="459"/>
      <c r="X166" s="459"/>
      <c r="Y166" s="459"/>
      <c r="Z166" s="459"/>
      <c r="AA166" s="459"/>
      <c r="AB166" s="459"/>
      <c r="AC166" s="459"/>
      <c r="AD166" s="459"/>
      <c r="AE166" s="459"/>
      <c r="AF166" s="459"/>
      <c r="AG166" s="459"/>
      <c r="AH166" s="459"/>
      <c r="AI166" s="459"/>
      <c r="AJ166" s="459"/>
      <c r="AK166" s="459"/>
      <c r="AL166" s="459"/>
      <c r="AM166" s="459"/>
      <c r="AN166" s="459"/>
      <c r="AO166" s="459"/>
      <c r="AP166" s="459"/>
      <c r="AQ166" s="459"/>
      <c r="AR166" s="459"/>
      <c r="AS166" s="459"/>
      <c r="AT166" s="459"/>
      <c r="AU166" s="459"/>
      <c r="AV166" s="459"/>
      <c r="AW166" s="459"/>
      <c r="AX166" s="459"/>
      <c r="AY166" s="459"/>
      <c r="AZ166" s="459"/>
      <c r="BA166" s="459"/>
      <c r="BB166" s="459"/>
      <c r="BC166" s="459"/>
      <c r="BD166" s="459"/>
      <c r="BE166" s="459"/>
      <c r="BF166" s="459"/>
      <c r="BG166" s="459"/>
      <c r="BH166" s="459"/>
      <c r="BI166" s="459"/>
      <c r="BJ166" s="459"/>
    </row>
    <row r="167" ht="15.75" customHeight="1" spans="1:62">
      <c r="A167" s="459"/>
      <c r="B167" s="459"/>
      <c r="C167" s="459"/>
      <c r="D167" s="459"/>
      <c r="E167" s="459"/>
      <c r="F167" s="459"/>
      <c r="G167" s="459"/>
      <c r="H167" s="459"/>
      <c r="I167" s="459"/>
      <c r="J167" s="459"/>
      <c r="K167" s="459"/>
      <c r="L167" s="459"/>
      <c r="M167" s="459"/>
      <c r="N167" s="459"/>
      <c r="O167" s="459"/>
      <c r="P167" s="459"/>
      <c r="Q167" s="459"/>
      <c r="R167" s="459"/>
      <c r="S167" s="459"/>
      <c r="T167" s="459"/>
      <c r="U167" s="459"/>
      <c r="V167" s="459"/>
      <c r="W167" s="459"/>
      <c r="X167" s="459"/>
      <c r="Y167" s="459"/>
      <c r="Z167" s="459"/>
      <c r="AA167" s="459"/>
      <c r="AB167" s="459"/>
      <c r="AC167" s="459"/>
      <c r="AD167" s="459"/>
      <c r="AE167" s="459"/>
      <c r="AF167" s="459"/>
      <c r="AG167" s="459"/>
      <c r="AH167" s="459"/>
      <c r="AI167" s="459"/>
      <c r="AJ167" s="459"/>
      <c r="AK167" s="459"/>
      <c r="AL167" s="459"/>
      <c r="AM167" s="459"/>
      <c r="AN167" s="459"/>
      <c r="AO167" s="459"/>
      <c r="AP167" s="459"/>
      <c r="AQ167" s="459"/>
      <c r="AR167" s="459"/>
      <c r="AS167" s="459"/>
      <c r="AT167" s="459"/>
      <c r="AU167" s="459"/>
      <c r="AV167" s="459"/>
      <c r="AW167" s="459"/>
      <c r="AX167" s="459"/>
      <c r="AY167" s="459"/>
      <c r="AZ167" s="459"/>
      <c r="BA167" s="459"/>
      <c r="BB167" s="459"/>
      <c r="BC167" s="459"/>
      <c r="BD167" s="459"/>
      <c r="BE167" s="459"/>
      <c r="BF167" s="459"/>
      <c r="BG167" s="459"/>
      <c r="BH167" s="459"/>
      <c r="BI167" s="459"/>
      <c r="BJ167" s="459"/>
    </row>
    <row r="168" ht="15.75" customHeight="1" spans="1:62">
      <c r="A168" s="459"/>
      <c r="B168" s="459"/>
      <c r="C168" s="459"/>
      <c r="D168" s="459"/>
      <c r="E168" s="459"/>
      <c r="F168" s="459"/>
      <c r="G168" s="459"/>
      <c r="H168" s="459"/>
      <c r="I168" s="459"/>
      <c r="J168" s="459"/>
      <c r="K168" s="459"/>
      <c r="L168" s="459"/>
      <c r="M168" s="459"/>
      <c r="N168" s="459"/>
      <c r="O168" s="459"/>
      <c r="P168" s="459"/>
      <c r="Q168" s="459"/>
      <c r="R168" s="459"/>
      <c r="S168" s="459"/>
      <c r="T168" s="459"/>
      <c r="U168" s="459"/>
      <c r="V168" s="459"/>
      <c r="W168" s="459"/>
      <c r="X168" s="459"/>
      <c r="Y168" s="459"/>
      <c r="Z168" s="459"/>
      <c r="AA168" s="459"/>
      <c r="AB168" s="459"/>
      <c r="AC168" s="459"/>
      <c r="AD168" s="459"/>
      <c r="AE168" s="459"/>
      <c r="AF168" s="459"/>
      <c r="AG168" s="459"/>
      <c r="AH168" s="459"/>
      <c r="AI168" s="459"/>
      <c r="AJ168" s="459"/>
      <c r="AK168" s="459"/>
      <c r="AL168" s="459"/>
      <c r="AM168" s="459"/>
      <c r="AN168" s="459"/>
      <c r="AO168" s="459"/>
      <c r="AP168" s="459"/>
      <c r="AQ168" s="459"/>
      <c r="AR168" s="459"/>
      <c r="AS168" s="459"/>
      <c r="AT168" s="459"/>
      <c r="AU168" s="459"/>
      <c r="AV168" s="459"/>
      <c r="AW168" s="459"/>
      <c r="AX168" s="459"/>
      <c r="AY168" s="459"/>
      <c r="AZ168" s="459"/>
      <c r="BA168" s="459"/>
      <c r="BB168" s="459"/>
      <c r="BC168" s="459"/>
      <c r="BD168" s="459"/>
      <c r="BE168" s="459"/>
      <c r="BF168" s="459"/>
      <c r="BG168" s="459"/>
      <c r="BH168" s="459"/>
      <c r="BI168" s="459"/>
      <c r="BJ168" s="459"/>
    </row>
    <row r="169" ht="15.75" customHeight="1" spans="1:62">
      <c r="A169" s="459"/>
      <c r="B169" s="459"/>
      <c r="C169" s="459"/>
      <c r="D169" s="459"/>
      <c r="E169" s="459"/>
      <c r="F169" s="459"/>
      <c r="G169" s="459"/>
      <c r="H169" s="459"/>
      <c r="I169" s="459"/>
      <c r="J169" s="459"/>
      <c r="K169" s="459"/>
      <c r="L169" s="459"/>
      <c r="M169" s="459"/>
      <c r="N169" s="459"/>
      <c r="O169" s="459"/>
      <c r="P169" s="459"/>
      <c r="Q169" s="459"/>
      <c r="R169" s="459"/>
      <c r="S169" s="459"/>
      <c r="T169" s="459"/>
      <c r="U169" s="459"/>
      <c r="V169" s="459"/>
      <c r="W169" s="459"/>
      <c r="X169" s="459"/>
      <c r="Y169" s="459"/>
      <c r="Z169" s="459"/>
      <c r="AA169" s="459"/>
      <c r="AB169" s="459"/>
      <c r="AC169" s="459"/>
      <c r="AD169" s="459"/>
      <c r="AE169" s="459"/>
      <c r="AF169" s="459"/>
      <c r="AG169" s="459"/>
      <c r="AH169" s="459"/>
      <c r="AI169" s="459"/>
      <c r="AJ169" s="459"/>
      <c r="AK169" s="459"/>
      <c r="AL169" s="459"/>
      <c r="AM169" s="459"/>
      <c r="AN169" s="459"/>
      <c r="AO169" s="459"/>
      <c r="AP169" s="459"/>
      <c r="AQ169" s="459"/>
      <c r="AR169" s="459"/>
      <c r="AS169" s="459"/>
      <c r="AT169" s="459"/>
      <c r="AU169" s="459"/>
      <c r="AV169" s="459"/>
      <c r="AW169" s="459"/>
      <c r="AX169" s="459"/>
      <c r="AY169" s="459"/>
      <c r="AZ169" s="459"/>
      <c r="BA169" s="459"/>
      <c r="BB169" s="459"/>
      <c r="BC169" s="459"/>
      <c r="BD169" s="459"/>
      <c r="BE169" s="459"/>
      <c r="BF169" s="459"/>
      <c r="BG169" s="459"/>
      <c r="BH169" s="459"/>
      <c r="BI169" s="459"/>
      <c r="BJ169" s="459"/>
    </row>
    <row r="170" ht="15.75" customHeight="1" spans="1:62">
      <c r="A170" s="459"/>
      <c r="B170" s="459"/>
      <c r="C170" s="459"/>
      <c r="D170" s="459"/>
      <c r="E170" s="459"/>
      <c r="F170" s="459"/>
      <c r="G170" s="459"/>
      <c r="H170" s="459"/>
      <c r="I170" s="459"/>
      <c r="J170" s="459"/>
      <c r="K170" s="459"/>
      <c r="L170" s="459"/>
      <c r="M170" s="459"/>
      <c r="N170" s="459"/>
      <c r="O170" s="459"/>
      <c r="P170" s="459"/>
      <c r="Q170" s="459"/>
      <c r="R170" s="459"/>
      <c r="S170" s="459"/>
      <c r="T170" s="459"/>
      <c r="U170" s="459"/>
      <c r="V170" s="459"/>
      <c r="W170" s="459"/>
      <c r="X170" s="459"/>
      <c r="Y170" s="459"/>
      <c r="Z170" s="459"/>
      <c r="AA170" s="459"/>
      <c r="AB170" s="459"/>
      <c r="AC170" s="459"/>
      <c r="AD170" s="459"/>
      <c r="AE170" s="459"/>
      <c r="AF170" s="459"/>
      <c r="AG170" s="459"/>
      <c r="AH170" s="459"/>
      <c r="AI170" s="459"/>
      <c r="AJ170" s="459"/>
      <c r="AK170" s="459"/>
      <c r="AL170" s="459"/>
      <c r="AM170" s="459"/>
      <c r="AN170" s="459"/>
      <c r="AO170" s="459"/>
      <c r="AP170" s="459"/>
      <c r="AQ170" s="459"/>
      <c r="AR170" s="459"/>
      <c r="AS170" s="459"/>
      <c r="AT170" s="459"/>
      <c r="AU170" s="459"/>
      <c r="AV170" s="459"/>
      <c r="AW170" s="459"/>
      <c r="AX170" s="459"/>
      <c r="AY170" s="459"/>
      <c r="AZ170" s="459"/>
      <c r="BA170" s="459"/>
      <c r="BB170" s="459"/>
      <c r="BC170" s="459"/>
      <c r="BD170" s="459"/>
      <c r="BE170" s="459"/>
      <c r="BF170" s="459"/>
      <c r="BG170" s="459"/>
      <c r="BH170" s="459"/>
      <c r="BI170" s="459"/>
      <c r="BJ170" s="459"/>
    </row>
    <row r="171" ht="15.75" customHeight="1" spans="1:62">
      <c r="A171" s="459"/>
      <c r="B171" s="459"/>
      <c r="C171" s="459"/>
      <c r="D171" s="459"/>
      <c r="E171" s="459"/>
      <c r="F171" s="459"/>
      <c r="G171" s="459"/>
      <c r="H171" s="459"/>
      <c r="I171" s="459"/>
      <c r="J171" s="459"/>
      <c r="K171" s="459"/>
      <c r="L171" s="459"/>
      <c r="M171" s="459"/>
      <c r="N171" s="459"/>
      <c r="O171" s="459"/>
      <c r="P171" s="459"/>
      <c r="Q171" s="459"/>
      <c r="R171" s="459"/>
      <c r="S171" s="459"/>
      <c r="T171" s="459"/>
      <c r="U171" s="459"/>
      <c r="V171" s="459"/>
      <c r="W171" s="459"/>
      <c r="X171" s="459"/>
      <c r="Y171" s="459"/>
      <c r="Z171" s="459"/>
      <c r="AA171" s="459"/>
      <c r="AB171" s="459"/>
      <c r="AC171" s="459"/>
      <c r="AD171" s="459"/>
      <c r="AE171" s="459"/>
      <c r="AF171" s="459"/>
      <c r="AG171" s="459"/>
      <c r="AH171" s="459"/>
      <c r="AI171" s="459"/>
      <c r="AJ171" s="459"/>
      <c r="AK171" s="459"/>
      <c r="AL171" s="459"/>
      <c r="AM171" s="459"/>
      <c r="AN171" s="459"/>
      <c r="AO171" s="459"/>
      <c r="AP171" s="459"/>
      <c r="AQ171" s="459"/>
      <c r="AR171" s="459"/>
      <c r="AS171" s="459"/>
      <c r="AT171" s="459"/>
      <c r="AU171" s="459"/>
      <c r="AV171" s="459"/>
      <c r="AW171" s="459"/>
      <c r="AX171" s="459"/>
      <c r="AY171" s="459"/>
      <c r="AZ171" s="459"/>
      <c r="BA171" s="459"/>
      <c r="BB171" s="459"/>
      <c r="BC171" s="459"/>
      <c r="BD171" s="459"/>
      <c r="BE171" s="459"/>
      <c r="BF171" s="459"/>
      <c r="BG171" s="459"/>
      <c r="BH171" s="459"/>
      <c r="BI171" s="459"/>
      <c r="BJ171" s="459"/>
    </row>
    <row r="172" ht="15.75" customHeight="1" spans="1:62">
      <c r="A172" s="459"/>
      <c r="B172" s="459"/>
      <c r="C172" s="459"/>
      <c r="D172" s="459"/>
      <c r="E172" s="459"/>
      <c r="F172" s="459"/>
      <c r="G172" s="459"/>
      <c r="H172" s="459"/>
      <c r="I172" s="459"/>
      <c r="J172" s="459"/>
      <c r="K172" s="459"/>
      <c r="L172" s="459"/>
      <c r="M172" s="459"/>
      <c r="N172" s="459"/>
      <c r="O172" s="459"/>
      <c r="P172" s="459"/>
      <c r="Q172" s="459"/>
      <c r="R172" s="459"/>
      <c r="S172" s="459"/>
      <c r="T172" s="459"/>
      <c r="U172" s="459"/>
      <c r="V172" s="459"/>
      <c r="W172" s="459"/>
      <c r="X172" s="459"/>
      <c r="Y172" s="459"/>
      <c r="Z172" s="459"/>
      <c r="AA172" s="459"/>
      <c r="AB172" s="459"/>
      <c r="AC172" s="459"/>
      <c r="AD172" s="459"/>
      <c r="AE172" s="459"/>
      <c r="AF172" s="459"/>
      <c r="AG172" s="459"/>
      <c r="AH172" s="459"/>
      <c r="AI172" s="459"/>
      <c r="AJ172" s="459"/>
      <c r="AK172" s="459"/>
      <c r="AL172" s="459"/>
      <c r="AM172" s="459"/>
      <c r="AN172" s="459"/>
      <c r="AO172" s="459"/>
      <c r="AP172" s="459"/>
      <c r="AQ172" s="459"/>
      <c r="AR172" s="459"/>
      <c r="AS172" s="459"/>
      <c r="AT172" s="459"/>
      <c r="AU172" s="459"/>
      <c r="AV172" s="459"/>
      <c r="AW172" s="459"/>
      <c r="AX172" s="459"/>
      <c r="AY172" s="459"/>
      <c r="AZ172" s="459"/>
      <c r="BA172" s="459"/>
      <c r="BB172" s="459"/>
      <c r="BC172" s="459"/>
      <c r="BD172" s="459"/>
      <c r="BE172" s="459"/>
      <c r="BF172" s="459"/>
      <c r="BG172" s="459"/>
      <c r="BH172" s="459"/>
      <c r="BI172" s="459"/>
      <c r="BJ172" s="459"/>
    </row>
    <row r="173" ht="15.75" customHeight="1" spans="1:62">
      <c r="A173" s="459"/>
      <c r="B173" s="459"/>
      <c r="C173" s="459"/>
      <c r="D173" s="459"/>
      <c r="E173" s="459"/>
      <c r="F173" s="459"/>
      <c r="G173" s="459"/>
      <c r="H173" s="459"/>
      <c r="I173" s="459"/>
      <c r="J173" s="459"/>
      <c r="K173" s="459"/>
      <c r="L173" s="459"/>
      <c r="M173" s="459"/>
      <c r="N173" s="459"/>
      <c r="O173" s="459"/>
      <c r="P173" s="459"/>
      <c r="Q173" s="459"/>
      <c r="R173" s="459"/>
      <c r="S173" s="459"/>
      <c r="T173" s="459"/>
      <c r="U173" s="459"/>
      <c r="V173" s="459"/>
      <c r="W173" s="459"/>
      <c r="X173" s="459"/>
      <c r="Y173" s="459"/>
      <c r="Z173" s="459"/>
      <c r="AA173" s="459"/>
      <c r="AB173" s="459"/>
      <c r="AC173" s="459"/>
      <c r="AD173" s="459"/>
      <c r="AE173" s="459"/>
      <c r="AF173" s="459"/>
      <c r="AG173" s="459"/>
      <c r="AH173" s="459"/>
      <c r="AI173" s="459"/>
      <c r="AJ173" s="459"/>
      <c r="AK173" s="459"/>
      <c r="AL173" s="459"/>
      <c r="AM173" s="459"/>
      <c r="AN173" s="459"/>
      <c r="AO173" s="459"/>
      <c r="AP173" s="459"/>
      <c r="AQ173" s="459"/>
      <c r="AR173" s="459"/>
      <c r="AS173" s="459"/>
      <c r="AT173" s="459"/>
      <c r="AU173" s="459"/>
      <c r="AV173" s="459"/>
      <c r="AW173" s="459"/>
      <c r="AX173" s="459"/>
      <c r="AY173" s="459"/>
      <c r="AZ173" s="459"/>
      <c r="BA173" s="459"/>
      <c r="BB173" s="459"/>
      <c r="BC173" s="459"/>
      <c r="BD173" s="459"/>
      <c r="BE173" s="459"/>
      <c r="BF173" s="459"/>
      <c r="BG173" s="459"/>
      <c r="BH173" s="459"/>
      <c r="BI173" s="459"/>
      <c r="BJ173" s="459"/>
    </row>
    <row r="174" ht="15.75" customHeight="1" spans="1:62">
      <c r="A174" s="459"/>
      <c r="B174" s="459"/>
      <c r="C174" s="459"/>
      <c r="D174" s="459"/>
      <c r="E174" s="459"/>
      <c r="F174" s="459"/>
      <c r="G174" s="459"/>
      <c r="H174" s="459"/>
      <c r="I174" s="459"/>
      <c r="J174" s="459"/>
      <c r="K174" s="459"/>
      <c r="L174" s="459"/>
      <c r="M174" s="459"/>
      <c r="N174" s="459"/>
      <c r="O174" s="459"/>
      <c r="P174" s="459"/>
      <c r="Q174" s="459"/>
      <c r="R174" s="459"/>
      <c r="S174" s="459"/>
      <c r="T174" s="459"/>
      <c r="U174" s="459"/>
      <c r="V174" s="459"/>
      <c r="W174" s="459"/>
      <c r="X174" s="459"/>
      <c r="Y174" s="459"/>
      <c r="Z174" s="459"/>
      <c r="AA174" s="459"/>
      <c r="AB174" s="459"/>
      <c r="AC174" s="459"/>
      <c r="AD174" s="459"/>
      <c r="AE174" s="459"/>
      <c r="AF174" s="459"/>
      <c r="AG174" s="459"/>
      <c r="AH174" s="459"/>
      <c r="AI174" s="459"/>
      <c r="AJ174" s="459"/>
      <c r="AK174" s="459"/>
      <c r="AL174" s="459"/>
      <c r="AM174" s="459"/>
      <c r="AN174" s="459"/>
      <c r="AO174" s="459"/>
      <c r="AP174" s="459"/>
      <c r="AQ174" s="459"/>
      <c r="AR174" s="459"/>
      <c r="AS174" s="459"/>
      <c r="AT174" s="459"/>
      <c r="AU174" s="459"/>
      <c r="AV174" s="459"/>
      <c r="AW174" s="459"/>
      <c r="AX174" s="459"/>
      <c r="AY174" s="459"/>
      <c r="AZ174" s="459"/>
      <c r="BA174" s="459"/>
      <c r="BB174" s="459"/>
      <c r="BC174" s="459"/>
      <c r="BD174" s="459"/>
      <c r="BE174" s="459"/>
      <c r="BF174" s="459"/>
      <c r="BG174" s="459"/>
      <c r="BH174" s="459"/>
      <c r="BI174" s="459"/>
      <c r="BJ174" s="459"/>
    </row>
    <row r="175" ht="15.75" customHeight="1" spans="1:62">
      <c r="A175" s="459"/>
      <c r="B175" s="459"/>
      <c r="C175" s="459"/>
      <c r="D175" s="459"/>
      <c r="E175" s="459"/>
      <c r="F175" s="459"/>
      <c r="G175" s="459"/>
      <c r="H175" s="459"/>
      <c r="I175" s="459"/>
      <c r="J175" s="459"/>
      <c r="K175" s="459"/>
      <c r="L175" s="459"/>
      <c r="M175" s="459"/>
      <c r="N175" s="459"/>
      <c r="O175" s="459"/>
      <c r="P175" s="459"/>
      <c r="Q175" s="459"/>
      <c r="R175" s="459"/>
      <c r="S175" s="459"/>
      <c r="T175" s="459"/>
      <c r="U175" s="459"/>
      <c r="V175" s="459"/>
      <c r="W175" s="459"/>
      <c r="X175" s="459"/>
      <c r="Y175" s="459"/>
      <c r="Z175" s="459"/>
      <c r="AA175" s="459"/>
      <c r="AB175" s="459"/>
      <c r="AC175" s="459"/>
      <c r="AD175" s="459"/>
      <c r="AE175" s="459"/>
      <c r="AF175" s="459"/>
      <c r="AG175" s="459"/>
      <c r="AH175" s="459"/>
      <c r="AI175" s="459"/>
      <c r="AJ175" s="459"/>
      <c r="AK175" s="459"/>
      <c r="AL175" s="459"/>
      <c r="AM175" s="459"/>
      <c r="AN175" s="459"/>
      <c r="AO175" s="459"/>
      <c r="AP175" s="459"/>
      <c r="AQ175" s="459"/>
      <c r="AR175" s="459"/>
      <c r="AS175" s="459"/>
      <c r="AT175" s="459"/>
      <c r="AU175" s="459"/>
      <c r="AV175" s="459"/>
      <c r="AW175" s="459"/>
      <c r="AX175" s="459"/>
      <c r="AY175" s="459"/>
      <c r="AZ175" s="459"/>
      <c r="BA175" s="459"/>
      <c r="BB175" s="459"/>
      <c r="BC175" s="459"/>
      <c r="BD175" s="459"/>
      <c r="BE175" s="459"/>
      <c r="BF175" s="459"/>
      <c r="BG175" s="459"/>
      <c r="BH175" s="459"/>
      <c r="BI175" s="459"/>
      <c r="BJ175" s="459"/>
    </row>
    <row r="176" ht="15.75" customHeight="1" spans="1:62">
      <c r="A176" s="459"/>
      <c r="B176" s="459"/>
      <c r="C176" s="459"/>
      <c r="D176" s="459"/>
      <c r="E176" s="459"/>
      <c r="F176" s="459"/>
      <c r="G176" s="459"/>
      <c r="H176" s="459"/>
      <c r="I176" s="459"/>
      <c r="J176" s="459"/>
      <c r="K176" s="459"/>
      <c r="L176" s="459"/>
      <c r="M176" s="459"/>
      <c r="N176" s="459"/>
      <c r="O176" s="459"/>
      <c r="P176" s="459"/>
      <c r="Q176" s="459"/>
      <c r="R176" s="459"/>
      <c r="S176" s="459"/>
      <c r="T176" s="459"/>
      <c r="U176" s="459"/>
      <c r="V176" s="459"/>
      <c r="W176" s="459"/>
      <c r="X176" s="459"/>
      <c r="Y176" s="459"/>
      <c r="Z176" s="459"/>
      <c r="AA176" s="459"/>
      <c r="AB176" s="459"/>
      <c r="AC176" s="459"/>
      <c r="AD176" s="459"/>
      <c r="AE176" s="459"/>
      <c r="AF176" s="459"/>
      <c r="AG176" s="459"/>
      <c r="AH176" s="459"/>
      <c r="AI176" s="459"/>
      <c r="AJ176" s="459"/>
      <c r="AK176" s="459"/>
      <c r="AL176" s="459"/>
      <c r="AM176" s="459"/>
      <c r="AN176" s="459"/>
      <c r="AO176" s="459"/>
      <c r="AP176" s="459"/>
      <c r="AQ176" s="459"/>
      <c r="AR176" s="459"/>
      <c r="AS176" s="459"/>
      <c r="AT176" s="459"/>
      <c r="AU176" s="459"/>
      <c r="AV176" s="459"/>
      <c r="AW176" s="459"/>
      <c r="AX176" s="459"/>
      <c r="AY176" s="459"/>
      <c r="AZ176" s="459"/>
      <c r="BA176" s="459"/>
      <c r="BB176" s="459"/>
      <c r="BC176" s="459"/>
      <c r="BD176" s="459"/>
      <c r="BE176" s="459"/>
      <c r="BF176" s="459"/>
      <c r="BG176" s="459"/>
      <c r="BH176" s="459"/>
      <c r="BI176" s="459"/>
      <c r="BJ176" s="459"/>
    </row>
    <row r="177" ht="15.75" customHeight="1" spans="1:62">
      <c r="A177" s="459"/>
      <c r="B177" s="459"/>
      <c r="C177" s="459"/>
      <c r="D177" s="459"/>
      <c r="E177" s="459"/>
      <c r="F177" s="459"/>
      <c r="G177" s="459"/>
      <c r="H177" s="459"/>
      <c r="I177" s="459"/>
      <c r="J177" s="459"/>
      <c r="K177" s="459"/>
      <c r="L177" s="459"/>
      <c r="M177" s="459"/>
      <c r="N177" s="459"/>
      <c r="O177" s="459"/>
      <c r="P177" s="459"/>
      <c r="Q177" s="459"/>
      <c r="R177" s="459"/>
      <c r="S177" s="459"/>
      <c r="T177" s="459"/>
      <c r="U177" s="459"/>
      <c r="V177" s="459"/>
      <c r="W177" s="459"/>
      <c r="X177" s="459"/>
      <c r="Y177" s="459"/>
      <c r="Z177" s="459"/>
      <c r="AA177" s="459"/>
      <c r="AB177" s="459"/>
      <c r="AC177" s="459"/>
      <c r="AD177" s="459"/>
      <c r="AE177" s="459"/>
      <c r="AF177" s="459"/>
      <c r="AG177" s="459"/>
      <c r="AH177" s="459"/>
      <c r="AI177" s="459"/>
      <c r="AJ177" s="459"/>
      <c r="AK177" s="459"/>
      <c r="AL177" s="459"/>
      <c r="AM177" s="459"/>
      <c r="AN177" s="459"/>
      <c r="AO177" s="459"/>
      <c r="AP177" s="459"/>
      <c r="AQ177" s="459"/>
      <c r="AR177" s="459"/>
      <c r="AS177" s="459"/>
      <c r="AT177" s="459"/>
      <c r="AU177" s="459"/>
      <c r="AV177" s="459"/>
      <c r="AW177" s="459"/>
      <c r="AX177" s="459"/>
      <c r="AY177" s="459"/>
      <c r="AZ177" s="459"/>
      <c r="BA177" s="459"/>
      <c r="BB177" s="459"/>
      <c r="BC177" s="459"/>
      <c r="BD177" s="459"/>
      <c r="BE177" s="459"/>
      <c r="BF177" s="459"/>
      <c r="BG177" s="459"/>
      <c r="BH177" s="459"/>
      <c r="BI177" s="459"/>
      <c r="BJ177" s="459"/>
    </row>
    <row r="178" ht="15.75" customHeight="1" spans="1:62">
      <c r="A178" s="459"/>
      <c r="B178" s="459"/>
      <c r="C178" s="459"/>
      <c r="D178" s="459"/>
      <c r="E178" s="459"/>
      <c r="F178" s="459"/>
      <c r="G178" s="459"/>
      <c r="H178" s="459"/>
      <c r="I178" s="459"/>
      <c r="J178" s="459"/>
      <c r="K178" s="459"/>
      <c r="L178" s="459"/>
      <c r="M178" s="459"/>
      <c r="N178" s="459"/>
      <c r="O178" s="459"/>
      <c r="P178" s="459"/>
      <c r="Q178" s="459"/>
      <c r="R178" s="459"/>
      <c r="S178" s="459"/>
      <c r="T178" s="459"/>
      <c r="U178" s="459"/>
      <c r="V178" s="459"/>
      <c r="W178" s="459"/>
      <c r="X178" s="459"/>
      <c r="Y178" s="459"/>
      <c r="Z178" s="459"/>
      <c r="AA178" s="459"/>
      <c r="AB178" s="459"/>
      <c r="AC178" s="459"/>
      <c r="AD178" s="459"/>
      <c r="AE178" s="459"/>
      <c r="AF178" s="459"/>
      <c r="AG178" s="459"/>
      <c r="AH178" s="459"/>
      <c r="AI178" s="459"/>
      <c r="AJ178" s="459"/>
      <c r="AK178" s="459"/>
      <c r="AL178" s="459"/>
      <c r="AM178" s="459"/>
      <c r="AN178" s="459"/>
      <c r="AO178" s="459"/>
      <c r="AP178" s="459"/>
      <c r="AQ178" s="459"/>
      <c r="AR178" s="459"/>
      <c r="AS178" s="459"/>
      <c r="AT178" s="459"/>
      <c r="AU178" s="459"/>
      <c r="AV178" s="459"/>
      <c r="AW178" s="459"/>
      <c r="AX178" s="459"/>
      <c r="AY178" s="459"/>
      <c r="AZ178" s="459"/>
      <c r="BA178" s="459"/>
      <c r="BB178" s="459"/>
      <c r="BC178" s="459"/>
      <c r="BD178" s="459"/>
      <c r="BE178" s="459"/>
      <c r="BF178" s="459"/>
      <c r="BG178" s="459"/>
      <c r="BH178" s="459"/>
      <c r="BI178" s="459"/>
      <c r="BJ178" s="459"/>
    </row>
    <row r="179" ht="15.75" customHeight="1" spans="1:62">
      <c r="A179" s="459"/>
      <c r="B179" s="459"/>
      <c r="C179" s="459"/>
      <c r="D179" s="459"/>
      <c r="E179" s="459"/>
      <c r="F179" s="459"/>
      <c r="G179" s="459"/>
      <c r="H179" s="459"/>
      <c r="I179" s="459"/>
      <c r="J179" s="459"/>
      <c r="K179" s="459"/>
      <c r="L179" s="459"/>
      <c r="M179" s="459"/>
      <c r="N179" s="459"/>
      <c r="O179" s="459"/>
      <c r="P179" s="459"/>
      <c r="Q179" s="459"/>
      <c r="R179" s="459"/>
      <c r="S179" s="459"/>
      <c r="T179" s="459"/>
      <c r="U179" s="459"/>
      <c r="V179" s="459"/>
      <c r="W179" s="459"/>
      <c r="X179" s="459"/>
      <c r="Y179" s="459"/>
      <c r="Z179" s="459"/>
      <c r="AA179" s="459"/>
      <c r="AB179" s="459"/>
      <c r="AC179" s="459"/>
      <c r="AD179" s="459"/>
      <c r="AE179" s="459"/>
      <c r="AF179" s="459"/>
      <c r="AG179" s="459"/>
      <c r="AH179" s="459"/>
      <c r="AI179" s="459"/>
      <c r="AJ179" s="459"/>
      <c r="AK179" s="459"/>
      <c r="AL179" s="459"/>
      <c r="AM179" s="459"/>
      <c r="AN179" s="459"/>
      <c r="AO179" s="459"/>
      <c r="AP179" s="459"/>
      <c r="AQ179" s="459"/>
      <c r="AR179" s="459"/>
      <c r="AS179" s="459"/>
      <c r="AT179" s="459"/>
      <c r="AU179" s="459"/>
      <c r="AV179" s="459"/>
      <c r="AW179" s="459"/>
      <c r="AX179" s="459"/>
      <c r="AY179" s="459"/>
      <c r="AZ179" s="459"/>
      <c r="BA179" s="459"/>
      <c r="BB179" s="459"/>
      <c r="BC179" s="459"/>
      <c r="BD179" s="459"/>
      <c r="BE179" s="459"/>
      <c r="BF179" s="459"/>
      <c r="BG179" s="459"/>
      <c r="BH179" s="459"/>
      <c r="BI179" s="459"/>
      <c r="BJ179" s="459"/>
    </row>
    <row r="180" ht="15.75" customHeight="1" spans="1:62">
      <c r="A180" s="459"/>
      <c r="B180" s="459"/>
      <c r="C180" s="459"/>
      <c r="D180" s="459"/>
      <c r="E180" s="459"/>
      <c r="F180" s="459"/>
      <c r="G180" s="459"/>
      <c r="H180" s="459"/>
      <c r="I180" s="459"/>
      <c r="J180" s="459"/>
      <c r="K180" s="459"/>
      <c r="L180" s="459"/>
      <c r="M180" s="459"/>
      <c r="N180" s="459"/>
      <c r="O180" s="459"/>
      <c r="P180" s="459"/>
      <c r="Q180" s="459"/>
      <c r="R180" s="459"/>
      <c r="S180" s="459"/>
      <c r="T180" s="459"/>
      <c r="U180" s="459"/>
      <c r="V180" s="459"/>
      <c r="W180" s="459"/>
      <c r="X180" s="459"/>
      <c r="Y180" s="459"/>
      <c r="Z180" s="459"/>
      <c r="AA180" s="459"/>
      <c r="AB180" s="459"/>
      <c r="AC180" s="459"/>
      <c r="AD180" s="459"/>
      <c r="AE180" s="459"/>
      <c r="AF180" s="459"/>
      <c r="AG180" s="459"/>
      <c r="AH180" s="459"/>
      <c r="AI180" s="459"/>
      <c r="AJ180" s="459"/>
      <c r="AK180" s="459"/>
      <c r="AL180" s="459"/>
      <c r="AM180" s="459"/>
      <c r="AN180" s="459"/>
      <c r="AO180" s="459"/>
      <c r="AP180" s="459"/>
      <c r="AQ180" s="459"/>
      <c r="AR180" s="459"/>
      <c r="AS180" s="459"/>
      <c r="AT180" s="459"/>
      <c r="AU180" s="459"/>
      <c r="AV180" s="459"/>
      <c r="AW180" s="459"/>
      <c r="AX180" s="459"/>
      <c r="AY180" s="459"/>
      <c r="AZ180" s="459"/>
      <c r="BA180" s="459"/>
      <c r="BB180" s="459"/>
      <c r="BC180" s="459"/>
      <c r="BD180" s="459"/>
      <c r="BE180" s="459"/>
      <c r="BF180" s="459"/>
      <c r="BG180" s="459"/>
      <c r="BH180" s="459"/>
      <c r="BI180" s="459"/>
      <c r="BJ180" s="459"/>
    </row>
    <row r="181" ht="15.75" customHeight="1" spans="1:62">
      <c r="A181" s="459"/>
      <c r="B181" s="459"/>
      <c r="C181" s="459"/>
      <c r="D181" s="459"/>
      <c r="E181" s="459"/>
      <c r="F181" s="459"/>
      <c r="G181" s="459"/>
      <c r="H181" s="459"/>
      <c r="I181" s="459"/>
      <c r="J181" s="459"/>
      <c r="K181" s="459"/>
      <c r="L181" s="459"/>
      <c r="M181" s="459"/>
      <c r="N181" s="459"/>
      <c r="O181" s="459"/>
      <c r="P181" s="459"/>
      <c r="Q181" s="459"/>
      <c r="R181" s="459"/>
      <c r="S181" s="459"/>
      <c r="T181" s="459"/>
      <c r="U181" s="459"/>
      <c r="V181" s="459"/>
      <c r="W181" s="459"/>
      <c r="X181" s="459"/>
      <c r="Y181" s="459"/>
      <c r="Z181" s="459"/>
      <c r="AA181" s="459"/>
      <c r="AB181" s="459"/>
      <c r="AC181" s="459"/>
      <c r="AD181" s="459"/>
      <c r="AE181" s="459"/>
      <c r="AF181" s="459"/>
      <c r="AG181" s="459"/>
      <c r="AH181" s="459"/>
      <c r="AI181" s="459"/>
      <c r="AJ181" s="459"/>
      <c r="AK181" s="459"/>
      <c r="AL181" s="459"/>
      <c r="AM181" s="459"/>
      <c r="AN181" s="459"/>
      <c r="AO181" s="459"/>
      <c r="AP181" s="459"/>
      <c r="AQ181" s="459"/>
      <c r="AR181" s="459"/>
      <c r="AS181" s="459"/>
      <c r="AT181" s="459"/>
      <c r="AU181" s="459"/>
      <c r="AV181" s="459"/>
      <c r="AW181" s="459"/>
      <c r="AX181" s="459"/>
      <c r="AY181" s="459"/>
      <c r="AZ181" s="459"/>
      <c r="BA181" s="459"/>
      <c r="BB181" s="459"/>
      <c r="BC181" s="459"/>
      <c r="BD181" s="459"/>
      <c r="BE181" s="459"/>
      <c r="BF181" s="459"/>
      <c r="BG181" s="459"/>
      <c r="BH181" s="459"/>
      <c r="BI181" s="459"/>
      <c r="BJ181" s="459"/>
    </row>
    <row r="182" ht="15.75" customHeight="1" spans="1:62">
      <c r="A182" s="459"/>
      <c r="B182" s="459"/>
      <c r="C182" s="459"/>
      <c r="D182" s="459"/>
      <c r="E182" s="459"/>
      <c r="F182" s="459"/>
      <c r="G182" s="459"/>
      <c r="H182" s="459"/>
      <c r="I182" s="459"/>
      <c r="J182" s="459"/>
      <c r="K182" s="459"/>
      <c r="L182" s="459"/>
      <c r="M182" s="459"/>
      <c r="N182" s="459"/>
      <c r="O182" s="459"/>
      <c r="P182" s="459"/>
      <c r="Q182" s="459"/>
      <c r="R182" s="459"/>
      <c r="S182" s="459"/>
      <c r="T182" s="459"/>
      <c r="U182" s="459"/>
      <c r="V182" s="459"/>
      <c r="W182" s="459"/>
      <c r="X182" s="459"/>
      <c r="Y182" s="459"/>
      <c r="Z182" s="459"/>
      <c r="AA182" s="459"/>
      <c r="AB182" s="459"/>
      <c r="AC182" s="459"/>
      <c r="AD182" s="459"/>
      <c r="AE182" s="459"/>
      <c r="AF182" s="459"/>
      <c r="AG182" s="459"/>
      <c r="AH182" s="459"/>
      <c r="AI182" s="459"/>
      <c r="AJ182" s="459"/>
      <c r="AK182" s="459"/>
      <c r="AL182" s="459"/>
      <c r="AM182" s="459"/>
      <c r="AN182" s="459"/>
      <c r="AO182" s="459"/>
      <c r="AP182" s="459"/>
      <c r="AQ182" s="459"/>
      <c r="AR182" s="459"/>
      <c r="AS182" s="459"/>
      <c r="AT182" s="459"/>
      <c r="AU182" s="459"/>
      <c r="AV182" s="459"/>
      <c r="AW182" s="459"/>
      <c r="AX182" s="459"/>
      <c r="AY182" s="459"/>
      <c r="AZ182" s="459"/>
      <c r="BA182" s="459"/>
      <c r="BB182" s="459"/>
      <c r="BC182" s="459"/>
      <c r="BD182" s="459"/>
      <c r="BE182" s="459"/>
      <c r="BF182" s="459"/>
      <c r="BG182" s="459"/>
      <c r="BH182" s="459"/>
      <c r="BI182" s="459"/>
      <c r="BJ182" s="459"/>
    </row>
    <row r="183" ht="15.75" customHeight="1" spans="1:62">
      <c r="A183" s="459"/>
      <c r="B183" s="459"/>
      <c r="C183" s="459"/>
      <c r="D183" s="459"/>
      <c r="E183" s="459"/>
      <c r="F183" s="459"/>
      <c r="G183" s="459"/>
      <c r="H183" s="459"/>
      <c r="I183" s="459"/>
      <c r="J183" s="459"/>
      <c r="K183" s="459"/>
      <c r="L183" s="459"/>
      <c r="M183" s="459"/>
      <c r="N183" s="459"/>
      <c r="O183" s="459"/>
      <c r="P183" s="459"/>
      <c r="Q183" s="459"/>
      <c r="R183" s="459"/>
      <c r="S183" s="459"/>
      <c r="T183" s="459"/>
      <c r="U183" s="459"/>
      <c r="V183" s="459"/>
      <c r="W183" s="459"/>
      <c r="X183" s="459"/>
      <c r="Y183" s="459"/>
      <c r="Z183" s="459"/>
      <c r="AA183" s="459"/>
      <c r="AB183" s="459"/>
      <c r="AC183" s="459"/>
      <c r="AD183" s="459"/>
      <c r="AE183" s="459"/>
      <c r="AF183" s="459"/>
      <c r="AG183" s="459"/>
      <c r="AH183" s="459"/>
      <c r="AI183" s="459"/>
      <c r="AJ183" s="459"/>
      <c r="AK183" s="459"/>
      <c r="AL183" s="459"/>
      <c r="AM183" s="459"/>
      <c r="AN183" s="459"/>
      <c r="AO183" s="459"/>
      <c r="AP183" s="459"/>
      <c r="AQ183" s="459"/>
      <c r="AR183" s="459"/>
      <c r="AS183" s="459"/>
      <c r="AT183" s="459"/>
      <c r="AU183" s="459"/>
      <c r="AV183" s="459"/>
      <c r="AW183" s="459"/>
      <c r="AX183" s="459"/>
      <c r="AY183" s="459"/>
      <c r="AZ183" s="459"/>
      <c r="BA183" s="459"/>
      <c r="BB183" s="459"/>
      <c r="BC183" s="459"/>
      <c r="BD183" s="459"/>
      <c r="BE183" s="459"/>
      <c r="BF183" s="459"/>
      <c r="BG183" s="459"/>
      <c r="BH183" s="459"/>
      <c r="BI183" s="459"/>
      <c r="BJ183" s="459"/>
    </row>
    <row r="184" ht="15.75" customHeight="1" spans="1:62">
      <c r="A184" s="459"/>
      <c r="B184" s="459"/>
      <c r="C184" s="459"/>
      <c r="D184" s="459"/>
      <c r="E184" s="459"/>
      <c r="F184" s="459"/>
      <c r="G184" s="459"/>
      <c r="H184" s="459"/>
      <c r="I184" s="459"/>
      <c r="J184" s="459"/>
      <c r="K184" s="459"/>
      <c r="L184" s="459"/>
      <c r="M184" s="459"/>
      <c r="N184" s="459"/>
      <c r="O184" s="459"/>
      <c r="P184" s="459"/>
      <c r="Q184" s="459"/>
      <c r="R184" s="459"/>
      <c r="S184" s="459"/>
      <c r="T184" s="459"/>
      <c r="U184" s="459"/>
      <c r="V184" s="459"/>
      <c r="W184" s="459"/>
      <c r="X184" s="459"/>
      <c r="Y184" s="459"/>
      <c r="Z184" s="459"/>
      <c r="AA184" s="459"/>
      <c r="AB184" s="459"/>
      <c r="AC184" s="459"/>
      <c r="AD184" s="459"/>
      <c r="AE184" s="459"/>
      <c r="AF184" s="459"/>
      <c r="AG184" s="459"/>
      <c r="AH184" s="459"/>
      <c r="AI184" s="459"/>
      <c r="AJ184" s="459"/>
      <c r="AK184" s="459"/>
      <c r="AL184" s="459"/>
      <c r="AM184" s="459"/>
      <c r="AN184" s="459"/>
      <c r="AO184" s="459"/>
      <c r="AP184" s="459"/>
      <c r="AQ184" s="459"/>
      <c r="AR184" s="459"/>
      <c r="AS184" s="459"/>
      <c r="AT184" s="459"/>
      <c r="AU184" s="459"/>
      <c r="AV184" s="459"/>
      <c r="AW184" s="459"/>
      <c r="AX184" s="459"/>
      <c r="AY184" s="459"/>
      <c r="AZ184" s="459"/>
      <c r="BA184" s="459"/>
      <c r="BB184" s="459"/>
      <c r="BC184" s="459"/>
      <c r="BD184" s="459"/>
      <c r="BE184" s="459"/>
      <c r="BF184" s="459"/>
      <c r="BG184" s="459"/>
      <c r="BH184" s="459"/>
      <c r="BI184" s="459"/>
      <c r="BJ184" s="459"/>
    </row>
    <row r="185" ht="15.75" customHeight="1" spans="1:62">
      <c r="A185" s="459"/>
      <c r="B185" s="459"/>
      <c r="C185" s="459"/>
      <c r="D185" s="459"/>
      <c r="E185" s="459"/>
      <c r="F185" s="459"/>
      <c r="G185" s="459"/>
      <c r="H185" s="459"/>
      <c r="I185" s="459"/>
      <c r="J185" s="459"/>
      <c r="K185" s="459"/>
      <c r="L185" s="459"/>
      <c r="M185" s="459"/>
      <c r="N185" s="459"/>
      <c r="O185" s="459"/>
      <c r="P185" s="459"/>
      <c r="Q185" s="459"/>
      <c r="R185" s="459"/>
      <c r="S185" s="459"/>
      <c r="T185" s="459"/>
      <c r="U185" s="459"/>
      <c r="V185" s="459"/>
      <c r="W185" s="459"/>
      <c r="X185" s="459"/>
      <c r="Y185" s="459"/>
      <c r="Z185" s="459"/>
      <c r="AA185" s="459"/>
      <c r="AB185" s="459"/>
      <c r="AC185" s="459"/>
      <c r="AD185" s="459"/>
      <c r="AE185" s="459"/>
      <c r="AF185" s="459"/>
      <c r="AG185" s="459"/>
      <c r="AH185" s="459"/>
      <c r="AI185" s="459"/>
      <c r="AJ185" s="459"/>
      <c r="AK185" s="459"/>
      <c r="AL185" s="459"/>
      <c r="AM185" s="459"/>
      <c r="AN185" s="459"/>
      <c r="AO185" s="459"/>
      <c r="AP185" s="459"/>
      <c r="AQ185" s="459"/>
      <c r="AR185" s="459"/>
      <c r="AS185" s="459"/>
      <c r="AT185" s="459"/>
      <c r="AU185" s="459"/>
      <c r="AV185" s="459"/>
      <c r="AW185" s="459"/>
      <c r="AX185" s="459"/>
      <c r="AY185" s="459"/>
      <c r="AZ185" s="459"/>
      <c r="BA185" s="459"/>
      <c r="BB185" s="459"/>
      <c r="BC185" s="459"/>
      <c r="BD185" s="459"/>
      <c r="BE185" s="459"/>
      <c r="BF185" s="459"/>
      <c r="BG185" s="459"/>
      <c r="BH185" s="459"/>
      <c r="BI185" s="459"/>
      <c r="BJ185" s="459"/>
    </row>
    <row r="186" ht="15.75" customHeight="1" spans="1:62">
      <c r="A186" s="459"/>
      <c r="B186" s="459"/>
      <c r="C186" s="459"/>
      <c r="D186" s="459"/>
      <c r="E186" s="459"/>
      <c r="F186" s="459"/>
      <c r="G186" s="459"/>
      <c r="H186" s="459"/>
      <c r="I186" s="459"/>
      <c r="J186" s="459"/>
      <c r="K186" s="459"/>
      <c r="L186" s="459"/>
      <c r="M186" s="459"/>
      <c r="N186" s="459"/>
      <c r="O186" s="459"/>
      <c r="P186" s="459"/>
      <c r="Q186" s="459"/>
      <c r="R186" s="459"/>
      <c r="S186" s="459"/>
      <c r="T186" s="459"/>
      <c r="U186" s="459"/>
      <c r="V186" s="459"/>
      <c r="W186" s="459"/>
      <c r="X186" s="459"/>
      <c r="Y186" s="459"/>
      <c r="Z186" s="459"/>
      <c r="AA186" s="459"/>
      <c r="AB186" s="459"/>
      <c r="AC186" s="459"/>
      <c r="AD186" s="459"/>
      <c r="AE186" s="459"/>
      <c r="AF186" s="459"/>
      <c r="AG186" s="459"/>
      <c r="AH186" s="459"/>
      <c r="AI186" s="459"/>
      <c r="AJ186" s="459"/>
      <c r="AK186" s="459"/>
      <c r="AL186" s="459"/>
      <c r="AM186" s="459"/>
      <c r="AN186" s="459"/>
      <c r="AO186" s="459"/>
      <c r="AP186" s="459"/>
      <c r="AQ186" s="459"/>
      <c r="AR186" s="459"/>
      <c r="AS186" s="459"/>
      <c r="AT186" s="459"/>
      <c r="AU186" s="459"/>
      <c r="AV186" s="459"/>
      <c r="AW186" s="459"/>
      <c r="AX186" s="459"/>
      <c r="AY186" s="459"/>
      <c r="AZ186" s="459"/>
      <c r="BA186" s="459"/>
      <c r="BB186" s="459"/>
      <c r="BC186" s="459"/>
      <c r="BD186" s="459"/>
      <c r="BE186" s="459"/>
      <c r="BF186" s="459"/>
      <c r="BG186" s="459"/>
      <c r="BH186" s="459"/>
      <c r="BI186" s="459"/>
      <c r="BJ186" s="459"/>
    </row>
    <row r="187" ht="15.75" customHeight="1" spans="1:62">
      <c r="A187" s="459"/>
      <c r="B187" s="459"/>
      <c r="C187" s="459"/>
      <c r="D187" s="459"/>
      <c r="E187" s="459"/>
      <c r="F187" s="459"/>
      <c r="G187" s="459"/>
      <c r="H187" s="459"/>
      <c r="I187" s="459"/>
      <c r="J187" s="459"/>
      <c r="K187" s="459"/>
      <c r="L187" s="459"/>
      <c r="M187" s="459"/>
      <c r="N187" s="459"/>
      <c r="O187" s="459"/>
      <c r="P187" s="459"/>
      <c r="Q187" s="459"/>
      <c r="R187" s="459"/>
      <c r="S187" s="459"/>
      <c r="T187" s="459"/>
      <c r="U187" s="459"/>
      <c r="V187" s="459"/>
      <c r="W187" s="459"/>
      <c r="X187" s="459"/>
      <c r="Y187" s="459"/>
      <c r="Z187" s="459"/>
      <c r="AA187" s="459"/>
      <c r="AB187" s="459"/>
      <c r="AC187" s="459"/>
      <c r="AD187" s="459"/>
      <c r="AE187" s="459"/>
      <c r="AF187" s="459"/>
      <c r="AG187" s="459"/>
      <c r="AH187" s="459"/>
      <c r="AI187" s="459"/>
      <c r="AJ187" s="459"/>
      <c r="AK187" s="459"/>
      <c r="AL187" s="459"/>
      <c r="AM187" s="459"/>
      <c r="AN187" s="459"/>
      <c r="AO187" s="459"/>
      <c r="AP187" s="459"/>
      <c r="AQ187" s="459"/>
      <c r="AR187" s="459"/>
      <c r="AS187" s="459"/>
      <c r="AT187" s="459"/>
      <c r="AU187" s="459"/>
      <c r="AV187" s="459"/>
      <c r="AW187" s="459"/>
      <c r="AX187" s="459"/>
      <c r="AY187" s="459"/>
      <c r="AZ187" s="459"/>
      <c r="BA187" s="459"/>
      <c r="BB187" s="459"/>
      <c r="BC187" s="459"/>
      <c r="BD187" s="459"/>
      <c r="BE187" s="459"/>
      <c r="BF187" s="459"/>
      <c r="BG187" s="459"/>
      <c r="BH187" s="459"/>
      <c r="BI187" s="459"/>
      <c r="BJ187" s="459"/>
    </row>
    <row r="188" ht="15.75" customHeight="1" spans="1:62">
      <c r="A188" s="459"/>
      <c r="B188" s="459"/>
      <c r="C188" s="459"/>
      <c r="D188" s="459"/>
      <c r="E188" s="459"/>
      <c r="F188" s="459"/>
      <c r="G188" s="459"/>
      <c r="H188" s="459"/>
      <c r="I188" s="459"/>
      <c r="J188" s="459"/>
      <c r="K188" s="459"/>
      <c r="L188" s="459"/>
      <c r="M188" s="459"/>
      <c r="N188" s="459"/>
      <c r="O188" s="459"/>
      <c r="P188" s="459"/>
      <c r="Q188" s="459"/>
      <c r="R188" s="459"/>
      <c r="S188" s="459"/>
      <c r="T188" s="459"/>
      <c r="U188" s="459"/>
      <c r="V188" s="459"/>
      <c r="W188" s="459"/>
      <c r="X188" s="459"/>
      <c r="Y188" s="459"/>
      <c r="Z188" s="459"/>
      <c r="AA188" s="459"/>
      <c r="AB188" s="459"/>
      <c r="AC188" s="459"/>
      <c r="AD188" s="459"/>
      <c r="AE188" s="459"/>
      <c r="AF188" s="459"/>
      <c r="AG188" s="459"/>
      <c r="AH188" s="459"/>
      <c r="AI188" s="459"/>
      <c r="AJ188" s="459"/>
      <c r="AK188" s="459"/>
      <c r="AL188" s="459"/>
      <c r="AM188" s="459"/>
      <c r="AN188" s="459"/>
      <c r="AO188" s="459"/>
      <c r="AP188" s="459"/>
      <c r="AQ188" s="459"/>
      <c r="AR188" s="459"/>
      <c r="AS188" s="459"/>
      <c r="AT188" s="459"/>
      <c r="AU188" s="459"/>
      <c r="AV188" s="459"/>
      <c r="AW188" s="459"/>
      <c r="AX188" s="459"/>
      <c r="AY188" s="459"/>
      <c r="AZ188" s="459"/>
      <c r="BA188" s="459"/>
      <c r="BB188" s="459"/>
      <c r="BC188" s="459"/>
      <c r="BD188" s="459"/>
      <c r="BE188" s="459"/>
      <c r="BF188" s="459"/>
      <c r="BG188" s="459"/>
      <c r="BH188" s="459"/>
      <c r="BI188" s="459"/>
      <c r="BJ188" s="459"/>
    </row>
    <row r="189" ht="15.75" customHeight="1" spans="1:62">
      <c r="A189" s="459"/>
      <c r="B189" s="459"/>
      <c r="C189" s="459"/>
      <c r="D189" s="459"/>
      <c r="E189" s="459"/>
      <c r="F189" s="459"/>
      <c r="G189" s="459"/>
      <c r="H189" s="459"/>
      <c r="I189" s="459"/>
      <c r="J189" s="459"/>
      <c r="K189" s="459"/>
      <c r="L189" s="459"/>
      <c r="M189" s="459"/>
      <c r="N189" s="459"/>
      <c r="O189" s="459"/>
      <c r="P189" s="459"/>
      <c r="Q189" s="459"/>
      <c r="R189" s="459"/>
      <c r="S189" s="459"/>
      <c r="T189" s="459"/>
      <c r="U189" s="459"/>
      <c r="V189" s="459"/>
      <c r="W189" s="459"/>
      <c r="X189" s="459"/>
      <c r="Y189" s="459"/>
      <c r="Z189" s="459"/>
      <c r="AA189" s="459"/>
      <c r="AB189" s="459"/>
      <c r="AC189" s="459"/>
      <c r="AD189" s="459"/>
      <c r="AE189" s="459"/>
      <c r="AF189" s="459"/>
      <c r="AG189" s="459"/>
      <c r="AH189" s="459"/>
      <c r="AI189" s="459"/>
      <c r="AJ189" s="459"/>
      <c r="AK189" s="459"/>
      <c r="AL189" s="459"/>
      <c r="AM189" s="459"/>
      <c r="AN189" s="459"/>
      <c r="AO189" s="459"/>
      <c r="AP189" s="459"/>
      <c r="AQ189" s="459"/>
      <c r="AR189" s="459"/>
      <c r="AS189" s="459"/>
      <c r="AT189" s="459"/>
      <c r="AU189" s="459"/>
      <c r="AV189" s="459"/>
      <c r="AW189" s="459"/>
      <c r="AX189" s="459"/>
      <c r="AY189" s="459"/>
      <c r="AZ189" s="459"/>
      <c r="BA189" s="459"/>
      <c r="BB189" s="459"/>
      <c r="BC189" s="459"/>
      <c r="BD189" s="459"/>
      <c r="BE189" s="459"/>
      <c r="BF189" s="459"/>
      <c r="BG189" s="459"/>
      <c r="BH189" s="459"/>
      <c r="BI189" s="459"/>
      <c r="BJ189" s="459"/>
    </row>
    <row r="190" ht="15.75" customHeight="1" spans="1:62">
      <c r="A190" s="459"/>
      <c r="B190" s="459"/>
      <c r="C190" s="459"/>
      <c r="D190" s="459"/>
      <c r="E190" s="459"/>
      <c r="F190" s="459"/>
      <c r="G190" s="459"/>
      <c r="H190" s="459"/>
      <c r="I190" s="459"/>
      <c r="J190" s="459"/>
      <c r="K190" s="459"/>
      <c r="L190" s="459"/>
      <c r="M190" s="459"/>
      <c r="N190" s="459"/>
      <c r="O190" s="459"/>
      <c r="P190" s="459"/>
      <c r="Q190" s="459"/>
      <c r="R190" s="459"/>
      <c r="S190" s="459"/>
      <c r="T190" s="459"/>
      <c r="U190" s="459"/>
      <c r="V190" s="459"/>
      <c r="W190" s="459"/>
      <c r="X190" s="459"/>
      <c r="Y190" s="459"/>
      <c r="Z190" s="459"/>
      <c r="AA190" s="459"/>
      <c r="AB190" s="459"/>
      <c r="AC190" s="459"/>
      <c r="AD190" s="459"/>
      <c r="AE190" s="459"/>
      <c r="AF190" s="459"/>
      <c r="AG190" s="459"/>
      <c r="AH190" s="459"/>
      <c r="AI190" s="459"/>
      <c r="AJ190" s="459"/>
      <c r="AK190" s="459"/>
      <c r="AL190" s="459"/>
      <c r="AM190" s="459"/>
      <c r="AN190" s="459"/>
      <c r="AO190" s="459"/>
      <c r="AP190" s="459"/>
      <c r="AQ190" s="459"/>
      <c r="AR190" s="459"/>
      <c r="AS190" s="459"/>
      <c r="AT190" s="459"/>
      <c r="AU190" s="459"/>
      <c r="AV190" s="459"/>
      <c r="AW190" s="459"/>
      <c r="AX190" s="459"/>
      <c r="AY190" s="459"/>
      <c r="AZ190" s="459"/>
      <c r="BA190" s="459"/>
      <c r="BB190" s="459"/>
      <c r="BC190" s="459"/>
      <c r="BD190" s="459"/>
      <c r="BE190" s="459"/>
      <c r="BF190" s="459"/>
      <c r="BG190" s="459"/>
      <c r="BH190" s="459"/>
      <c r="BI190" s="459"/>
      <c r="BJ190" s="459"/>
    </row>
    <row r="191" ht="15.75" customHeight="1" spans="1:62">
      <c r="A191" s="459"/>
      <c r="B191" s="459"/>
      <c r="C191" s="459"/>
      <c r="D191" s="459"/>
      <c r="E191" s="459"/>
      <c r="F191" s="459"/>
      <c r="G191" s="459"/>
      <c r="H191" s="459"/>
      <c r="I191" s="459"/>
      <c r="J191" s="459"/>
      <c r="K191" s="459"/>
      <c r="L191" s="459"/>
      <c r="M191" s="459"/>
      <c r="N191" s="459"/>
      <c r="O191" s="459"/>
      <c r="P191" s="459"/>
      <c r="Q191" s="459"/>
      <c r="R191" s="459"/>
      <c r="S191" s="459"/>
      <c r="T191" s="459"/>
      <c r="U191" s="459"/>
      <c r="V191" s="459"/>
      <c r="W191" s="459"/>
      <c r="X191" s="459"/>
      <c r="Y191" s="459"/>
      <c r="Z191" s="459"/>
      <c r="AA191" s="459"/>
      <c r="AB191" s="459"/>
      <c r="AC191" s="459"/>
      <c r="AD191" s="459"/>
      <c r="AE191" s="459"/>
      <c r="AF191" s="459"/>
      <c r="AG191" s="459"/>
      <c r="AH191" s="459"/>
      <c r="AI191" s="459"/>
      <c r="AJ191" s="459"/>
      <c r="AK191" s="459"/>
      <c r="AL191" s="459"/>
      <c r="AM191" s="459"/>
      <c r="AN191" s="459"/>
      <c r="AO191" s="459"/>
      <c r="AP191" s="459"/>
      <c r="AQ191" s="459"/>
      <c r="AR191" s="459"/>
      <c r="AS191" s="459"/>
      <c r="AT191" s="459"/>
      <c r="AU191" s="459"/>
      <c r="AV191" s="459"/>
      <c r="AW191" s="459"/>
      <c r="AX191" s="459"/>
      <c r="AY191" s="459"/>
      <c r="AZ191" s="459"/>
      <c r="BA191" s="459"/>
      <c r="BB191" s="459"/>
      <c r="BC191" s="459"/>
      <c r="BD191" s="459"/>
      <c r="BE191" s="459"/>
      <c r="BF191" s="459"/>
      <c r="BG191" s="459"/>
      <c r="BH191" s="459"/>
      <c r="BI191" s="459"/>
      <c r="BJ191" s="459"/>
    </row>
    <row r="192" ht="15.75" customHeight="1" spans="1:62">
      <c r="A192" s="459"/>
      <c r="B192" s="459"/>
      <c r="C192" s="459"/>
      <c r="D192" s="459"/>
      <c r="E192" s="459"/>
      <c r="F192" s="459"/>
      <c r="G192" s="459"/>
      <c r="H192" s="459"/>
      <c r="I192" s="459"/>
      <c r="J192" s="459"/>
      <c r="K192" s="459"/>
      <c r="L192" s="459"/>
      <c r="M192" s="459"/>
      <c r="N192" s="459"/>
      <c r="O192" s="459"/>
      <c r="P192" s="459"/>
      <c r="Q192" s="459"/>
      <c r="R192" s="459"/>
      <c r="S192" s="459"/>
      <c r="T192" s="459"/>
      <c r="U192" s="459"/>
      <c r="V192" s="459"/>
      <c r="W192" s="459"/>
      <c r="X192" s="459"/>
      <c r="Y192" s="459"/>
      <c r="Z192" s="459"/>
      <c r="AA192" s="459"/>
      <c r="AB192" s="459"/>
      <c r="AC192" s="459"/>
      <c r="AD192" s="459"/>
      <c r="AE192" s="459"/>
      <c r="AF192" s="459"/>
      <c r="AG192" s="459"/>
      <c r="AH192" s="459"/>
      <c r="AI192" s="459"/>
      <c r="AJ192" s="459"/>
      <c r="AK192" s="459"/>
      <c r="AL192" s="459"/>
      <c r="AM192" s="459"/>
      <c r="AN192" s="459"/>
      <c r="AO192" s="459"/>
      <c r="AP192" s="459"/>
      <c r="AQ192" s="459"/>
      <c r="AR192" s="459"/>
      <c r="AS192" s="459"/>
      <c r="AT192" s="459"/>
      <c r="AU192" s="459"/>
      <c r="AV192" s="459"/>
      <c r="AW192" s="459"/>
      <c r="AX192" s="459"/>
      <c r="AY192" s="459"/>
      <c r="AZ192" s="459"/>
      <c r="BA192" s="459"/>
      <c r="BB192" s="459"/>
      <c r="BC192" s="459"/>
      <c r="BD192" s="459"/>
      <c r="BE192" s="459"/>
      <c r="BF192" s="459"/>
      <c r="BG192" s="459"/>
      <c r="BH192" s="459"/>
      <c r="BI192" s="459"/>
      <c r="BJ192" s="459"/>
    </row>
    <row r="193" ht="15.75" customHeight="1" spans="1:62">
      <c r="A193" s="459"/>
      <c r="B193" s="459"/>
      <c r="C193" s="459"/>
      <c r="D193" s="459"/>
      <c r="E193" s="459"/>
      <c r="F193" s="459"/>
      <c r="G193" s="459"/>
      <c r="H193" s="459"/>
      <c r="I193" s="459"/>
      <c r="J193" s="459"/>
      <c r="K193" s="459"/>
      <c r="L193" s="459"/>
      <c r="M193" s="459"/>
      <c r="N193" s="459"/>
      <c r="O193" s="459"/>
      <c r="P193" s="459"/>
      <c r="Q193" s="459"/>
      <c r="R193" s="459"/>
      <c r="S193" s="459"/>
      <c r="T193" s="459"/>
      <c r="U193" s="459"/>
      <c r="V193" s="459"/>
      <c r="W193" s="459"/>
      <c r="X193" s="459"/>
      <c r="Y193" s="459"/>
      <c r="Z193" s="459"/>
      <c r="AA193" s="459"/>
      <c r="AB193" s="459"/>
      <c r="AC193" s="459"/>
      <c r="AD193" s="459"/>
      <c r="AE193" s="459"/>
      <c r="AF193" s="459"/>
      <c r="AG193" s="459"/>
      <c r="AH193" s="459"/>
      <c r="AI193" s="459"/>
      <c r="AJ193" s="459"/>
      <c r="AK193" s="459"/>
      <c r="AL193" s="459"/>
      <c r="AM193" s="459"/>
      <c r="AN193" s="459"/>
      <c r="AO193" s="459"/>
      <c r="AP193" s="459"/>
      <c r="AQ193" s="459"/>
      <c r="AR193" s="459"/>
      <c r="AS193" s="459"/>
      <c r="AT193" s="459"/>
      <c r="AU193" s="459"/>
      <c r="AV193" s="459"/>
      <c r="AW193" s="459"/>
      <c r="AX193" s="459"/>
      <c r="AY193" s="459"/>
      <c r="AZ193" s="459"/>
      <c r="BA193" s="459"/>
      <c r="BB193" s="459"/>
      <c r="BC193" s="459"/>
      <c r="BD193" s="459"/>
      <c r="BE193" s="459"/>
      <c r="BF193" s="459"/>
      <c r="BG193" s="459"/>
      <c r="BH193" s="459"/>
      <c r="BI193" s="459"/>
      <c r="BJ193" s="459"/>
    </row>
    <row r="194" ht="15.75" customHeight="1" spans="1:62">
      <c r="A194" s="459"/>
      <c r="B194" s="459"/>
      <c r="C194" s="459"/>
      <c r="D194" s="459"/>
      <c r="E194" s="459"/>
      <c r="F194" s="459"/>
      <c r="G194" s="459"/>
      <c r="H194" s="459"/>
      <c r="I194" s="459"/>
      <c r="J194" s="459"/>
      <c r="K194" s="459"/>
      <c r="L194" s="459"/>
      <c r="M194" s="459"/>
      <c r="N194" s="459"/>
      <c r="O194" s="459"/>
      <c r="P194" s="459"/>
      <c r="Q194" s="459"/>
      <c r="R194" s="459"/>
      <c r="S194" s="459"/>
      <c r="T194" s="459"/>
      <c r="U194" s="459"/>
      <c r="V194" s="459"/>
      <c r="W194" s="459"/>
      <c r="X194" s="459"/>
      <c r="Y194" s="459"/>
      <c r="Z194" s="459"/>
      <c r="AA194" s="459"/>
      <c r="AB194" s="459"/>
      <c r="AC194" s="459"/>
      <c r="AD194" s="459"/>
      <c r="AE194" s="459"/>
      <c r="AF194" s="459"/>
      <c r="AG194" s="459"/>
      <c r="AH194" s="459"/>
      <c r="AI194" s="459"/>
      <c r="AJ194" s="459"/>
      <c r="AK194" s="459"/>
      <c r="AL194" s="459"/>
      <c r="AM194" s="459"/>
      <c r="AN194" s="459"/>
      <c r="AO194" s="459"/>
      <c r="AP194" s="459"/>
      <c r="AQ194" s="459"/>
      <c r="AR194" s="459"/>
      <c r="AS194" s="459"/>
      <c r="AT194" s="459"/>
      <c r="AU194" s="459"/>
      <c r="AV194" s="459"/>
      <c r="AW194" s="459"/>
      <c r="AX194" s="459"/>
      <c r="AY194" s="459"/>
      <c r="AZ194" s="459"/>
      <c r="BA194" s="459"/>
      <c r="BB194" s="459"/>
      <c r="BC194" s="459"/>
      <c r="BD194" s="459"/>
      <c r="BE194" s="459"/>
      <c r="BF194" s="459"/>
      <c r="BG194" s="459"/>
      <c r="BH194" s="459"/>
      <c r="BI194" s="459"/>
      <c r="BJ194" s="459"/>
    </row>
    <row r="195" ht="15.75" customHeight="1" spans="1:62">
      <c r="A195" s="459"/>
      <c r="B195" s="459"/>
      <c r="C195" s="459"/>
      <c r="D195" s="459"/>
      <c r="E195" s="459"/>
      <c r="F195" s="459"/>
      <c r="G195" s="459"/>
      <c r="H195" s="459"/>
      <c r="I195" s="459"/>
      <c r="J195" s="459"/>
      <c r="K195" s="459"/>
      <c r="L195" s="459"/>
      <c r="M195" s="459"/>
      <c r="N195" s="459"/>
      <c r="O195" s="459"/>
      <c r="P195" s="459"/>
      <c r="Q195" s="459"/>
      <c r="R195" s="459"/>
      <c r="S195" s="459"/>
      <c r="T195" s="459"/>
      <c r="U195" s="459"/>
      <c r="V195" s="459"/>
      <c r="W195" s="459"/>
      <c r="X195" s="459"/>
      <c r="Y195" s="459"/>
      <c r="Z195" s="459"/>
      <c r="AA195" s="459"/>
      <c r="AB195" s="459"/>
      <c r="AC195" s="459"/>
      <c r="AD195" s="459"/>
      <c r="AE195" s="459"/>
      <c r="AF195" s="459"/>
      <c r="AG195" s="459"/>
      <c r="AH195" s="459"/>
      <c r="AI195" s="459"/>
      <c r="AJ195" s="459"/>
      <c r="AK195" s="459"/>
      <c r="AL195" s="459"/>
      <c r="AM195" s="459"/>
      <c r="AN195" s="459"/>
      <c r="AO195" s="459"/>
      <c r="AP195" s="459"/>
      <c r="AQ195" s="459"/>
      <c r="AR195" s="459"/>
      <c r="AS195" s="459"/>
      <c r="AT195" s="459"/>
      <c r="AU195" s="459"/>
      <c r="AV195" s="459"/>
      <c r="AW195" s="459"/>
      <c r="AX195" s="459"/>
      <c r="AY195" s="459"/>
      <c r="AZ195" s="459"/>
      <c r="BA195" s="459"/>
      <c r="BB195" s="459"/>
      <c r="BC195" s="459"/>
      <c r="BD195" s="459"/>
      <c r="BE195" s="459"/>
      <c r="BF195" s="459"/>
      <c r="BG195" s="459"/>
      <c r="BH195" s="459"/>
      <c r="BI195" s="459"/>
      <c r="BJ195" s="459"/>
    </row>
    <row r="196" ht="15.75" customHeight="1" spans="1:62">
      <c r="A196" s="459"/>
      <c r="B196" s="459"/>
      <c r="C196" s="459"/>
      <c r="D196" s="459"/>
      <c r="E196" s="459"/>
      <c r="F196" s="459"/>
      <c r="G196" s="459"/>
      <c r="H196" s="459"/>
      <c r="I196" s="459"/>
      <c r="J196" s="459"/>
      <c r="K196" s="459"/>
      <c r="L196" s="459"/>
      <c r="M196" s="459"/>
      <c r="N196" s="459"/>
      <c r="O196" s="459"/>
      <c r="P196" s="459"/>
      <c r="Q196" s="459"/>
      <c r="R196" s="459"/>
      <c r="S196" s="459"/>
      <c r="T196" s="459"/>
      <c r="U196" s="459"/>
      <c r="V196" s="459"/>
      <c r="W196" s="459"/>
      <c r="X196" s="459"/>
      <c r="Y196" s="459"/>
      <c r="Z196" s="459"/>
      <c r="AA196" s="459"/>
      <c r="AB196" s="459"/>
      <c r="AC196" s="459"/>
      <c r="AD196" s="459"/>
      <c r="AE196" s="459"/>
      <c r="AF196" s="459"/>
      <c r="AG196" s="459"/>
      <c r="AH196" s="459"/>
      <c r="AI196" s="459"/>
      <c r="AJ196" s="459"/>
      <c r="AK196" s="459"/>
      <c r="AL196" s="459"/>
      <c r="AM196" s="459"/>
      <c r="AN196" s="459"/>
      <c r="AO196" s="459"/>
      <c r="AP196" s="459"/>
      <c r="AQ196" s="459"/>
      <c r="AR196" s="459"/>
      <c r="AS196" s="459"/>
      <c r="AT196" s="459"/>
      <c r="AU196" s="459"/>
      <c r="AV196" s="459"/>
      <c r="AW196" s="459"/>
      <c r="AX196" s="459"/>
      <c r="AY196" s="459"/>
      <c r="AZ196" s="459"/>
      <c r="BA196" s="459"/>
      <c r="BB196" s="459"/>
      <c r="BC196" s="459"/>
      <c r="BD196" s="459"/>
      <c r="BE196" s="459"/>
      <c r="BF196" s="459"/>
      <c r="BG196" s="459"/>
      <c r="BH196" s="459"/>
      <c r="BI196" s="459"/>
      <c r="BJ196" s="459"/>
    </row>
    <row r="197" ht="15.75" customHeight="1" spans="1:62">
      <c r="A197" s="459"/>
      <c r="B197" s="459"/>
      <c r="C197" s="459"/>
      <c r="D197" s="459"/>
      <c r="E197" s="459"/>
      <c r="F197" s="459"/>
      <c r="G197" s="459"/>
      <c r="H197" s="459"/>
      <c r="I197" s="459"/>
      <c r="J197" s="459"/>
      <c r="K197" s="459"/>
      <c r="L197" s="459"/>
      <c r="M197" s="459"/>
      <c r="N197" s="459"/>
      <c r="O197" s="459"/>
      <c r="P197" s="459"/>
      <c r="Q197" s="459"/>
      <c r="R197" s="459"/>
      <c r="S197" s="459"/>
      <c r="T197" s="459"/>
      <c r="U197" s="459"/>
      <c r="V197" s="459"/>
      <c r="W197" s="459"/>
      <c r="X197" s="459"/>
      <c r="Y197" s="459"/>
      <c r="Z197" s="459"/>
      <c r="AA197" s="459"/>
      <c r="AB197" s="459"/>
      <c r="AC197" s="459"/>
      <c r="AD197" s="459"/>
      <c r="AE197" s="459"/>
      <c r="AF197" s="459"/>
      <c r="AG197" s="459"/>
      <c r="AH197" s="459"/>
      <c r="AI197" s="459"/>
      <c r="AJ197" s="459"/>
      <c r="AK197" s="459"/>
      <c r="AL197" s="459"/>
      <c r="AM197" s="459"/>
      <c r="AN197" s="459"/>
      <c r="AO197" s="459"/>
      <c r="AP197" s="459"/>
      <c r="AQ197" s="459"/>
      <c r="AR197" s="459"/>
      <c r="AS197" s="459"/>
      <c r="AT197" s="459"/>
      <c r="AU197" s="459"/>
      <c r="AV197" s="459"/>
      <c r="AW197" s="459"/>
      <c r="AX197" s="459"/>
      <c r="AY197" s="459"/>
      <c r="AZ197" s="459"/>
      <c r="BA197" s="459"/>
      <c r="BB197" s="459"/>
      <c r="BC197" s="459"/>
      <c r="BD197" s="459"/>
      <c r="BE197" s="459"/>
      <c r="BF197" s="459"/>
      <c r="BG197" s="459"/>
      <c r="BH197" s="459"/>
      <c r="BI197" s="459"/>
      <c r="BJ197" s="459"/>
    </row>
    <row r="198" ht="15.75" customHeight="1" spans="1:62">
      <c r="A198" s="459"/>
      <c r="B198" s="459"/>
      <c r="C198" s="459"/>
      <c r="D198" s="459"/>
      <c r="E198" s="459"/>
      <c r="F198" s="459"/>
      <c r="G198" s="459"/>
      <c r="H198" s="459"/>
      <c r="I198" s="459"/>
      <c r="J198" s="459"/>
      <c r="K198" s="459"/>
      <c r="L198" s="459"/>
      <c r="M198" s="459"/>
      <c r="N198" s="459"/>
      <c r="O198" s="459"/>
      <c r="P198" s="459"/>
      <c r="Q198" s="459"/>
      <c r="R198" s="459"/>
      <c r="S198" s="459"/>
      <c r="T198" s="459"/>
      <c r="U198" s="459"/>
      <c r="V198" s="459"/>
      <c r="W198" s="459"/>
      <c r="X198" s="459"/>
      <c r="Y198" s="459"/>
      <c r="Z198" s="459"/>
      <c r="AA198" s="459"/>
      <c r="AB198" s="459"/>
      <c r="AC198" s="459"/>
      <c r="AD198" s="459"/>
      <c r="AE198" s="459"/>
      <c r="AF198" s="459"/>
      <c r="AG198" s="459"/>
      <c r="AH198" s="459"/>
      <c r="AI198" s="459"/>
      <c r="AJ198" s="459"/>
      <c r="AK198" s="459"/>
      <c r="AL198" s="459"/>
      <c r="AM198" s="459"/>
      <c r="AN198" s="459"/>
      <c r="AO198" s="459"/>
      <c r="AP198" s="459"/>
      <c r="AQ198" s="459"/>
      <c r="AR198" s="459"/>
      <c r="AS198" s="459"/>
      <c r="AT198" s="459"/>
      <c r="AU198" s="459"/>
      <c r="AV198" s="459"/>
      <c r="AW198" s="459"/>
      <c r="AX198" s="459"/>
      <c r="AY198" s="459"/>
      <c r="AZ198" s="459"/>
      <c r="BA198" s="459"/>
      <c r="BB198" s="459"/>
      <c r="BC198" s="459"/>
      <c r="BD198" s="459"/>
      <c r="BE198" s="459"/>
      <c r="BF198" s="459"/>
      <c r="BG198" s="459"/>
      <c r="BH198" s="459"/>
      <c r="BI198" s="459"/>
      <c r="BJ198" s="459"/>
    </row>
    <row r="199" ht="15.75" customHeight="1" spans="1:62">
      <c r="A199" s="459"/>
      <c r="B199" s="459"/>
      <c r="C199" s="459"/>
      <c r="D199" s="459"/>
      <c r="E199" s="459"/>
      <c r="F199" s="459"/>
      <c r="G199" s="459"/>
      <c r="H199" s="459"/>
      <c r="I199" s="459"/>
      <c r="J199" s="459"/>
      <c r="K199" s="459"/>
      <c r="L199" s="459"/>
      <c r="M199" s="459"/>
      <c r="N199" s="459"/>
      <c r="O199" s="459"/>
      <c r="P199" s="459"/>
      <c r="Q199" s="459"/>
      <c r="R199" s="459"/>
      <c r="S199" s="459"/>
      <c r="T199" s="459"/>
      <c r="U199" s="459"/>
      <c r="V199" s="459"/>
      <c r="W199" s="459"/>
      <c r="X199" s="459"/>
      <c r="Y199" s="459"/>
      <c r="Z199" s="459"/>
      <c r="AA199" s="459"/>
      <c r="AB199" s="459"/>
      <c r="AC199" s="459"/>
      <c r="AD199" s="459"/>
      <c r="AE199" s="459"/>
      <c r="AF199" s="459"/>
      <c r="AG199" s="459"/>
      <c r="AH199" s="459"/>
      <c r="AI199" s="459"/>
      <c r="AJ199" s="459"/>
      <c r="AK199" s="459"/>
      <c r="AL199" s="459"/>
      <c r="AM199" s="459"/>
      <c r="AN199" s="459"/>
      <c r="AO199" s="459"/>
      <c r="AP199" s="459"/>
      <c r="AQ199" s="459"/>
      <c r="AR199" s="459"/>
      <c r="AS199" s="459"/>
      <c r="AT199" s="459"/>
      <c r="AU199" s="459"/>
      <c r="AV199" s="459"/>
      <c r="AW199" s="459"/>
      <c r="AX199" s="459"/>
      <c r="AY199" s="459"/>
      <c r="AZ199" s="459"/>
      <c r="BA199" s="459"/>
      <c r="BB199" s="459"/>
      <c r="BC199" s="459"/>
      <c r="BD199" s="459"/>
      <c r="BE199" s="459"/>
      <c r="BF199" s="459"/>
      <c r="BG199" s="459"/>
      <c r="BH199" s="459"/>
      <c r="BI199" s="459"/>
      <c r="BJ199" s="459"/>
    </row>
    <row r="200" ht="15.75" customHeight="1" spans="1:62">
      <c r="A200" s="459"/>
      <c r="B200" s="459"/>
      <c r="C200" s="459"/>
      <c r="D200" s="459"/>
      <c r="E200" s="459"/>
      <c r="F200" s="459"/>
      <c r="G200" s="459"/>
      <c r="H200" s="459"/>
      <c r="I200" s="459"/>
      <c r="J200" s="459"/>
      <c r="K200" s="459"/>
      <c r="L200" s="459"/>
      <c r="M200" s="459"/>
      <c r="N200" s="459"/>
      <c r="O200" s="459"/>
      <c r="P200" s="459"/>
      <c r="Q200" s="459"/>
      <c r="R200" s="459"/>
      <c r="S200" s="459"/>
      <c r="T200" s="459"/>
      <c r="U200" s="459"/>
      <c r="V200" s="459"/>
      <c r="W200" s="459"/>
      <c r="X200" s="459"/>
      <c r="Y200" s="459"/>
      <c r="Z200" s="459"/>
      <c r="AA200" s="459"/>
      <c r="AB200" s="459"/>
      <c r="AC200" s="459"/>
      <c r="AD200" s="459"/>
      <c r="AE200" s="459"/>
      <c r="AF200" s="459"/>
      <c r="AG200" s="459"/>
      <c r="AH200" s="459"/>
      <c r="AI200" s="459"/>
      <c r="AJ200" s="459"/>
      <c r="AK200" s="459"/>
      <c r="AL200" s="459"/>
      <c r="AM200" s="459"/>
      <c r="AN200" s="459"/>
      <c r="AO200" s="459"/>
      <c r="AP200" s="459"/>
      <c r="AQ200" s="459"/>
      <c r="AR200" s="459"/>
      <c r="AS200" s="459"/>
      <c r="AT200" s="459"/>
      <c r="AU200" s="459"/>
      <c r="AV200" s="459"/>
      <c r="AW200" s="459"/>
      <c r="AX200" s="459"/>
      <c r="AY200" s="459"/>
      <c r="AZ200" s="459"/>
      <c r="BA200" s="459"/>
      <c r="BB200" s="459"/>
      <c r="BC200" s="459"/>
      <c r="BD200" s="459"/>
      <c r="BE200" s="459"/>
      <c r="BF200" s="459"/>
      <c r="BG200" s="459"/>
      <c r="BH200" s="459"/>
      <c r="BI200" s="459"/>
      <c r="BJ200" s="459"/>
    </row>
    <row r="201" ht="15.75" customHeight="1" spans="1:62">
      <c r="A201" s="459"/>
      <c r="B201" s="459"/>
      <c r="C201" s="459"/>
      <c r="D201" s="459"/>
      <c r="E201" s="459"/>
      <c r="F201" s="459"/>
      <c r="G201" s="459"/>
      <c r="H201" s="459"/>
      <c r="I201" s="459"/>
      <c r="J201" s="459"/>
      <c r="K201" s="459"/>
      <c r="L201" s="459"/>
      <c r="M201" s="459"/>
      <c r="N201" s="459"/>
      <c r="O201" s="459"/>
      <c r="P201" s="459"/>
      <c r="Q201" s="459"/>
      <c r="R201" s="459"/>
      <c r="S201" s="459"/>
      <c r="T201" s="459"/>
      <c r="U201" s="459"/>
      <c r="V201" s="459"/>
      <c r="W201" s="459"/>
      <c r="X201" s="459"/>
      <c r="Y201" s="459"/>
      <c r="Z201" s="459"/>
      <c r="AA201" s="459"/>
      <c r="AB201" s="459"/>
      <c r="AC201" s="459"/>
      <c r="AD201" s="459"/>
      <c r="AE201" s="459"/>
      <c r="AF201" s="459"/>
      <c r="AG201" s="459"/>
      <c r="AH201" s="459"/>
      <c r="AI201" s="459"/>
      <c r="AJ201" s="459"/>
      <c r="AK201" s="459"/>
      <c r="AL201" s="459"/>
      <c r="AM201" s="459"/>
      <c r="AN201" s="459"/>
      <c r="AO201" s="459"/>
      <c r="AP201" s="459"/>
      <c r="AQ201" s="459"/>
      <c r="AR201" s="459"/>
      <c r="AS201" s="459"/>
      <c r="AT201" s="459"/>
      <c r="AU201" s="459"/>
      <c r="AV201" s="459"/>
      <c r="AW201" s="459"/>
      <c r="AX201" s="459"/>
      <c r="AY201" s="459"/>
      <c r="AZ201" s="459"/>
      <c r="BA201" s="459"/>
      <c r="BB201" s="459"/>
      <c r="BC201" s="459"/>
      <c r="BD201" s="459"/>
      <c r="BE201" s="459"/>
      <c r="BF201" s="459"/>
      <c r="BG201" s="459"/>
      <c r="BH201" s="459"/>
      <c r="BI201" s="459"/>
      <c r="BJ201" s="459"/>
    </row>
    <row r="202" ht="15.75" customHeight="1" spans="1:62">
      <c r="A202" s="459"/>
      <c r="B202" s="459"/>
      <c r="C202" s="459"/>
      <c r="D202" s="459"/>
      <c r="E202" s="459"/>
      <c r="F202" s="459"/>
      <c r="G202" s="459"/>
      <c r="H202" s="459"/>
      <c r="I202" s="459"/>
      <c r="J202" s="459"/>
      <c r="K202" s="459"/>
      <c r="L202" s="459"/>
      <c r="M202" s="459"/>
      <c r="N202" s="459"/>
      <c r="O202" s="459"/>
      <c r="P202" s="459"/>
      <c r="Q202" s="459"/>
      <c r="R202" s="459"/>
      <c r="S202" s="459"/>
      <c r="T202" s="459"/>
      <c r="U202" s="459"/>
      <c r="V202" s="459"/>
      <c r="W202" s="459"/>
      <c r="X202" s="459"/>
      <c r="Y202" s="459"/>
      <c r="Z202" s="459"/>
      <c r="AA202" s="459"/>
      <c r="AB202" s="459"/>
      <c r="AC202" s="459"/>
      <c r="AD202" s="459"/>
      <c r="AE202" s="459"/>
      <c r="AF202" s="459"/>
      <c r="AG202" s="459"/>
      <c r="AH202" s="459"/>
      <c r="AI202" s="459"/>
      <c r="AJ202" s="459"/>
      <c r="AK202" s="459"/>
      <c r="AL202" s="459"/>
      <c r="AM202" s="459"/>
      <c r="AN202" s="459"/>
      <c r="AO202" s="459"/>
      <c r="AP202" s="459"/>
      <c r="AQ202" s="459"/>
      <c r="AR202" s="459"/>
      <c r="AS202" s="459"/>
      <c r="AT202" s="459"/>
      <c r="AU202" s="459"/>
      <c r="AV202" s="459"/>
      <c r="AW202" s="459"/>
      <c r="AX202" s="459"/>
      <c r="AY202" s="459"/>
      <c r="AZ202" s="459"/>
      <c r="BA202" s="459"/>
      <c r="BB202" s="459"/>
      <c r="BC202" s="459"/>
      <c r="BD202" s="459"/>
      <c r="BE202" s="459"/>
      <c r="BF202" s="459"/>
      <c r="BG202" s="459"/>
      <c r="BH202" s="459"/>
      <c r="BI202" s="459"/>
      <c r="BJ202" s="459"/>
    </row>
    <row r="203" ht="15.75" customHeight="1" spans="1:62">
      <c r="A203" s="459"/>
      <c r="B203" s="459"/>
      <c r="C203" s="459"/>
      <c r="D203" s="459"/>
      <c r="E203" s="459"/>
      <c r="F203" s="459"/>
      <c r="G203" s="459"/>
      <c r="H203" s="459"/>
      <c r="I203" s="459"/>
      <c r="J203" s="459"/>
      <c r="K203" s="459"/>
      <c r="L203" s="459"/>
      <c r="M203" s="459"/>
      <c r="N203" s="459"/>
      <c r="O203" s="459"/>
      <c r="P203" s="459"/>
      <c r="Q203" s="459"/>
      <c r="R203" s="459"/>
      <c r="S203" s="459"/>
      <c r="T203" s="459"/>
      <c r="U203" s="459"/>
      <c r="V203" s="459"/>
      <c r="W203" s="459"/>
      <c r="X203" s="459"/>
      <c r="Y203" s="459"/>
      <c r="Z203" s="459"/>
      <c r="AA203" s="459"/>
      <c r="AB203" s="459"/>
      <c r="AC203" s="459"/>
      <c r="AD203" s="459"/>
      <c r="AE203" s="459"/>
      <c r="AF203" s="459"/>
      <c r="AG203" s="459"/>
      <c r="AH203" s="459"/>
      <c r="AI203" s="459"/>
      <c r="AJ203" s="459"/>
      <c r="AK203" s="459"/>
      <c r="AL203" s="459"/>
      <c r="AM203" s="459"/>
      <c r="AN203" s="459"/>
      <c r="AO203" s="459"/>
      <c r="AP203" s="459"/>
      <c r="AQ203" s="459"/>
      <c r="AR203" s="459"/>
      <c r="AS203" s="459"/>
      <c r="AT203" s="459"/>
      <c r="AU203" s="459"/>
      <c r="AV203" s="459"/>
      <c r="AW203" s="459"/>
      <c r="AX203" s="459"/>
      <c r="AY203" s="459"/>
      <c r="AZ203" s="459"/>
      <c r="BA203" s="459"/>
      <c r="BB203" s="459"/>
      <c r="BC203" s="459"/>
      <c r="BD203" s="459"/>
      <c r="BE203" s="459"/>
      <c r="BF203" s="459"/>
      <c r="BG203" s="459"/>
      <c r="BH203" s="459"/>
      <c r="BI203" s="459"/>
      <c r="BJ203" s="459"/>
    </row>
    <row r="204" ht="15.75" customHeight="1" spans="1:62">
      <c r="A204" s="459"/>
      <c r="B204" s="459"/>
      <c r="C204" s="459"/>
      <c r="D204" s="459"/>
      <c r="E204" s="459"/>
      <c r="F204" s="459"/>
      <c r="G204" s="459"/>
      <c r="H204" s="459"/>
      <c r="I204" s="459"/>
      <c r="J204" s="459"/>
      <c r="K204" s="459"/>
      <c r="L204" s="459"/>
      <c r="M204" s="459"/>
      <c r="N204" s="459"/>
      <c r="O204" s="459"/>
      <c r="P204" s="459"/>
      <c r="Q204" s="459"/>
      <c r="R204" s="459"/>
      <c r="S204" s="459"/>
      <c r="T204" s="459"/>
      <c r="U204" s="459"/>
      <c r="V204" s="459"/>
      <c r="W204" s="459"/>
      <c r="X204" s="459"/>
      <c r="Y204" s="459"/>
      <c r="Z204" s="459"/>
      <c r="AA204" s="459"/>
      <c r="AB204" s="459"/>
      <c r="AC204" s="459"/>
      <c r="AD204" s="459"/>
      <c r="AE204" s="459"/>
      <c r="AF204" s="459"/>
      <c r="AG204" s="459"/>
      <c r="AH204" s="459"/>
      <c r="AI204" s="459"/>
      <c r="AJ204" s="459"/>
      <c r="AK204" s="459"/>
      <c r="AL204" s="459"/>
      <c r="AM204" s="459"/>
      <c r="AN204" s="459"/>
      <c r="AO204" s="459"/>
      <c r="AP204" s="459"/>
      <c r="AQ204" s="459"/>
      <c r="AR204" s="459"/>
      <c r="AS204" s="459"/>
      <c r="AT204" s="459"/>
      <c r="AU204" s="459"/>
      <c r="AV204" s="459"/>
      <c r="AW204" s="459"/>
      <c r="AX204" s="459"/>
      <c r="AY204" s="459"/>
      <c r="AZ204" s="459"/>
      <c r="BA204" s="459"/>
      <c r="BB204" s="459"/>
      <c r="BC204" s="459"/>
      <c r="BD204" s="459"/>
      <c r="BE204" s="459"/>
      <c r="BF204" s="459"/>
      <c r="BG204" s="459"/>
      <c r="BH204" s="459"/>
      <c r="BI204" s="459"/>
      <c r="BJ204" s="459"/>
    </row>
    <row r="205" ht="15.75" customHeight="1" spans="1:62">
      <c r="A205" s="459"/>
      <c r="B205" s="459"/>
      <c r="C205" s="459"/>
      <c r="D205" s="459"/>
      <c r="E205" s="459"/>
      <c r="F205" s="459"/>
      <c r="G205" s="459"/>
      <c r="H205" s="459"/>
      <c r="I205" s="459"/>
      <c r="J205" s="459"/>
      <c r="K205" s="459"/>
      <c r="L205" s="459"/>
      <c r="M205" s="459"/>
      <c r="N205" s="459"/>
      <c r="O205" s="459"/>
      <c r="P205" s="459"/>
      <c r="Q205" s="459"/>
      <c r="R205" s="459"/>
      <c r="S205" s="459"/>
      <c r="T205" s="459"/>
      <c r="U205" s="459"/>
      <c r="V205" s="459"/>
      <c r="W205" s="459"/>
      <c r="X205" s="459"/>
      <c r="Y205" s="459"/>
      <c r="Z205" s="459"/>
      <c r="AA205" s="459"/>
      <c r="AB205" s="459"/>
      <c r="AC205" s="459"/>
      <c r="AD205" s="459"/>
      <c r="AE205" s="459"/>
      <c r="AF205" s="459"/>
      <c r="AG205" s="459"/>
      <c r="AH205" s="459"/>
      <c r="AI205" s="459"/>
      <c r="AJ205" s="459"/>
      <c r="AK205" s="459"/>
      <c r="AL205" s="459"/>
      <c r="AM205" s="459"/>
      <c r="AN205" s="459"/>
      <c r="AO205" s="459"/>
      <c r="AP205" s="459"/>
      <c r="AQ205" s="459"/>
      <c r="AR205" s="459"/>
      <c r="AS205" s="459"/>
      <c r="AT205" s="459"/>
      <c r="AU205" s="459"/>
      <c r="AV205" s="459"/>
      <c r="AW205" s="459"/>
      <c r="AX205" s="459"/>
      <c r="AY205" s="459"/>
      <c r="AZ205" s="459"/>
      <c r="BA205" s="459"/>
      <c r="BB205" s="459"/>
      <c r="BC205" s="459"/>
      <c r="BD205" s="459"/>
      <c r="BE205" s="459"/>
      <c r="BF205" s="459"/>
      <c r="BG205" s="459"/>
      <c r="BH205" s="459"/>
      <c r="BI205" s="459"/>
      <c r="BJ205" s="459"/>
    </row>
    <row r="206" ht="15.75" customHeight="1" spans="1:62">
      <c r="A206" s="459"/>
      <c r="B206" s="459"/>
      <c r="C206" s="459"/>
      <c r="D206" s="459"/>
      <c r="E206" s="459"/>
      <c r="F206" s="459"/>
      <c r="G206" s="459"/>
      <c r="H206" s="459"/>
      <c r="I206" s="459"/>
      <c r="J206" s="459"/>
      <c r="K206" s="459"/>
      <c r="L206" s="459"/>
      <c r="M206" s="459"/>
      <c r="N206" s="459"/>
      <c r="O206" s="459"/>
      <c r="P206" s="459"/>
      <c r="Q206" s="459"/>
      <c r="R206" s="459"/>
      <c r="S206" s="459"/>
      <c r="T206" s="459"/>
      <c r="U206" s="459"/>
      <c r="V206" s="459"/>
      <c r="W206" s="459"/>
      <c r="X206" s="459"/>
      <c r="Y206" s="459"/>
      <c r="Z206" s="459"/>
      <c r="AA206" s="459"/>
      <c r="AB206" s="459"/>
      <c r="AC206" s="459"/>
      <c r="AD206" s="459"/>
      <c r="AE206" s="459"/>
      <c r="AF206" s="459"/>
      <c r="AG206" s="459"/>
      <c r="AH206" s="459"/>
      <c r="AI206" s="459"/>
      <c r="AJ206" s="459"/>
      <c r="AK206" s="459"/>
      <c r="AL206" s="459"/>
      <c r="AM206" s="459"/>
      <c r="AN206" s="459"/>
      <c r="AO206" s="459"/>
      <c r="AP206" s="459"/>
      <c r="AQ206" s="459"/>
      <c r="AR206" s="459"/>
      <c r="AS206" s="459"/>
      <c r="AT206" s="459"/>
      <c r="AU206" s="459"/>
      <c r="AV206" s="459"/>
      <c r="AW206" s="459"/>
      <c r="AX206" s="459"/>
      <c r="AY206" s="459"/>
      <c r="AZ206" s="459"/>
      <c r="BA206" s="459"/>
      <c r="BB206" s="459"/>
      <c r="BC206" s="459"/>
      <c r="BD206" s="459"/>
      <c r="BE206" s="459"/>
      <c r="BF206" s="459"/>
      <c r="BG206" s="459"/>
      <c r="BH206" s="459"/>
      <c r="BI206" s="459"/>
      <c r="BJ206" s="459"/>
    </row>
    <row r="207" ht="15.75" customHeight="1" spans="1:62">
      <c r="A207" s="459"/>
      <c r="B207" s="459"/>
      <c r="C207" s="459"/>
      <c r="D207" s="459"/>
      <c r="E207" s="459"/>
      <c r="F207" s="459"/>
      <c r="G207" s="459"/>
      <c r="H207" s="459"/>
      <c r="I207" s="459"/>
      <c r="J207" s="459"/>
      <c r="K207" s="459"/>
      <c r="L207" s="459"/>
      <c r="M207" s="459"/>
      <c r="N207" s="459"/>
      <c r="O207" s="459"/>
      <c r="P207" s="459"/>
      <c r="Q207" s="459"/>
      <c r="R207" s="459"/>
      <c r="S207" s="459"/>
      <c r="T207" s="459"/>
      <c r="U207" s="459"/>
      <c r="V207" s="459"/>
      <c r="W207" s="459"/>
      <c r="X207" s="459"/>
      <c r="Y207" s="459"/>
      <c r="Z207" s="459"/>
      <c r="AA207" s="459"/>
      <c r="AB207" s="459"/>
      <c r="AC207" s="459"/>
      <c r="AD207" s="459"/>
      <c r="AE207" s="459"/>
      <c r="AF207" s="459"/>
      <c r="AG207" s="459"/>
      <c r="AH207" s="459"/>
      <c r="AI207" s="459"/>
      <c r="AJ207" s="459"/>
      <c r="AK207" s="459"/>
      <c r="AL207" s="459"/>
      <c r="AM207" s="459"/>
      <c r="AN207" s="459"/>
      <c r="AO207" s="459"/>
      <c r="AP207" s="459"/>
      <c r="AQ207" s="459"/>
      <c r="AR207" s="459"/>
      <c r="AS207" s="459"/>
      <c r="AT207" s="459"/>
      <c r="AU207" s="459"/>
      <c r="AV207" s="459"/>
      <c r="AW207" s="459"/>
      <c r="AX207" s="459"/>
      <c r="AY207" s="459"/>
      <c r="AZ207" s="459"/>
      <c r="BA207" s="459"/>
      <c r="BB207" s="459"/>
      <c r="BC207" s="459"/>
      <c r="BD207" s="459"/>
      <c r="BE207" s="459"/>
      <c r="BF207" s="459"/>
      <c r="BG207" s="459"/>
      <c r="BH207" s="459"/>
      <c r="BI207" s="459"/>
      <c r="BJ207" s="459"/>
    </row>
    <row r="208" ht="15.75" customHeight="1" spans="1:62">
      <c r="A208" s="459"/>
      <c r="B208" s="459"/>
      <c r="C208" s="459"/>
      <c r="D208" s="459"/>
      <c r="E208" s="459"/>
      <c r="F208" s="459"/>
      <c r="G208" s="459"/>
      <c r="H208" s="459"/>
      <c r="I208" s="459"/>
      <c r="J208" s="459"/>
      <c r="K208" s="459"/>
      <c r="L208" s="459"/>
      <c r="M208" s="459"/>
      <c r="N208" s="459"/>
      <c r="O208" s="459"/>
      <c r="P208" s="459"/>
      <c r="Q208" s="459"/>
      <c r="R208" s="459"/>
      <c r="S208" s="459"/>
      <c r="T208" s="459"/>
      <c r="U208" s="459"/>
      <c r="V208" s="459"/>
      <c r="W208" s="459"/>
      <c r="X208" s="459"/>
      <c r="Y208" s="459"/>
      <c r="Z208" s="459"/>
      <c r="AA208" s="459"/>
      <c r="AB208" s="459"/>
      <c r="AC208" s="459"/>
      <c r="AD208" s="459"/>
      <c r="AE208" s="459"/>
      <c r="AF208" s="459"/>
      <c r="AG208" s="459"/>
      <c r="AH208" s="459"/>
      <c r="AI208" s="459"/>
      <c r="AJ208" s="459"/>
      <c r="AK208" s="459"/>
      <c r="AL208" s="459"/>
      <c r="AM208" s="459"/>
      <c r="AN208" s="459"/>
      <c r="AO208" s="459"/>
      <c r="AP208" s="459"/>
      <c r="AQ208" s="459"/>
      <c r="AR208" s="459"/>
      <c r="AS208" s="459"/>
      <c r="AT208" s="459"/>
      <c r="AU208" s="459"/>
      <c r="AV208" s="459"/>
      <c r="AW208" s="459"/>
      <c r="AX208" s="459"/>
      <c r="AY208" s="459"/>
      <c r="AZ208" s="459"/>
      <c r="BA208" s="459"/>
      <c r="BB208" s="459"/>
      <c r="BC208" s="459"/>
      <c r="BD208" s="459"/>
      <c r="BE208" s="459"/>
      <c r="BF208" s="459"/>
      <c r="BG208" s="459"/>
      <c r="BH208" s="459"/>
      <c r="BI208" s="459"/>
      <c r="BJ208" s="459"/>
    </row>
    <row r="209" ht="15.75" customHeight="1" spans="1:62">
      <c r="A209" s="459"/>
      <c r="B209" s="459"/>
      <c r="C209" s="459"/>
      <c r="D209" s="459"/>
      <c r="E209" s="459"/>
      <c r="F209" s="459"/>
      <c r="G209" s="459"/>
      <c r="H209" s="459"/>
      <c r="I209" s="459"/>
      <c r="J209" s="459"/>
      <c r="K209" s="459"/>
      <c r="L209" s="459"/>
      <c r="M209" s="459"/>
      <c r="N209" s="459"/>
      <c r="O209" s="459"/>
      <c r="P209" s="459"/>
      <c r="Q209" s="459"/>
      <c r="R209" s="459"/>
      <c r="S209" s="459"/>
      <c r="T209" s="459"/>
      <c r="U209" s="459"/>
      <c r="V209" s="459"/>
      <c r="W209" s="459"/>
      <c r="X209" s="459"/>
      <c r="Y209" s="459"/>
      <c r="Z209" s="459"/>
      <c r="AA209" s="459"/>
      <c r="AB209" s="459"/>
      <c r="AC209" s="459"/>
      <c r="AD209" s="459"/>
      <c r="AE209" s="459"/>
      <c r="AF209" s="459"/>
      <c r="AG209" s="459"/>
      <c r="AH209" s="459"/>
      <c r="AI209" s="459"/>
      <c r="AJ209" s="459"/>
      <c r="AK209" s="459"/>
      <c r="AL209" s="459"/>
      <c r="AM209" s="459"/>
      <c r="AN209" s="459"/>
      <c r="AO209" s="459"/>
      <c r="AP209" s="459"/>
      <c r="AQ209" s="459"/>
      <c r="AR209" s="459"/>
      <c r="AS209" s="459"/>
      <c r="AT209" s="459"/>
      <c r="AU209" s="459"/>
      <c r="AV209" s="459"/>
      <c r="AW209" s="459"/>
      <c r="AX209" s="459"/>
      <c r="AY209" s="459"/>
      <c r="AZ209" s="459"/>
      <c r="BA209" s="459"/>
      <c r="BB209" s="459"/>
      <c r="BC209" s="459"/>
      <c r="BD209" s="459"/>
      <c r="BE209" s="459"/>
      <c r="BF209" s="459"/>
      <c r="BG209" s="459"/>
      <c r="BH209" s="459"/>
      <c r="BI209" s="459"/>
      <c r="BJ209" s="459"/>
    </row>
    <row r="210" ht="15.75" customHeight="1" spans="1:62">
      <c r="A210" s="459"/>
      <c r="B210" s="459"/>
      <c r="C210" s="459"/>
      <c r="D210" s="459"/>
      <c r="E210" s="459"/>
      <c r="F210" s="459"/>
      <c r="G210" s="459"/>
      <c r="H210" s="459"/>
      <c r="I210" s="459"/>
      <c r="J210" s="459"/>
      <c r="K210" s="459"/>
      <c r="L210" s="459"/>
      <c r="M210" s="459"/>
      <c r="N210" s="459"/>
      <c r="O210" s="459"/>
      <c r="P210" s="459"/>
      <c r="Q210" s="459"/>
      <c r="R210" s="459"/>
      <c r="S210" s="459"/>
      <c r="T210" s="459"/>
      <c r="U210" s="459"/>
      <c r="V210" s="459"/>
      <c r="W210" s="459"/>
      <c r="X210" s="459"/>
      <c r="Y210" s="459"/>
      <c r="Z210" s="459"/>
      <c r="AA210" s="459"/>
      <c r="AB210" s="459"/>
      <c r="AC210" s="459"/>
      <c r="AD210" s="459"/>
      <c r="AE210" s="459"/>
      <c r="AF210" s="459"/>
      <c r="AG210" s="459"/>
      <c r="AH210" s="459"/>
      <c r="AI210" s="459"/>
      <c r="AJ210" s="459"/>
      <c r="AK210" s="459"/>
      <c r="AL210" s="459"/>
      <c r="AM210" s="459"/>
      <c r="AN210" s="459"/>
      <c r="AO210" s="459"/>
      <c r="AP210" s="459"/>
      <c r="AQ210" s="459"/>
      <c r="AR210" s="459"/>
      <c r="AS210" s="459"/>
      <c r="AT210" s="459"/>
      <c r="AU210" s="459"/>
      <c r="AV210" s="459"/>
      <c r="AW210" s="459"/>
      <c r="AX210" s="459"/>
      <c r="AY210" s="459"/>
      <c r="AZ210" s="459"/>
      <c r="BA210" s="459"/>
      <c r="BB210" s="459"/>
      <c r="BC210" s="459"/>
      <c r="BD210" s="459"/>
      <c r="BE210" s="459"/>
      <c r="BF210" s="459"/>
      <c r="BG210" s="459"/>
      <c r="BH210" s="459"/>
      <c r="BI210" s="459"/>
      <c r="BJ210" s="459"/>
    </row>
    <row r="211" ht="15.75" customHeight="1" spans="1:62">
      <c r="A211" s="459"/>
      <c r="B211" s="459"/>
      <c r="C211" s="459"/>
      <c r="D211" s="459"/>
      <c r="E211" s="459"/>
      <c r="F211" s="459"/>
      <c r="G211" s="459"/>
      <c r="H211" s="459"/>
      <c r="I211" s="459"/>
      <c r="J211" s="459"/>
      <c r="K211" s="459"/>
      <c r="L211" s="459"/>
      <c r="M211" s="459"/>
      <c r="N211" s="459"/>
      <c r="O211" s="459"/>
      <c r="P211" s="459"/>
      <c r="Q211" s="459"/>
      <c r="R211" s="459"/>
      <c r="S211" s="459"/>
      <c r="T211" s="459"/>
      <c r="U211" s="459"/>
      <c r="V211" s="459"/>
      <c r="W211" s="459"/>
      <c r="X211" s="459"/>
      <c r="Y211" s="459"/>
      <c r="Z211" s="459"/>
      <c r="AA211" s="459"/>
      <c r="AB211" s="459"/>
      <c r="AC211" s="459"/>
      <c r="AD211" s="459"/>
      <c r="AE211" s="459"/>
      <c r="AF211" s="459"/>
      <c r="AG211" s="459"/>
      <c r="AH211" s="459"/>
      <c r="AI211" s="459"/>
      <c r="AJ211" s="459"/>
      <c r="AK211" s="459"/>
      <c r="AL211" s="459"/>
      <c r="AM211" s="459"/>
      <c r="AN211" s="459"/>
      <c r="AO211" s="459"/>
      <c r="AP211" s="459"/>
      <c r="AQ211" s="459"/>
      <c r="AR211" s="459"/>
      <c r="AS211" s="459"/>
      <c r="AT211" s="459"/>
      <c r="AU211" s="459"/>
      <c r="AV211" s="459"/>
      <c r="AW211" s="459"/>
      <c r="AX211" s="459"/>
      <c r="AY211" s="459"/>
      <c r="AZ211" s="459"/>
      <c r="BA211" s="459"/>
      <c r="BB211" s="459"/>
      <c r="BC211" s="459"/>
      <c r="BD211" s="459"/>
      <c r="BE211" s="459"/>
      <c r="BF211" s="459"/>
      <c r="BG211" s="459"/>
      <c r="BH211" s="459"/>
      <c r="BI211" s="459"/>
      <c r="BJ211" s="459"/>
    </row>
    <row r="212" ht="15.75" customHeight="1" spans="1:62">
      <c r="A212" s="459"/>
      <c r="B212" s="459"/>
      <c r="C212" s="459"/>
      <c r="D212" s="459"/>
      <c r="E212" s="459"/>
      <c r="F212" s="459"/>
      <c r="G212" s="459"/>
      <c r="H212" s="459"/>
      <c r="I212" s="459"/>
      <c r="J212" s="459"/>
      <c r="K212" s="459"/>
      <c r="L212" s="459"/>
      <c r="M212" s="459"/>
      <c r="N212" s="459"/>
      <c r="O212" s="459"/>
      <c r="P212" s="459"/>
      <c r="Q212" s="459"/>
      <c r="R212" s="459"/>
      <c r="S212" s="459"/>
      <c r="T212" s="459"/>
      <c r="U212" s="459"/>
      <c r="V212" s="459"/>
      <c r="W212" s="459"/>
      <c r="X212" s="459"/>
      <c r="Y212" s="459"/>
      <c r="Z212" s="459"/>
      <c r="AA212" s="459"/>
      <c r="AB212" s="459"/>
      <c r="AC212" s="459"/>
      <c r="AD212" s="459"/>
      <c r="AE212" s="459"/>
      <c r="AF212" s="459"/>
      <c r="AG212" s="459"/>
      <c r="AH212" s="459"/>
      <c r="AI212" s="459"/>
      <c r="AJ212" s="459"/>
      <c r="AK212" s="459"/>
      <c r="AL212" s="459"/>
      <c r="AM212" s="459"/>
      <c r="AN212" s="459"/>
      <c r="AO212" s="459"/>
      <c r="AP212" s="459"/>
      <c r="AQ212" s="459"/>
      <c r="AR212" s="459"/>
      <c r="AS212" s="459"/>
      <c r="AT212" s="459"/>
      <c r="AU212" s="459"/>
      <c r="AV212" s="459"/>
      <c r="AW212" s="459"/>
      <c r="AX212" s="459"/>
      <c r="AY212" s="459"/>
      <c r="AZ212" s="459"/>
      <c r="BA212" s="459"/>
      <c r="BB212" s="459"/>
      <c r="BC212" s="459"/>
      <c r="BD212" s="459"/>
      <c r="BE212" s="459"/>
      <c r="BF212" s="459"/>
      <c r="BG212" s="459"/>
      <c r="BH212" s="459"/>
      <c r="BI212" s="459"/>
      <c r="BJ212" s="459"/>
    </row>
    <row r="213" ht="15.75" customHeight="1" spans="1:62">
      <c r="A213" s="459"/>
      <c r="B213" s="459"/>
      <c r="C213" s="459"/>
      <c r="D213" s="459"/>
      <c r="E213" s="459"/>
      <c r="F213" s="459"/>
      <c r="G213" s="459"/>
      <c r="H213" s="459"/>
      <c r="I213" s="459"/>
      <c r="J213" s="459"/>
      <c r="K213" s="459"/>
      <c r="L213" s="459"/>
      <c r="M213" s="459"/>
      <c r="N213" s="459"/>
      <c r="O213" s="459"/>
      <c r="P213" s="459"/>
      <c r="Q213" s="459"/>
      <c r="R213" s="459"/>
      <c r="S213" s="459"/>
      <c r="T213" s="459"/>
      <c r="U213" s="459"/>
      <c r="V213" s="459"/>
      <c r="W213" s="459"/>
      <c r="X213" s="459"/>
      <c r="Y213" s="459"/>
      <c r="Z213" s="459"/>
      <c r="AA213" s="459"/>
      <c r="AB213" s="459"/>
      <c r="AC213" s="459"/>
      <c r="AD213" s="459"/>
      <c r="AE213" s="459"/>
      <c r="AF213" s="459"/>
      <c r="AG213" s="459"/>
      <c r="AH213" s="459"/>
      <c r="AI213" s="459"/>
      <c r="AJ213" s="459"/>
      <c r="AK213" s="459"/>
      <c r="AL213" s="459"/>
      <c r="AM213" s="459"/>
      <c r="AN213" s="459"/>
      <c r="AO213" s="459"/>
      <c r="AP213" s="459"/>
      <c r="AQ213" s="459"/>
      <c r="AR213" s="459"/>
      <c r="AS213" s="459"/>
      <c r="AT213" s="459"/>
      <c r="AU213" s="459"/>
      <c r="AV213" s="459"/>
      <c r="AW213" s="459"/>
      <c r="AX213" s="459"/>
      <c r="AY213" s="459"/>
      <c r="AZ213" s="459"/>
      <c r="BA213" s="459"/>
      <c r="BB213" s="459"/>
      <c r="BC213" s="459"/>
      <c r="BD213" s="459"/>
      <c r="BE213" s="459"/>
      <c r="BF213" s="459"/>
      <c r="BG213" s="459"/>
      <c r="BH213" s="459"/>
      <c r="BI213" s="459"/>
      <c r="BJ213" s="459"/>
    </row>
    <row r="214" ht="15.75" customHeight="1" spans="1:62">
      <c r="A214" s="459"/>
      <c r="B214" s="459"/>
      <c r="C214" s="459"/>
      <c r="D214" s="459"/>
      <c r="E214" s="459"/>
      <c r="F214" s="459"/>
      <c r="G214" s="459"/>
      <c r="H214" s="459"/>
      <c r="I214" s="459"/>
      <c r="J214" s="459"/>
      <c r="K214" s="459"/>
      <c r="L214" s="459"/>
      <c r="M214" s="459"/>
      <c r="N214" s="459"/>
      <c r="O214" s="459"/>
      <c r="P214" s="459"/>
      <c r="Q214" s="459"/>
      <c r="R214" s="459"/>
      <c r="S214" s="459"/>
      <c r="T214" s="459"/>
      <c r="U214" s="459"/>
      <c r="V214" s="459"/>
      <c r="W214" s="459"/>
      <c r="X214" s="459"/>
      <c r="Y214" s="459"/>
      <c r="Z214" s="459"/>
      <c r="AA214" s="459"/>
      <c r="AB214" s="459"/>
      <c r="AC214" s="459"/>
      <c r="AD214" s="459"/>
      <c r="AE214" s="459"/>
      <c r="AF214" s="459"/>
      <c r="AG214" s="459"/>
      <c r="AH214" s="459"/>
      <c r="AI214" s="459"/>
      <c r="AJ214" s="459"/>
      <c r="AK214" s="459"/>
      <c r="AL214" s="459"/>
      <c r="AM214" s="459"/>
      <c r="AN214" s="459"/>
      <c r="AO214" s="459"/>
      <c r="AP214" s="459"/>
      <c r="AQ214" s="459"/>
      <c r="AR214" s="459"/>
      <c r="AS214" s="459"/>
      <c r="AT214" s="459"/>
      <c r="AU214" s="459"/>
      <c r="AV214" s="459"/>
      <c r="AW214" s="459"/>
      <c r="AX214" s="459"/>
      <c r="AY214" s="459"/>
      <c r="AZ214" s="459"/>
      <c r="BA214" s="459"/>
      <c r="BB214" s="459"/>
      <c r="BC214" s="459"/>
      <c r="BD214" s="459"/>
      <c r="BE214" s="459"/>
      <c r="BF214" s="459"/>
      <c r="BG214" s="459"/>
      <c r="BH214" s="459"/>
      <c r="BI214" s="459"/>
      <c r="BJ214" s="459"/>
    </row>
    <row r="215" ht="15.75" customHeight="1" spans="1:62">
      <c r="A215" s="459"/>
      <c r="B215" s="459"/>
      <c r="C215" s="459"/>
      <c r="D215" s="459"/>
      <c r="E215" s="459"/>
      <c r="F215" s="459"/>
      <c r="G215" s="459"/>
      <c r="H215" s="459"/>
      <c r="I215" s="459"/>
      <c r="J215" s="459"/>
      <c r="K215" s="459"/>
      <c r="L215" s="459"/>
      <c r="M215" s="459"/>
      <c r="N215" s="459"/>
      <c r="O215" s="459"/>
      <c r="P215" s="459"/>
      <c r="Q215" s="459"/>
      <c r="R215" s="459"/>
      <c r="S215" s="459"/>
      <c r="T215" s="459"/>
      <c r="U215" s="459"/>
      <c r="V215" s="459"/>
      <c r="W215" s="459"/>
      <c r="X215" s="459"/>
      <c r="Y215" s="459"/>
      <c r="Z215" s="459"/>
      <c r="AA215" s="459"/>
      <c r="AB215" s="459"/>
      <c r="AC215" s="459"/>
      <c r="AD215" s="459"/>
      <c r="AE215" s="459"/>
      <c r="AF215" s="459"/>
      <c r="AG215" s="459"/>
      <c r="AH215" s="459"/>
      <c r="AI215" s="459"/>
      <c r="AJ215" s="459"/>
      <c r="AK215" s="459"/>
      <c r="AL215" s="459"/>
      <c r="AM215" s="459"/>
      <c r="AN215" s="459"/>
      <c r="AO215" s="459"/>
      <c r="AP215" s="459"/>
      <c r="AQ215" s="459"/>
      <c r="AR215" s="459"/>
      <c r="AS215" s="459"/>
      <c r="AT215" s="459"/>
      <c r="AU215" s="459"/>
      <c r="AV215" s="459"/>
      <c r="AW215" s="459"/>
      <c r="AX215" s="459"/>
      <c r="AY215" s="459"/>
      <c r="AZ215" s="459"/>
      <c r="BA215" s="459"/>
      <c r="BB215" s="459"/>
      <c r="BC215" s="459"/>
      <c r="BD215" s="459"/>
      <c r="BE215" s="459"/>
      <c r="BF215" s="459"/>
      <c r="BG215" s="459"/>
      <c r="BH215" s="459"/>
      <c r="BI215" s="459"/>
      <c r="BJ215" s="459"/>
    </row>
    <row r="216" ht="15.75" customHeight="1" spans="1:62">
      <c r="A216" s="459"/>
      <c r="B216" s="459"/>
      <c r="C216" s="459"/>
      <c r="D216" s="459"/>
      <c r="E216" s="459"/>
      <c r="F216" s="459"/>
      <c r="G216" s="459"/>
      <c r="H216" s="459"/>
      <c r="I216" s="459"/>
      <c r="J216" s="459"/>
      <c r="K216" s="459"/>
      <c r="L216" s="459"/>
      <c r="M216" s="459"/>
      <c r="N216" s="459"/>
      <c r="O216" s="459"/>
      <c r="P216" s="459"/>
      <c r="Q216" s="459"/>
      <c r="R216" s="459"/>
      <c r="S216" s="459"/>
      <c r="T216" s="459"/>
      <c r="U216" s="459"/>
      <c r="V216" s="459"/>
      <c r="W216" s="459"/>
      <c r="X216" s="459"/>
      <c r="Y216" s="459"/>
      <c r="Z216" s="459"/>
      <c r="AA216" s="459"/>
      <c r="AB216" s="459"/>
      <c r="AC216" s="459"/>
      <c r="AD216" s="459"/>
      <c r="AE216" s="459"/>
      <c r="AF216" s="459"/>
      <c r="AG216" s="459"/>
      <c r="AH216" s="459"/>
      <c r="AI216" s="459"/>
      <c r="AJ216" s="459"/>
      <c r="AK216" s="459"/>
      <c r="AL216" s="459"/>
      <c r="AM216" s="459"/>
      <c r="AN216" s="459"/>
      <c r="AO216" s="459"/>
      <c r="AP216" s="459"/>
      <c r="AQ216" s="459"/>
      <c r="AR216" s="459"/>
      <c r="AS216" s="459"/>
      <c r="AT216" s="459"/>
      <c r="AU216" s="459"/>
      <c r="AV216" s="459"/>
      <c r="AW216" s="459"/>
      <c r="AX216" s="459"/>
      <c r="AY216" s="459"/>
      <c r="AZ216" s="459"/>
      <c r="BA216" s="459"/>
      <c r="BB216" s="459"/>
      <c r="BC216" s="459"/>
      <c r="BD216" s="459"/>
      <c r="BE216" s="459"/>
      <c r="BF216" s="459"/>
      <c r="BG216" s="459"/>
      <c r="BH216" s="459"/>
      <c r="BI216" s="459"/>
      <c r="BJ216" s="459"/>
    </row>
    <row r="217" ht="15.75" customHeight="1" spans="1:62">
      <c r="A217" s="459"/>
      <c r="B217" s="459"/>
      <c r="C217" s="459"/>
      <c r="D217" s="459"/>
      <c r="E217" s="459"/>
      <c r="F217" s="459"/>
      <c r="G217" s="459"/>
      <c r="H217" s="459"/>
      <c r="I217" s="459"/>
      <c r="J217" s="459"/>
      <c r="K217" s="459"/>
      <c r="L217" s="459"/>
      <c r="M217" s="459"/>
      <c r="N217" s="459"/>
      <c r="O217" s="459"/>
      <c r="P217" s="459"/>
      <c r="Q217" s="459"/>
      <c r="R217" s="459"/>
      <c r="S217" s="459"/>
      <c r="T217" s="459"/>
      <c r="U217" s="459"/>
      <c r="V217" s="459"/>
      <c r="W217" s="459"/>
      <c r="X217" s="459"/>
      <c r="Y217" s="459"/>
      <c r="Z217" s="459"/>
      <c r="AA217" s="459"/>
      <c r="AB217" s="459"/>
      <c r="AC217" s="459"/>
      <c r="AD217" s="459"/>
      <c r="AE217" s="459"/>
      <c r="AF217" s="459"/>
      <c r="AG217" s="459"/>
      <c r="AH217" s="459"/>
      <c r="AI217" s="459"/>
      <c r="AJ217" s="459"/>
      <c r="AK217" s="459"/>
      <c r="AL217" s="459"/>
      <c r="AM217" s="459"/>
      <c r="AN217" s="459"/>
      <c r="AO217" s="459"/>
      <c r="AP217" s="459"/>
      <c r="AQ217" s="459"/>
      <c r="AR217" s="459"/>
      <c r="AS217" s="459"/>
      <c r="AT217" s="459"/>
      <c r="AU217" s="459"/>
      <c r="AV217" s="459"/>
      <c r="AW217" s="459"/>
      <c r="AX217" s="459"/>
      <c r="AY217" s="459"/>
      <c r="AZ217" s="459"/>
      <c r="BA217" s="459"/>
      <c r="BB217" s="459"/>
      <c r="BC217" s="459"/>
      <c r="BD217" s="459"/>
      <c r="BE217" s="459"/>
      <c r="BF217" s="459"/>
      <c r="BG217" s="459"/>
      <c r="BH217" s="459"/>
      <c r="BI217" s="459"/>
      <c r="BJ217" s="459"/>
    </row>
    <row r="218" ht="15.75" customHeight="1" spans="1:62">
      <c r="A218" s="459"/>
      <c r="B218" s="459"/>
      <c r="C218" s="459"/>
      <c r="D218" s="459"/>
      <c r="E218" s="459"/>
      <c r="F218" s="459"/>
      <c r="G218" s="459"/>
      <c r="H218" s="459"/>
      <c r="I218" s="459"/>
      <c r="J218" s="459"/>
      <c r="K218" s="459"/>
      <c r="L218" s="459"/>
      <c r="M218" s="459"/>
      <c r="N218" s="459"/>
      <c r="O218" s="459"/>
      <c r="P218" s="459"/>
      <c r="Q218" s="459"/>
      <c r="R218" s="459"/>
      <c r="S218" s="459"/>
      <c r="T218" s="459"/>
      <c r="U218" s="459"/>
      <c r="V218" s="459"/>
      <c r="W218" s="459"/>
      <c r="X218" s="459"/>
      <c r="Y218" s="459"/>
      <c r="Z218" s="459"/>
      <c r="AA218" s="459"/>
      <c r="AB218" s="459"/>
      <c r="AC218" s="459"/>
      <c r="AD218" s="459"/>
      <c r="AE218" s="459"/>
      <c r="AF218" s="459"/>
      <c r="AG218" s="459"/>
      <c r="AH218" s="459"/>
      <c r="AI218" s="459"/>
      <c r="AJ218" s="459"/>
      <c r="AK218" s="459"/>
      <c r="AL218" s="459"/>
      <c r="AM218" s="459"/>
      <c r="AN218" s="459"/>
      <c r="AO218" s="459"/>
      <c r="AP218" s="459"/>
      <c r="AQ218" s="459"/>
      <c r="AR218" s="459"/>
      <c r="AS218" s="459"/>
      <c r="AT218" s="459"/>
      <c r="AU218" s="459"/>
      <c r="AV218" s="459"/>
      <c r="AW218" s="459"/>
      <c r="AX218" s="459"/>
      <c r="AY218" s="459"/>
      <c r="AZ218" s="459"/>
      <c r="BA218" s="459"/>
      <c r="BB218" s="459"/>
      <c r="BC218" s="459"/>
      <c r="BD218" s="459"/>
      <c r="BE218" s="459"/>
      <c r="BF218" s="459"/>
      <c r="BG218" s="459"/>
      <c r="BH218" s="459"/>
      <c r="BI218" s="459"/>
      <c r="BJ218" s="459"/>
    </row>
    <row r="219" ht="15.75" customHeight="1" spans="1:62">
      <c r="A219" s="459"/>
      <c r="B219" s="459"/>
      <c r="C219" s="459"/>
      <c r="D219" s="459"/>
      <c r="E219" s="459"/>
      <c r="F219" s="459"/>
      <c r="G219" s="459"/>
      <c r="H219" s="459"/>
      <c r="I219" s="459"/>
      <c r="J219" s="459"/>
      <c r="K219" s="459"/>
      <c r="L219" s="459"/>
      <c r="M219" s="459"/>
      <c r="N219" s="459"/>
      <c r="O219" s="459"/>
      <c r="P219" s="459"/>
      <c r="Q219" s="459"/>
      <c r="R219" s="459"/>
      <c r="S219" s="459"/>
      <c r="T219" s="459"/>
      <c r="U219" s="459"/>
      <c r="V219" s="459"/>
      <c r="W219" s="459"/>
      <c r="X219" s="459"/>
      <c r="Y219" s="459"/>
      <c r="Z219" s="459"/>
      <c r="AA219" s="459"/>
      <c r="AB219" s="459"/>
      <c r="AC219" s="459"/>
      <c r="AD219" s="459"/>
      <c r="AE219" s="459"/>
      <c r="AF219" s="459"/>
      <c r="AG219" s="459"/>
      <c r="AH219" s="459"/>
      <c r="AI219" s="459"/>
      <c r="AJ219" s="459"/>
      <c r="AK219" s="459"/>
      <c r="AL219" s="459"/>
      <c r="AM219" s="459"/>
      <c r="AN219" s="459"/>
      <c r="AO219" s="459"/>
      <c r="AP219" s="459"/>
      <c r="AQ219" s="459"/>
      <c r="AR219" s="459"/>
      <c r="AS219" s="459"/>
      <c r="AT219" s="459"/>
      <c r="AU219" s="459"/>
      <c r="AV219" s="459"/>
      <c r="AW219" s="459"/>
      <c r="AX219" s="459"/>
      <c r="AY219" s="459"/>
      <c r="AZ219" s="459"/>
      <c r="BA219" s="459"/>
      <c r="BB219" s="459"/>
      <c r="BC219" s="459"/>
      <c r="BD219" s="459"/>
      <c r="BE219" s="459"/>
      <c r="BF219" s="459"/>
      <c r="BG219" s="459"/>
      <c r="BH219" s="459"/>
      <c r="BI219" s="459"/>
      <c r="BJ219" s="459"/>
    </row>
    <row r="220" ht="15.75" customHeight="1" spans="1:62">
      <c r="A220" s="459"/>
      <c r="B220" s="459"/>
      <c r="C220" s="459"/>
      <c r="D220" s="459"/>
      <c r="E220" s="459"/>
      <c r="F220" s="459"/>
      <c r="G220" s="459"/>
      <c r="H220" s="459"/>
      <c r="I220" s="459"/>
      <c r="J220" s="459"/>
      <c r="K220" s="459"/>
      <c r="L220" s="459"/>
      <c r="M220" s="459"/>
      <c r="N220" s="459"/>
      <c r="O220" s="459"/>
      <c r="P220" s="459"/>
      <c r="Q220" s="459"/>
      <c r="R220" s="459"/>
      <c r="S220" s="459"/>
      <c r="T220" s="459"/>
      <c r="U220" s="459"/>
      <c r="V220" s="459"/>
      <c r="W220" s="459"/>
      <c r="X220" s="459"/>
      <c r="Y220" s="459"/>
      <c r="Z220" s="459"/>
      <c r="AA220" s="459"/>
      <c r="AB220" s="459"/>
      <c r="AC220" s="459"/>
      <c r="AD220" s="459"/>
      <c r="AE220" s="459"/>
      <c r="AF220" s="459"/>
      <c r="AG220" s="459"/>
      <c r="AH220" s="459"/>
      <c r="AI220" s="459"/>
      <c r="AJ220" s="459"/>
      <c r="AK220" s="459"/>
      <c r="AL220" s="459"/>
      <c r="AM220" s="459"/>
      <c r="AN220" s="459"/>
      <c r="AO220" s="459"/>
      <c r="AP220" s="459"/>
      <c r="AQ220" s="459"/>
      <c r="AR220" s="459"/>
      <c r="AS220" s="459"/>
      <c r="AT220" s="459"/>
      <c r="AU220" s="459"/>
      <c r="AV220" s="459"/>
      <c r="AW220" s="459"/>
      <c r="AX220" s="459"/>
      <c r="AY220" s="459"/>
      <c r="AZ220" s="459"/>
      <c r="BA220" s="459"/>
      <c r="BB220" s="459"/>
      <c r="BC220" s="459"/>
      <c r="BD220" s="459"/>
      <c r="BE220" s="459"/>
      <c r="BF220" s="459"/>
      <c r="BG220" s="459"/>
      <c r="BH220" s="459"/>
      <c r="BI220" s="459"/>
      <c r="BJ220" s="459"/>
    </row>
    <row r="221" ht="15.75" customHeight="1" spans="1:62">
      <c r="A221" s="459"/>
      <c r="B221" s="459"/>
      <c r="C221" s="459"/>
      <c r="D221" s="459"/>
      <c r="E221" s="459"/>
      <c r="F221" s="459"/>
      <c r="G221" s="459"/>
      <c r="H221" s="459"/>
      <c r="I221" s="459"/>
      <c r="J221" s="459"/>
      <c r="K221" s="459"/>
      <c r="L221" s="459"/>
      <c r="M221" s="459"/>
      <c r="N221" s="459"/>
      <c r="O221" s="459"/>
      <c r="P221" s="459"/>
      <c r="Q221" s="459"/>
      <c r="R221" s="459"/>
      <c r="S221" s="459"/>
      <c r="T221" s="459"/>
      <c r="U221" s="459"/>
      <c r="V221" s="459"/>
      <c r="W221" s="459"/>
      <c r="X221" s="459"/>
      <c r="Y221" s="459"/>
      <c r="Z221" s="459"/>
      <c r="AA221" s="459"/>
      <c r="AB221" s="459"/>
      <c r="AC221" s="459"/>
      <c r="AD221" s="459"/>
      <c r="AE221" s="459"/>
      <c r="AF221" s="459"/>
      <c r="AG221" s="459"/>
      <c r="AH221" s="459"/>
      <c r="AI221" s="459"/>
      <c r="AJ221" s="459"/>
      <c r="AK221" s="459"/>
      <c r="AL221" s="459"/>
      <c r="AM221" s="459"/>
      <c r="AN221" s="459"/>
      <c r="AO221" s="459"/>
      <c r="AP221" s="459"/>
      <c r="AQ221" s="459"/>
      <c r="AR221" s="459"/>
      <c r="AS221" s="459"/>
      <c r="AT221" s="459"/>
      <c r="AU221" s="459"/>
      <c r="AV221" s="459"/>
      <c r="AW221" s="459"/>
      <c r="AX221" s="459"/>
      <c r="AY221" s="459"/>
      <c r="AZ221" s="459"/>
      <c r="BA221" s="459"/>
      <c r="BB221" s="459"/>
      <c r="BC221" s="459"/>
      <c r="BD221" s="459"/>
      <c r="BE221" s="459"/>
      <c r="BF221" s="459"/>
      <c r="BG221" s="459"/>
      <c r="BH221" s="459"/>
      <c r="BI221" s="459"/>
      <c r="BJ221" s="459"/>
    </row>
    <row r="222" ht="15.75" customHeight="1" spans="1:62">
      <c r="A222" s="459"/>
      <c r="B222" s="459"/>
      <c r="C222" s="459"/>
      <c r="D222" s="459"/>
      <c r="E222" s="459"/>
      <c r="F222" s="459"/>
      <c r="G222" s="459"/>
      <c r="H222" s="459"/>
      <c r="I222" s="459"/>
      <c r="J222" s="459"/>
      <c r="K222" s="459"/>
      <c r="L222" s="459"/>
      <c r="M222" s="459"/>
      <c r="N222" s="459"/>
      <c r="O222" s="459"/>
      <c r="P222" s="459"/>
      <c r="Q222" s="459"/>
      <c r="R222" s="459"/>
      <c r="S222" s="459"/>
      <c r="T222" s="459"/>
      <c r="U222" s="459"/>
      <c r="V222" s="459"/>
      <c r="W222" s="459"/>
      <c r="X222" s="459"/>
      <c r="Y222" s="459"/>
      <c r="Z222" s="459"/>
      <c r="AA222" s="459"/>
      <c r="AB222" s="459"/>
      <c r="AC222" s="459"/>
      <c r="AD222" s="459"/>
      <c r="AE222" s="459"/>
      <c r="AF222" s="459"/>
      <c r="AG222" s="459"/>
      <c r="AH222" s="459"/>
      <c r="AI222" s="459"/>
      <c r="AJ222" s="459"/>
      <c r="AK222" s="459"/>
      <c r="AL222" s="459"/>
      <c r="AM222" s="459"/>
      <c r="AN222" s="459"/>
      <c r="AO222" s="459"/>
      <c r="AP222" s="459"/>
      <c r="AQ222" s="459"/>
      <c r="AR222" s="459"/>
      <c r="AS222" s="459"/>
      <c r="AT222" s="459"/>
      <c r="AU222" s="459"/>
      <c r="AV222" s="459"/>
      <c r="AW222" s="459"/>
      <c r="AX222" s="459"/>
      <c r="AY222" s="459"/>
      <c r="AZ222" s="459"/>
      <c r="BA222" s="459"/>
      <c r="BB222" s="459"/>
      <c r="BC222" s="459"/>
      <c r="BD222" s="459"/>
      <c r="BE222" s="459"/>
      <c r="BF222" s="459"/>
      <c r="BG222" s="459"/>
      <c r="BH222" s="459"/>
      <c r="BI222" s="459"/>
      <c r="BJ222" s="459"/>
    </row>
    <row r="223" ht="15.75" customHeight="1" spans="1:62">
      <c r="A223" s="459"/>
      <c r="B223" s="459"/>
      <c r="C223" s="459"/>
      <c r="D223" s="459"/>
      <c r="E223" s="459"/>
      <c r="F223" s="459"/>
      <c r="G223" s="459"/>
      <c r="H223" s="459"/>
      <c r="I223" s="459"/>
      <c r="J223" s="459"/>
      <c r="K223" s="459"/>
      <c r="L223" s="459"/>
      <c r="M223" s="459"/>
      <c r="N223" s="459"/>
      <c r="O223" s="459"/>
      <c r="P223" s="459"/>
      <c r="Q223" s="459"/>
      <c r="R223" s="459"/>
      <c r="S223" s="459"/>
      <c r="T223" s="459"/>
      <c r="U223" s="459"/>
      <c r="V223" s="459"/>
      <c r="W223" s="459"/>
      <c r="X223" s="459"/>
      <c r="Y223" s="459"/>
      <c r="Z223" s="459"/>
      <c r="AA223" s="459"/>
      <c r="AB223" s="459"/>
      <c r="AC223" s="459"/>
      <c r="AD223" s="459"/>
      <c r="AE223" s="459"/>
      <c r="AF223" s="459"/>
      <c r="AG223" s="459"/>
      <c r="AH223" s="459"/>
      <c r="AI223" s="459"/>
      <c r="AJ223" s="459"/>
      <c r="AK223" s="459"/>
      <c r="AL223" s="459"/>
      <c r="AM223" s="459"/>
      <c r="AN223" s="459"/>
      <c r="AO223" s="459"/>
      <c r="AP223" s="459"/>
      <c r="AQ223" s="459"/>
      <c r="AR223" s="459"/>
      <c r="AS223" s="459"/>
      <c r="AT223" s="459"/>
      <c r="AU223" s="459"/>
      <c r="AV223" s="459"/>
      <c r="AW223" s="459"/>
      <c r="AX223" s="459"/>
      <c r="AY223" s="459"/>
      <c r="AZ223" s="459"/>
      <c r="BA223" s="459"/>
      <c r="BB223" s="459"/>
      <c r="BC223" s="459"/>
      <c r="BD223" s="459"/>
      <c r="BE223" s="459"/>
      <c r="BF223" s="459"/>
      <c r="BG223" s="459"/>
      <c r="BH223" s="459"/>
      <c r="BI223" s="459"/>
      <c r="BJ223" s="459"/>
    </row>
    <row r="224" ht="15.75" customHeight="1" spans="1:62">
      <c r="A224" s="459"/>
      <c r="B224" s="459"/>
      <c r="C224" s="459"/>
      <c r="D224" s="459"/>
      <c r="E224" s="459"/>
      <c r="F224" s="459"/>
      <c r="G224" s="459"/>
      <c r="H224" s="459"/>
      <c r="I224" s="459"/>
      <c r="J224" s="459"/>
      <c r="K224" s="459"/>
      <c r="L224" s="459"/>
      <c r="M224" s="459"/>
      <c r="N224" s="459"/>
      <c r="O224" s="459"/>
      <c r="P224" s="459"/>
      <c r="Q224" s="459"/>
      <c r="R224" s="459"/>
      <c r="S224" s="459"/>
      <c r="T224" s="459"/>
      <c r="U224" s="459"/>
      <c r="V224" s="459"/>
      <c r="W224" s="459"/>
      <c r="X224" s="459"/>
      <c r="Y224" s="459"/>
      <c r="Z224" s="459"/>
      <c r="AA224" s="459"/>
      <c r="AB224" s="459"/>
      <c r="AC224" s="459"/>
      <c r="AD224" s="459"/>
      <c r="AE224" s="459"/>
      <c r="AF224" s="459"/>
      <c r="AG224" s="459"/>
      <c r="AH224" s="459"/>
      <c r="AI224" s="459"/>
      <c r="AJ224" s="459"/>
      <c r="AK224" s="459"/>
      <c r="AL224" s="459"/>
      <c r="AM224" s="459"/>
      <c r="AN224" s="459"/>
      <c r="AO224" s="459"/>
      <c r="AP224" s="459"/>
      <c r="AQ224" s="459"/>
      <c r="AR224" s="459"/>
      <c r="AS224" s="459"/>
      <c r="AT224" s="459"/>
      <c r="AU224" s="459"/>
      <c r="AV224" s="459"/>
      <c r="AW224" s="459"/>
      <c r="AX224" s="459"/>
      <c r="AY224" s="459"/>
      <c r="AZ224" s="459"/>
      <c r="BA224" s="459"/>
      <c r="BB224" s="459"/>
      <c r="BC224" s="459"/>
      <c r="BD224" s="459"/>
      <c r="BE224" s="459"/>
      <c r="BF224" s="459"/>
      <c r="BG224" s="459"/>
      <c r="BH224" s="459"/>
      <c r="BI224" s="459"/>
      <c r="BJ224" s="459"/>
    </row>
    <row r="225" ht="15.75" customHeight="1" spans="1:62">
      <c r="A225" s="459"/>
      <c r="B225" s="459"/>
      <c r="C225" s="459"/>
      <c r="D225" s="459"/>
      <c r="E225" s="459"/>
      <c r="F225" s="459"/>
      <c r="G225" s="459"/>
      <c r="H225" s="459"/>
      <c r="I225" s="459"/>
      <c r="J225" s="459"/>
      <c r="K225" s="459"/>
      <c r="L225" s="459"/>
      <c r="M225" s="459"/>
      <c r="N225" s="459"/>
      <c r="O225" s="459"/>
      <c r="P225" s="459"/>
      <c r="Q225" s="459"/>
      <c r="R225" s="459"/>
      <c r="S225" s="459"/>
      <c r="T225" s="459"/>
      <c r="U225" s="459"/>
      <c r="V225" s="459"/>
      <c r="W225" s="459"/>
      <c r="X225" s="459"/>
      <c r="Y225" s="459"/>
      <c r="Z225" s="459"/>
      <c r="AA225" s="459"/>
      <c r="AB225" s="459"/>
      <c r="AC225" s="459"/>
      <c r="AD225" s="459"/>
      <c r="AE225" s="459"/>
      <c r="AF225" s="459"/>
      <c r="AG225" s="459"/>
      <c r="AH225" s="459"/>
      <c r="AI225" s="459"/>
      <c r="AJ225" s="459"/>
      <c r="AK225" s="459"/>
      <c r="AL225" s="459"/>
      <c r="AM225" s="459"/>
      <c r="AN225" s="459"/>
      <c r="AO225" s="459"/>
      <c r="AP225" s="459"/>
      <c r="AQ225" s="459"/>
      <c r="AR225" s="459"/>
      <c r="AS225" s="459"/>
      <c r="AT225" s="459"/>
      <c r="AU225" s="459"/>
      <c r="AV225" s="459"/>
      <c r="AW225" s="459"/>
      <c r="AX225" s="459"/>
      <c r="AY225" s="459"/>
      <c r="AZ225" s="459"/>
      <c r="BA225" s="459"/>
      <c r="BB225" s="459"/>
      <c r="BC225" s="459"/>
      <c r="BD225" s="459"/>
      <c r="BE225" s="459"/>
      <c r="BF225" s="459"/>
      <c r="BG225" s="459"/>
      <c r="BH225" s="459"/>
      <c r="BI225" s="459"/>
      <c r="BJ225" s="459"/>
    </row>
    <row r="226" ht="15.75" customHeight="1" spans="1:62">
      <c r="A226" s="459"/>
      <c r="B226" s="459"/>
      <c r="C226" s="459"/>
      <c r="D226" s="459"/>
      <c r="E226" s="459"/>
      <c r="F226" s="459"/>
      <c r="G226" s="459"/>
      <c r="H226" s="459"/>
      <c r="I226" s="459"/>
      <c r="J226" s="459"/>
      <c r="K226" s="459"/>
      <c r="L226" s="459"/>
      <c r="M226" s="459"/>
      <c r="N226" s="459"/>
      <c r="O226" s="459"/>
      <c r="P226" s="459"/>
      <c r="Q226" s="459"/>
      <c r="R226" s="459"/>
      <c r="S226" s="459"/>
      <c r="T226" s="459"/>
      <c r="U226" s="459"/>
      <c r="V226" s="459"/>
      <c r="W226" s="459"/>
      <c r="X226" s="459"/>
      <c r="Y226" s="459"/>
      <c r="Z226" s="459"/>
      <c r="AA226" s="459"/>
      <c r="AB226" s="459"/>
      <c r="AC226" s="459"/>
      <c r="AD226" s="459"/>
      <c r="AE226" s="459"/>
      <c r="AF226" s="459"/>
      <c r="AG226" s="459"/>
      <c r="AH226" s="459"/>
      <c r="AI226" s="459"/>
      <c r="AJ226" s="459"/>
      <c r="AK226" s="459"/>
      <c r="AL226" s="459"/>
      <c r="AM226" s="459"/>
      <c r="AN226" s="459"/>
      <c r="AO226" s="459"/>
      <c r="AP226" s="459"/>
      <c r="AQ226" s="459"/>
      <c r="AR226" s="459"/>
      <c r="AS226" s="459"/>
      <c r="AT226" s="459"/>
      <c r="AU226" s="459"/>
      <c r="AV226" s="459"/>
      <c r="AW226" s="459"/>
      <c r="AX226" s="459"/>
      <c r="AY226" s="459"/>
      <c r="AZ226" s="459"/>
      <c r="BA226" s="459"/>
      <c r="BB226" s="459"/>
      <c r="BC226" s="459"/>
      <c r="BD226" s="459"/>
      <c r="BE226" s="459"/>
      <c r="BF226" s="459"/>
      <c r="BG226" s="459"/>
      <c r="BH226" s="459"/>
      <c r="BI226" s="459"/>
      <c r="BJ226" s="459"/>
    </row>
    <row r="227" ht="15.75" customHeight="1" spans="1:62">
      <c r="A227" s="459"/>
      <c r="B227" s="459"/>
      <c r="C227" s="459"/>
      <c r="D227" s="459"/>
      <c r="E227" s="459"/>
      <c r="F227" s="459"/>
      <c r="G227" s="459"/>
      <c r="H227" s="459"/>
      <c r="I227" s="459"/>
      <c r="J227" s="459"/>
      <c r="K227" s="459"/>
      <c r="L227" s="459"/>
      <c r="M227" s="459"/>
      <c r="N227" s="459"/>
      <c r="O227" s="459"/>
      <c r="P227" s="459"/>
      <c r="Q227" s="459"/>
      <c r="R227" s="459"/>
      <c r="S227" s="459"/>
      <c r="T227" s="459"/>
      <c r="U227" s="459"/>
      <c r="V227" s="459"/>
      <c r="W227" s="459"/>
      <c r="X227" s="459"/>
      <c r="Y227" s="459"/>
      <c r="Z227" s="459"/>
      <c r="AA227" s="459"/>
      <c r="AB227" s="459"/>
      <c r="AC227" s="459"/>
      <c r="AD227" s="459"/>
      <c r="AE227" s="459"/>
      <c r="AF227" s="459"/>
      <c r="AG227" s="459"/>
      <c r="AH227" s="459"/>
      <c r="AI227" s="459"/>
      <c r="AJ227" s="459"/>
      <c r="AK227" s="459"/>
      <c r="AL227" s="459"/>
      <c r="AM227" s="459"/>
      <c r="AN227" s="459"/>
      <c r="AO227" s="459"/>
      <c r="AP227" s="459"/>
      <c r="AQ227" s="459"/>
      <c r="AR227" s="459"/>
      <c r="AS227" s="459"/>
      <c r="AT227" s="459"/>
      <c r="AU227" s="459"/>
      <c r="AV227" s="459"/>
      <c r="AW227" s="459"/>
      <c r="AX227" s="459"/>
      <c r="AY227" s="459"/>
      <c r="AZ227" s="459"/>
      <c r="BA227" s="459"/>
      <c r="BB227" s="459"/>
      <c r="BC227" s="459"/>
      <c r="BD227" s="459"/>
      <c r="BE227" s="459"/>
      <c r="BF227" s="459"/>
      <c r="BG227" s="459"/>
      <c r="BH227" s="459"/>
      <c r="BI227" s="459"/>
      <c r="BJ227" s="459"/>
    </row>
    <row r="228" ht="15.75" customHeight="1" spans="1:62">
      <c r="A228" s="459"/>
      <c r="B228" s="459"/>
      <c r="C228" s="459"/>
      <c r="D228" s="459"/>
      <c r="E228" s="459"/>
      <c r="F228" s="459"/>
      <c r="G228" s="459"/>
      <c r="H228" s="459"/>
      <c r="I228" s="459"/>
      <c r="J228" s="459"/>
      <c r="K228" s="459"/>
      <c r="L228" s="459"/>
      <c r="M228" s="459"/>
      <c r="N228" s="459"/>
      <c r="O228" s="459"/>
      <c r="P228" s="459"/>
      <c r="Q228" s="459"/>
      <c r="R228" s="459"/>
      <c r="S228" s="459"/>
      <c r="T228" s="459"/>
      <c r="U228" s="459"/>
      <c r="V228" s="459"/>
      <c r="W228" s="459"/>
      <c r="X228" s="459"/>
      <c r="Y228" s="459"/>
      <c r="Z228" s="459"/>
      <c r="AA228" s="459"/>
      <c r="AB228" s="459"/>
      <c r="AC228" s="459"/>
      <c r="AD228" s="459"/>
      <c r="AE228" s="459"/>
      <c r="AF228" s="459"/>
      <c r="AG228" s="459"/>
      <c r="AH228" s="459"/>
      <c r="AI228" s="459"/>
      <c r="AJ228" s="459"/>
      <c r="AK228" s="459"/>
      <c r="AL228" s="459"/>
      <c r="AM228" s="459"/>
      <c r="AN228" s="459"/>
      <c r="AO228" s="459"/>
      <c r="AP228" s="459"/>
      <c r="AQ228" s="459"/>
      <c r="AR228" s="459"/>
      <c r="AS228" s="459"/>
      <c r="AT228" s="459"/>
      <c r="AU228" s="459"/>
      <c r="AV228" s="459"/>
      <c r="AW228" s="459"/>
      <c r="AX228" s="459"/>
      <c r="AY228" s="459"/>
      <c r="AZ228" s="459"/>
      <c r="BA228" s="459"/>
      <c r="BB228" s="459"/>
      <c r="BC228" s="459"/>
      <c r="BD228" s="459"/>
      <c r="BE228" s="459"/>
      <c r="BF228" s="459"/>
      <c r="BG228" s="459"/>
      <c r="BH228" s="459"/>
      <c r="BI228" s="459"/>
      <c r="BJ228" s="459"/>
    </row>
    <row r="229" ht="15.75" customHeight="1" spans="1:62">
      <c r="A229" s="459"/>
      <c r="B229" s="459"/>
      <c r="C229" s="459"/>
      <c r="D229" s="459"/>
      <c r="E229" s="459"/>
      <c r="F229" s="459"/>
      <c r="G229" s="459"/>
      <c r="H229" s="459"/>
      <c r="I229" s="459"/>
      <c r="J229" s="459"/>
      <c r="K229" s="459"/>
      <c r="L229" s="459"/>
      <c r="M229" s="459"/>
      <c r="N229" s="459"/>
      <c r="O229" s="459"/>
      <c r="P229" s="459"/>
      <c r="Q229" s="459"/>
      <c r="R229" s="459"/>
      <c r="S229" s="459"/>
      <c r="T229" s="459"/>
      <c r="U229" s="459"/>
      <c r="V229" s="459"/>
      <c r="W229" s="459"/>
      <c r="X229" s="459"/>
      <c r="Y229" s="459"/>
      <c r="Z229" s="459"/>
      <c r="AA229" s="459"/>
      <c r="AB229" s="459"/>
      <c r="AC229" s="459"/>
      <c r="AD229" s="459"/>
      <c r="AE229" s="459"/>
      <c r="AF229" s="459"/>
      <c r="AG229" s="459"/>
      <c r="AH229" s="459"/>
      <c r="AI229" s="459"/>
      <c r="AJ229" s="459"/>
      <c r="AK229" s="459"/>
      <c r="AL229" s="459"/>
      <c r="AM229" s="459"/>
      <c r="AN229" s="459"/>
      <c r="AO229" s="459"/>
      <c r="AP229" s="459"/>
      <c r="AQ229" s="459"/>
      <c r="AR229" s="459"/>
      <c r="AS229" s="459"/>
      <c r="AT229" s="459"/>
      <c r="AU229" s="459"/>
      <c r="AV229" s="459"/>
      <c r="AW229" s="459"/>
      <c r="AX229" s="459"/>
      <c r="AY229" s="459"/>
      <c r="AZ229" s="459"/>
      <c r="BA229" s="459"/>
      <c r="BB229" s="459"/>
      <c r="BC229" s="459"/>
      <c r="BD229" s="459"/>
      <c r="BE229" s="459"/>
      <c r="BF229" s="459"/>
      <c r="BG229" s="459"/>
      <c r="BH229" s="459"/>
      <c r="BI229" s="459"/>
      <c r="BJ229" s="459"/>
    </row>
    <row r="230" ht="15.75" customHeight="1" spans="1:62">
      <c r="A230" s="459"/>
      <c r="B230" s="459"/>
      <c r="C230" s="459"/>
      <c r="D230" s="459"/>
      <c r="E230" s="459"/>
      <c r="F230" s="459"/>
      <c r="G230" s="459"/>
      <c r="H230" s="459"/>
      <c r="I230" s="459"/>
      <c r="J230" s="459"/>
      <c r="K230" s="459"/>
      <c r="L230" s="459"/>
      <c r="M230" s="459"/>
      <c r="N230" s="459"/>
      <c r="O230" s="459"/>
      <c r="P230" s="459"/>
      <c r="Q230" s="459"/>
      <c r="R230" s="459"/>
      <c r="S230" s="459"/>
      <c r="T230" s="459"/>
      <c r="U230" s="459"/>
      <c r="V230" s="459"/>
      <c r="W230" s="459"/>
      <c r="X230" s="459"/>
      <c r="Y230" s="459"/>
      <c r="Z230" s="459"/>
      <c r="AA230" s="459"/>
      <c r="AB230" s="459"/>
      <c r="AC230" s="459"/>
      <c r="AD230" s="459"/>
      <c r="AE230" s="459"/>
      <c r="AF230" s="459"/>
      <c r="AG230" s="459"/>
      <c r="AH230" s="459"/>
      <c r="AI230" s="459"/>
      <c r="AJ230" s="459"/>
      <c r="AK230" s="459"/>
      <c r="AL230" s="459"/>
      <c r="AM230" s="459"/>
      <c r="AN230" s="459"/>
      <c r="AO230" s="459"/>
      <c r="AP230" s="459"/>
      <c r="AQ230" s="459"/>
      <c r="AR230" s="459"/>
      <c r="AS230" s="459"/>
      <c r="AT230" s="459"/>
      <c r="AU230" s="459"/>
      <c r="AV230" s="459"/>
      <c r="AW230" s="459"/>
      <c r="AX230" s="459"/>
      <c r="AY230" s="459"/>
      <c r="AZ230" s="459"/>
      <c r="BA230" s="459"/>
      <c r="BB230" s="459"/>
      <c r="BC230" s="459"/>
      <c r="BD230" s="459"/>
      <c r="BE230" s="459"/>
      <c r="BF230" s="459"/>
      <c r="BG230" s="459"/>
      <c r="BH230" s="459"/>
      <c r="BI230" s="459"/>
      <c r="BJ230" s="459"/>
    </row>
    <row r="231" ht="15.75" customHeight="1" spans="1:62">
      <c r="A231" s="459"/>
      <c r="B231" s="459"/>
      <c r="C231" s="459"/>
      <c r="D231" s="459"/>
      <c r="E231" s="459"/>
      <c r="F231" s="459"/>
      <c r="G231" s="459"/>
      <c r="H231" s="459"/>
      <c r="I231" s="459"/>
      <c r="J231" s="459"/>
      <c r="K231" s="459"/>
      <c r="L231" s="459"/>
      <c r="M231" s="459"/>
      <c r="N231" s="459"/>
      <c r="O231" s="459"/>
      <c r="P231" s="459"/>
      <c r="Q231" s="459"/>
      <c r="R231" s="459"/>
      <c r="S231" s="459"/>
      <c r="T231" s="459"/>
      <c r="U231" s="459"/>
      <c r="V231" s="459"/>
      <c r="W231" s="459"/>
      <c r="X231" s="459"/>
      <c r="Y231" s="459"/>
      <c r="Z231" s="459"/>
      <c r="AA231" s="459"/>
      <c r="AB231" s="459"/>
      <c r="AC231" s="459"/>
      <c r="AD231" s="459"/>
      <c r="AE231" s="459"/>
      <c r="AF231" s="459"/>
      <c r="AG231" s="459"/>
      <c r="AH231" s="459"/>
      <c r="AI231" s="459"/>
      <c r="AJ231" s="459"/>
      <c r="AK231" s="459"/>
      <c r="AL231" s="459"/>
      <c r="AM231" s="459"/>
      <c r="AN231" s="459"/>
      <c r="AO231" s="459"/>
      <c r="AP231" s="459"/>
      <c r="AQ231" s="459"/>
      <c r="AR231" s="459"/>
      <c r="AS231" s="459"/>
      <c r="AT231" s="459"/>
      <c r="AU231" s="459"/>
      <c r="AV231" s="459"/>
      <c r="AW231" s="459"/>
      <c r="AX231" s="459"/>
      <c r="AY231" s="459"/>
      <c r="AZ231" s="459"/>
      <c r="BA231" s="459"/>
      <c r="BB231" s="459"/>
      <c r="BC231" s="459"/>
      <c r="BD231" s="459"/>
      <c r="BE231" s="459"/>
      <c r="BF231" s="459"/>
      <c r="BG231" s="459"/>
      <c r="BH231" s="459"/>
      <c r="BI231" s="459"/>
      <c r="BJ231" s="459"/>
    </row>
    <row r="232" ht="15.75" customHeight="1" spans="1:62">
      <c r="A232" s="459"/>
      <c r="B232" s="459"/>
      <c r="C232" s="459"/>
      <c r="D232" s="459"/>
      <c r="E232" s="459"/>
      <c r="F232" s="459"/>
      <c r="G232" s="459"/>
      <c r="H232" s="459"/>
      <c r="I232" s="459"/>
      <c r="J232" s="459"/>
      <c r="K232" s="459"/>
      <c r="L232" s="459"/>
      <c r="M232" s="459"/>
      <c r="N232" s="459"/>
      <c r="O232" s="459"/>
      <c r="P232" s="459"/>
      <c r="Q232" s="459"/>
      <c r="R232" s="459"/>
      <c r="S232" s="459"/>
      <c r="T232" s="459"/>
      <c r="U232" s="459"/>
      <c r="V232" s="459"/>
      <c r="W232" s="459"/>
      <c r="X232" s="459"/>
      <c r="Y232" s="459"/>
      <c r="Z232" s="459"/>
      <c r="AA232" s="459"/>
      <c r="AB232" s="459"/>
      <c r="AC232" s="459"/>
      <c r="AD232" s="459"/>
      <c r="AE232" s="459"/>
      <c r="AF232" s="459"/>
      <c r="AG232" s="459"/>
      <c r="AH232" s="459"/>
      <c r="AI232" s="459"/>
      <c r="AJ232" s="459"/>
      <c r="AK232" s="459"/>
      <c r="AL232" s="459"/>
      <c r="AM232" s="459"/>
      <c r="AN232" s="459"/>
      <c r="AO232" s="459"/>
      <c r="AP232" s="459"/>
      <c r="AQ232" s="459"/>
      <c r="AR232" s="459"/>
      <c r="AS232" s="459"/>
      <c r="AT232" s="459"/>
      <c r="AU232" s="459"/>
      <c r="AV232" s="459"/>
      <c r="AW232" s="459"/>
      <c r="AX232" s="459"/>
      <c r="AY232" s="459"/>
      <c r="AZ232" s="459"/>
      <c r="BA232" s="459"/>
      <c r="BB232" s="459"/>
      <c r="BC232" s="459"/>
      <c r="BD232" s="459"/>
      <c r="BE232" s="459"/>
      <c r="BF232" s="459"/>
      <c r="BG232" s="459"/>
      <c r="BH232" s="459"/>
      <c r="BI232" s="459"/>
      <c r="BJ232" s="459"/>
    </row>
    <row r="233" ht="15.75" customHeight="1" spans="1:62">
      <c r="A233" s="459"/>
      <c r="B233" s="459"/>
      <c r="C233" s="459"/>
      <c r="D233" s="459"/>
      <c r="E233" s="459"/>
      <c r="F233" s="459"/>
      <c r="G233" s="459"/>
      <c r="H233" s="459"/>
      <c r="I233" s="459"/>
      <c r="J233" s="459"/>
      <c r="K233" s="459"/>
      <c r="L233" s="459"/>
      <c r="M233" s="459"/>
      <c r="N233" s="459"/>
      <c r="O233" s="459"/>
      <c r="P233" s="459"/>
      <c r="Q233" s="459"/>
      <c r="R233" s="459"/>
      <c r="S233" s="459"/>
      <c r="T233" s="459"/>
      <c r="U233" s="459"/>
      <c r="V233" s="459"/>
      <c r="W233" s="459"/>
      <c r="X233" s="459"/>
      <c r="Y233" s="459"/>
      <c r="Z233" s="459"/>
      <c r="AA233" s="459"/>
      <c r="AB233" s="459"/>
      <c r="AC233" s="459"/>
      <c r="AD233" s="459"/>
      <c r="AE233" s="459"/>
      <c r="AF233" s="459"/>
      <c r="AG233" s="459"/>
      <c r="AH233" s="459"/>
      <c r="AI233" s="459"/>
      <c r="AJ233" s="459"/>
      <c r="AK233" s="459"/>
      <c r="AL233" s="459"/>
      <c r="AM233" s="459"/>
      <c r="AN233" s="459"/>
      <c r="AO233" s="459"/>
      <c r="AP233" s="459"/>
      <c r="AQ233" s="459"/>
      <c r="AR233" s="459"/>
      <c r="AS233" s="459"/>
      <c r="AT233" s="459"/>
      <c r="AU233" s="459"/>
      <c r="AV233" s="459"/>
      <c r="AW233" s="459"/>
      <c r="AX233" s="459"/>
      <c r="AY233" s="459"/>
      <c r="AZ233" s="459"/>
      <c r="BA233" s="459"/>
      <c r="BB233" s="459"/>
      <c r="BC233" s="459"/>
      <c r="BD233" s="459"/>
      <c r="BE233" s="459"/>
      <c r="BF233" s="459"/>
      <c r="BG233" s="459"/>
      <c r="BH233" s="459"/>
      <c r="BI233" s="459"/>
      <c r="BJ233" s="459"/>
    </row>
    <row r="234" ht="15.75" customHeight="1" spans="1:62">
      <c r="A234" s="459"/>
      <c r="B234" s="459"/>
      <c r="C234" s="459"/>
      <c r="D234" s="459"/>
      <c r="E234" s="459"/>
      <c r="F234" s="459"/>
      <c r="G234" s="459"/>
      <c r="H234" s="459"/>
      <c r="I234" s="459"/>
      <c r="J234" s="459"/>
      <c r="K234" s="459"/>
      <c r="L234" s="459"/>
      <c r="M234" s="459"/>
      <c r="N234" s="459"/>
      <c r="O234" s="459"/>
      <c r="P234" s="459"/>
      <c r="Q234" s="459"/>
      <c r="R234" s="459"/>
      <c r="S234" s="459"/>
      <c r="T234" s="459"/>
      <c r="U234" s="459"/>
      <c r="V234" s="459"/>
      <c r="W234" s="459"/>
      <c r="X234" s="459"/>
      <c r="Y234" s="459"/>
      <c r="Z234" s="459"/>
      <c r="AA234" s="459"/>
      <c r="AB234" s="459"/>
      <c r="AC234" s="459"/>
      <c r="AD234" s="459"/>
      <c r="AE234" s="459"/>
      <c r="AF234" s="459"/>
      <c r="AG234" s="459"/>
      <c r="AH234" s="459"/>
      <c r="AI234" s="459"/>
      <c r="AJ234" s="459"/>
      <c r="AK234" s="459"/>
      <c r="AL234" s="459"/>
      <c r="AM234" s="459"/>
      <c r="AN234" s="459"/>
      <c r="AO234" s="459"/>
      <c r="AP234" s="459"/>
      <c r="AQ234" s="459"/>
      <c r="AR234" s="459"/>
      <c r="AS234" s="459"/>
      <c r="AT234" s="459"/>
      <c r="AU234" s="459"/>
      <c r="AV234" s="459"/>
      <c r="AW234" s="459"/>
      <c r="AX234" s="459"/>
      <c r="AY234" s="459"/>
      <c r="AZ234" s="459"/>
      <c r="BA234" s="459"/>
      <c r="BB234" s="459"/>
      <c r="BC234" s="459"/>
      <c r="BD234" s="459"/>
      <c r="BE234" s="459"/>
      <c r="BF234" s="459"/>
      <c r="BG234" s="459"/>
      <c r="BH234" s="459"/>
      <c r="BI234" s="459"/>
      <c r="BJ234" s="459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3">
    <mergeCell ref="A2:F2"/>
    <mergeCell ref="N2:S2"/>
    <mergeCell ref="AA2:AF2"/>
    <mergeCell ref="AN2:AS2"/>
    <mergeCell ref="BH2:BI2"/>
    <mergeCell ref="BH3:BI3"/>
    <mergeCell ref="B4:F4"/>
    <mergeCell ref="J4:L4"/>
    <mergeCell ref="O4:S4"/>
    <mergeCell ref="W4:Y4"/>
    <mergeCell ref="AB4:AF4"/>
    <mergeCell ref="AJ4:AL4"/>
    <mergeCell ref="AO4:AS4"/>
    <mergeCell ref="AW4:AY4"/>
    <mergeCell ref="B6:D6"/>
    <mergeCell ref="E6:F6"/>
    <mergeCell ref="H6:L6"/>
    <mergeCell ref="O6:Q6"/>
    <mergeCell ref="R6:S6"/>
    <mergeCell ref="U6:Y6"/>
    <mergeCell ref="AB6:AD6"/>
    <mergeCell ref="AE6:AF6"/>
    <mergeCell ref="AH6:AL6"/>
    <mergeCell ref="AO6:AQ6"/>
    <mergeCell ref="AR6:AS6"/>
    <mergeCell ref="AU6:AY6"/>
    <mergeCell ref="BG6:BH6"/>
    <mergeCell ref="B7:D7"/>
    <mergeCell ref="E7:F7"/>
    <mergeCell ref="H7:L7"/>
    <mergeCell ref="O7:Q7"/>
    <mergeCell ref="R7:S7"/>
    <mergeCell ref="U7:Y7"/>
    <mergeCell ref="AB7:AD7"/>
    <mergeCell ref="AE7:AF7"/>
    <mergeCell ref="AH7:AL7"/>
    <mergeCell ref="AO7:AQ7"/>
    <mergeCell ref="AR7:AS7"/>
    <mergeCell ref="AU7:AY7"/>
    <mergeCell ref="B8:D8"/>
    <mergeCell ref="E8:F8"/>
    <mergeCell ref="H8:L8"/>
    <mergeCell ref="O8:Q8"/>
    <mergeCell ref="R8:S8"/>
    <mergeCell ref="U8:Y8"/>
    <mergeCell ref="AB8:AD8"/>
    <mergeCell ref="AE8:AF8"/>
    <mergeCell ref="AH8:AL8"/>
    <mergeCell ref="AO8:AQ8"/>
    <mergeCell ref="AR8:AS8"/>
    <mergeCell ref="AU8:AY8"/>
    <mergeCell ref="B9:D9"/>
    <mergeCell ref="E9:F9"/>
    <mergeCell ref="H9:L9"/>
    <mergeCell ref="O9:Q9"/>
    <mergeCell ref="R9:S9"/>
    <mergeCell ref="U9:Y9"/>
    <mergeCell ref="AB9:AD9"/>
    <mergeCell ref="AE9:AF9"/>
    <mergeCell ref="AH9:AL9"/>
    <mergeCell ref="AO9:AQ9"/>
    <mergeCell ref="AR9:AS9"/>
    <mergeCell ref="AU9:AY9"/>
    <mergeCell ref="G11:L11"/>
    <mergeCell ref="T11:Y11"/>
    <mergeCell ref="AG11:AL11"/>
    <mergeCell ref="AT11:AY11"/>
    <mergeCell ref="G12:L12"/>
    <mergeCell ref="T12:Y12"/>
    <mergeCell ref="AG12:AL12"/>
    <mergeCell ref="AT12:AY12"/>
    <mergeCell ref="G13:L13"/>
    <mergeCell ref="T13:Y13"/>
    <mergeCell ref="AG13:AL13"/>
    <mergeCell ref="AT13:AY13"/>
    <mergeCell ref="I15:L15"/>
    <mergeCell ref="V15:Y15"/>
    <mergeCell ref="AI15:AL15"/>
    <mergeCell ref="AV15:AY15"/>
    <mergeCell ref="E16:H16"/>
    <mergeCell ref="I16:L16"/>
    <mergeCell ref="R16:U16"/>
    <mergeCell ref="V16:Y16"/>
    <mergeCell ref="AE16:AH16"/>
    <mergeCell ref="AI16:AL16"/>
    <mergeCell ref="AR16:AU16"/>
    <mergeCell ref="AV16:AY16"/>
    <mergeCell ref="G17:L17"/>
    <mergeCell ref="T17:Y17"/>
    <mergeCell ref="AG17:AL17"/>
    <mergeCell ref="AT17:AY17"/>
    <mergeCell ref="G19:L19"/>
    <mergeCell ref="T19:Y19"/>
    <mergeCell ref="AG19:AL19"/>
    <mergeCell ref="AT19:AY19"/>
    <mergeCell ref="G20:L20"/>
    <mergeCell ref="T20:Y20"/>
    <mergeCell ref="AG20:AL20"/>
    <mergeCell ref="AT20:AY20"/>
    <mergeCell ref="G21:L21"/>
    <mergeCell ref="T21:Y21"/>
    <mergeCell ref="AG21:AL21"/>
    <mergeCell ref="AT21:AY21"/>
    <mergeCell ref="G22:L22"/>
    <mergeCell ref="T22:Y22"/>
    <mergeCell ref="AG22:AL22"/>
    <mergeCell ref="AT22:AY22"/>
    <mergeCell ref="G23:L23"/>
    <mergeCell ref="T23:Y23"/>
    <mergeCell ref="AG23:AL23"/>
    <mergeCell ref="AT23:AY23"/>
    <mergeCell ref="G25:L25"/>
    <mergeCell ref="T25:Y25"/>
    <mergeCell ref="AG25:AL25"/>
    <mergeCell ref="AT25:AY25"/>
    <mergeCell ref="G26:L26"/>
    <mergeCell ref="T26:Y26"/>
    <mergeCell ref="AG26:AL26"/>
    <mergeCell ref="AT26:AY26"/>
    <mergeCell ref="G27:L27"/>
    <mergeCell ref="T27:Y27"/>
    <mergeCell ref="AG27:AL27"/>
    <mergeCell ref="AT27:AY27"/>
    <mergeCell ref="E30:L30"/>
    <mergeCell ref="D31:I31"/>
    <mergeCell ref="Q31:V31"/>
    <mergeCell ref="AD31:AI31"/>
    <mergeCell ref="AQ31:AV31"/>
    <mergeCell ref="D34:F34"/>
    <mergeCell ref="Q34:S34"/>
    <mergeCell ref="AD34:AF34"/>
    <mergeCell ref="AQ34:AS34"/>
    <mergeCell ref="A37:B37"/>
  </mergeCells>
  <hyperlinks>
    <hyperlink ref="BH18" r:id="rId1" display="iaa_cgk_ops@airasia.com"/>
  </hyperlinks>
  <printOptions horizontalCentered="1"/>
  <pageMargins left="0" right="0.157638888888889" top="0.315277777777778" bottom="0" header="0" footer="0"/>
  <pageSetup paperSize="9" scale="6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U1000"/>
  <sheetViews>
    <sheetView workbookViewId="0">
      <selection activeCell="A1" sqref="A1"/>
    </sheetView>
  </sheetViews>
  <sheetFormatPr defaultColWidth="12.6271186440678" defaultRowHeight="15" customHeight="1"/>
  <cols>
    <col min="1" max="1" width="1.88135593220339" customWidth="1"/>
    <col min="2" max="2" width="10.3813559322034" customWidth="1"/>
    <col min="3" max="3" width="11.1271186440678" customWidth="1"/>
    <col min="4" max="4" width="9" customWidth="1"/>
    <col min="5" max="5" width="10.5" customWidth="1"/>
    <col min="6" max="6" width="17.1271186440678" customWidth="1"/>
    <col min="7" max="7" width="8.25423728813559" customWidth="1"/>
    <col min="8" max="8" width="11.5" customWidth="1"/>
    <col min="9" max="9" width="7" customWidth="1"/>
    <col min="10" max="10" width="8.75423728813559" customWidth="1"/>
    <col min="11" max="12" width="9.5" customWidth="1"/>
    <col min="13" max="13" width="10.2542372881356" customWidth="1"/>
    <col min="14" max="14" width="8.38135593220339" customWidth="1"/>
    <col min="15" max="15" width="11.1271186440678" customWidth="1"/>
    <col min="16" max="16" width="13.1271186440678" customWidth="1"/>
    <col min="17" max="17" width="2.5" customWidth="1"/>
    <col min="18" max="18" width="11.1271186440678" customWidth="1"/>
    <col min="19" max="19" width="7.6271186440678" customWidth="1"/>
    <col min="20" max="20" width="2.1271186440678" customWidth="1"/>
    <col min="21" max="21" width="11.5" customWidth="1"/>
  </cols>
  <sheetData>
    <row r="1" ht="15.75" customHeight="1" spans="1:2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ht="67.5" customHeight="1" spans="1:21">
      <c r="A2" s="63"/>
      <c r="B2" s="64" t="s">
        <v>28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  <c r="T2" s="63" t="s">
        <v>29</v>
      </c>
      <c r="U2" s="63"/>
    </row>
    <row r="3" ht="22.5" customHeight="1" spans="1:21">
      <c r="A3" s="63"/>
      <c r="B3" s="67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8"/>
      <c r="T3" s="63"/>
      <c r="U3" s="63"/>
    </row>
    <row r="4" ht="18.75" customHeight="1" spans="1:21">
      <c r="A4" s="63"/>
      <c r="B4" s="511" t="s">
        <v>30</v>
      </c>
      <c r="C4" s="70" t="s">
        <v>116</v>
      </c>
      <c r="D4" s="71"/>
      <c r="E4" s="72"/>
      <c r="F4" s="349" t="s">
        <v>32</v>
      </c>
      <c r="G4" s="350" t="s">
        <v>33</v>
      </c>
      <c r="H4" s="351"/>
      <c r="I4" s="73" t="s">
        <v>34</v>
      </c>
      <c r="J4" s="350" t="s">
        <v>117</v>
      </c>
      <c r="K4" s="76"/>
      <c r="L4" s="76"/>
      <c r="M4" s="349" t="s">
        <v>36</v>
      </c>
      <c r="N4" s="350" t="str">
        <f>'526'!BH11</f>
        <v>WBGG</v>
      </c>
      <c r="O4" s="76"/>
      <c r="P4" s="352" t="s">
        <v>37</v>
      </c>
      <c r="Q4" s="353"/>
      <c r="R4" s="74">
        <f>'526'!BC19</f>
        <v>71076</v>
      </c>
      <c r="S4" s="68"/>
      <c r="T4" s="63"/>
      <c r="U4" s="63"/>
    </row>
    <row r="5" ht="6" customHeight="1" spans="1:21">
      <c r="A5" s="63"/>
      <c r="B5" s="512"/>
      <c r="C5" s="78"/>
      <c r="D5" s="78"/>
      <c r="E5" s="78"/>
      <c r="F5" s="76"/>
      <c r="G5" s="76"/>
      <c r="H5" s="76"/>
      <c r="I5" s="76"/>
      <c r="J5" s="76"/>
      <c r="K5" s="76"/>
      <c r="L5" s="76"/>
      <c r="M5" s="349"/>
      <c r="N5" s="76"/>
      <c r="O5" s="76"/>
      <c r="P5" s="77"/>
      <c r="Q5" s="76"/>
      <c r="R5" s="82"/>
      <c r="S5" s="68"/>
      <c r="T5" s="63"/>
      <c r="U5" s="63"/>
    </row>
    <row r="6" ht="18.75" customHeight="1" spans="1:21">
      <c r="A6" s="63"/>
      <c r="B6" s="511" t="s">
        <v>38</v>
      </c>
      <c r="C6" s="475">
        <f ca="1">'526'!BB2</f>
        <v>46283</v>
      </c>
      <c r="D6" s="71"/>
      <c r="E6" s="72"/>
      <c r="F6" s="349" t="s">
        <v>39</v>
      </c>
      <c r="G6" s="350" t="str">
        <f>J4</f>
        <v>WBKK</v>
      </c>
      <c r="H6" s="351"/>
      <c r="I6" s="73" t="s">
        <v>40</v>
      </c>
      <c r="J6" s="350" t="s">
        <v>33</v>
      </c>
      <c r="K6" s="76"/>
      <c r="L6" s="76"/>
      <c r="M6" s="349" t="s">
        <v>36</v>
      </c>
      <c r="N6" s="350" t="str">
        <f>'526'!BH12</f>
        <v>WIPP</v>
      </c>
      <c r="O6" s="76"/>
      <c r="P6" s="352" t="s">
        <v>37</v>
      </c>
      <c r="Q6" s="353"/>
      <c r="R6" s="74">
        <f>'526'!BC20</f>
        <v>71077</v>
      </c>
      <c r="S6" s="68"/>
      <c r="T6" s="63"/>
      <c r="U6" s="63"/>
    </row>
    <row r="7" ht="6" customHeight="1" spans="1:21">
      <c r="A7" s="63"/>
      <c r="B7" s="512"/>
      <c r="C7" s="360"/>
      <c r="D7" s="82"/>
      <c r="E7" s="82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  <c r="Q7" s="76"/>
      <c r="R7" s="82"/>
      <c r="S7" s="68"/>
      <c r="T7" s="63"/>
      <c r="U7" s="63"/>
    </row>
    <row r="8" ht="18.75" customHeight="1" spans="1:21">
      <c r="A8" s="63"/>
      <c r="B8" s="511" t="s">
        <v>41</v>
      </c>
      <c r="C8" s="83" t="str">
        <f>'526'!BB3</f>
        <v>PKAZL</v>
      </c>
      <c r="D8" s="362"/>
      <c r="E8" s="82"/>
      <c r="F8" s="85" t="s">
        <v>42</v>
      </c>
      <c r="G8" s="86" t="str">
        <f>J6</f>
        <v>WIII</v>
      </c>
      <c r="H8" s="87"/>
      <c r="I8" s="85" t="s">
        <v>43</v>
      </c>
      <c r="J8" s="86" t="s">
        <v>118</v>
      </c>
      <c r="K8" s="88"/>
      <c r="L8" s="88"/>
      <c r="M8" s="85" t="s">
        <v>36</v>
      </c>
      <c r="N8" s="86">
        <f>'526'!BH13</f>
        <v>0</v>
      </c>
      <c r="O8" s="88"/>
      <c r="P8" s="89" t="s">
        <v>37</v>
      </c>
      <c r="Q8" s="88"/>
      <c r="R8" s="86">
        <f>'526'!BC21</f>
        <v>0</v>
      </c>
      <c r="S8" s="68"/>
      <c r="T8" s="63"/>
      <c r="U8" s="63"/>
    </row>
    <row r="9" ht="5.25" customHeight="1" spans="1:21">
      <c r="A9" s="63"/>
      <c r="B9" s="514"/>
      <c r="C9" s="82"/>
      <c r="D9" s="82"/>
      <c r="E9" s="82"/>
      <c r="F9" s="91"/>
      <c r="G9" s="91"/>
      <c r="H9" s="88"/>
      <c r="I9" s="91"/>
      <c r="J9" s="88"/>
      <c r="K9" s="91"/>
      <c r="L9" s="91"/>
      <c r="M9" s="88"/>
      <c r="N9" s="88"/>
      <c r="O9" s="88"/>
      <c r="P9" s="89"/>
      <c r="Q9" s="88"/>
      <c r="R9" s="92"/>
      <c r="S9" s="68"/>
      <c r="T9" s="63"/>
      <c r="U9" s="63"/>
    </row>
    <row r="10" ht="15.75" customHeight="1" spans="1:21">
      <c r="A10" s="63"/>
      <c r="B10" s="67"/>
      <c r="C10" s="82"/>
      <c r="D10" s="82"/>
      <c r="E10" s="82"/>
      <c r="F10" s="85" t="s">
        <v>46</v>
      </c>
      <c r="G10" s="86" t="str">
        <f>J8</f>
        <v>WIOO</v>
      </c>
      <c r="H10" s="87"/>
      <c r="I10" s="85" t="s">
        <v>47</v>
      </c>
      <c r="J10" s="86" t="s">
        <v>33</v>
      </c>
      <c r="K10" s="88"/>
      <c r="L10" s="88"/>
      <c r="M10" s="85" t="s">
        <v>36</v>
      </c>
      <c r="N10" s="86">
        <f>'526'!BH14</f>
        <v>0</v>
      </c>
      <c r="O10" s="88"/>
      <c r="P10" s="89" t="s">
        <v>37</v>
      </c>
      <c r="Q10" s="88"/>
      <c r="R10" s="86">
        <f>'526'!BC22</f>
        <v>0</v>
      </c>
      <c r="S10" s="68"/>
      <c r="T10" s="63"/>
      <c r="U10" s="63"/>
    </row>
    <row r="11" ht="6" customHeight="1" spans="1:21">
      <c r="A11" s="63"/>
      <c r="B11" s="67"/>
      <c r="C11" s="63"/>
      <c r="D11" s="63"/>
      <c r="E11" s="63"/>
      <c r="F11" s="619"/>
      <c r="G11" s="619"/>
      <c r="H11" s="619"/>
      <c r="I11" s="619"/>
      <c r="J11" s="619"/>
      <c r="K11" s="619"/>
      <c r="L11" s="619"/>
      <c r="M11" s="619"/>
      <c r="N11" s="619"/>
      <c r="O11" s="619"/>
      <c r="P11" s="619"/>
      <c r="Q11" s="619"/>
      <c r="R11" s="619"/>
      <c r="S11" s="68"/>
      <c r="T11" s="63"/>
      <c r="U11" s="63"/>
    </row>
    <row r="12" ht="18.75" customHeight="1" spans="1:21">
      <c r="A12" s="63"/>
      <c r="B12" s="67"/>
      <c r="C12" s="82" t="s">
        <v>48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517"/>
      <c r="S12" s="68"/>
      <c r="T12" s="63"/>
      <c r="U12" s="63"/>
    </row>
    <row r="13" ht="72.75" customHeight="1" spans="1:21">
      <c r="A13" s="63"/>
      <c r="B13" s="67"/>
      <c r="C13" s="95" t="s">
        <v>33</v>
      </c>
      <c r="D13" s="96" t="s">
        <v>119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8"/>
      <c r="S13" s="99"/>
      <c r="T13" s="63"/>
      <c r="U13" s="63"/>
    </row>
    <row r="14" ht="78.75" customHeight="1" spans="1:21">
      <c r="A14" s="63"/>
      <c r="B14" s="67"/>
      <c r="C14" s="95" t="s">
        <v>117</v>
      </c>
      <c r="D14" s="96" t="s">
        <v>120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8"/>
      <c r="S14" s="100"/>
      <c r="T14" s="63"/>
      <c r="U14" s="63"/>
    </row>
    <row r="15" ht="39.75" customHeight="1" spans="1:21">
      <c r="A15" s="63"/>
      <c r="B15" s="67"/>
      <c r="C15" s="95" t="s">
        <v>92</v>
      </c>
      <c r="D15" s="96" t="s">
        <v>121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  <c r="S15" s="100"/>
      <c r="T15" s="63"/>
      <c r="U15" s="63"/>
    </row>
    <row r="16" ht="57.75" customHeight="1" spans="1:21">
      <c r="A16" s="63"/>
      <c r="B16" s="67"/>
      <c r="C16" s="95" t="s">
        <v>55</v>
      </c>
      <c r="D16" s="96" t="s">
        <v>122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8"/>
      <c r="S16" s="100"/>
      <c r="T16" s="63"/>
      <c r="U16" s="63"/>
    </row>
    <row r="17" ht="51" customHeight="1" spans="1:21">
      <c r="A17" s="63"/>
      <c r="B17" s="67"/>
      <c r="C17" s="95" t="s">
        <v>18</v>
      </c>
      <c r="D17" s="96" t="s">
        <v>123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8"/>
      <c r="S17" s="620"/>
      <c r="T17" s="63"/>
      <c r="U17" s="63"/>
    </row>
    <row r="18" ht="15.75" customHeight="1" spans="1:21">
      <c r="A18" s="63"/>
      <c r="B18" s="67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589"/>
      <c r="S18" s="68"/>
      <c r="T18" s="63"/>
      <c r="U18" s="63"/>
    </row>
    <row r="19" ht="15.75" customHeight="1" spans="1:21">
      <c r="A19" s="63"/>
      <c r="B19" s="67"/>
      <c r="C19" s="621"/>
      <c r="D19" s="622" t="s">
        <v>57</v>
      </c>
      <c r="E19" s="621" t="s">
        <v>58</v>
      </c>
      <c r="F19" s="623" t="s">
        <v>59</v>
      </c>
      <c r="G19" s="104"/>
      <c r="H19" s="104"/>
      <c r="I19" s="104"/>
      <c r="J19" s="105"/>
      <c r="K19" s="622" t="s">
        <v>57</v>
      </c>
      <c r="L19" s="622" t="s">
        <v>57</v>
      </c>
      <c r="M19" s="621" t="s">
        <v>58</v>
      </c>
      <c r="N19" s="623" t="s">
        <v>59</v>
      </c>
      <c r="O19" s="104"/>
      <c r="P19" s="104"/>
      <c r="Q19" s="104"/>
      <c r="R19" s="105"/>
      <c r="S19" s="106"/>
      <c r="T19" s="63"/>
      <c r="U19" s="63"/>
    </row>
    <row r="20" ht="15.75" customHeight="1" spans="1:21">
      <c r="A20" s="63"/>
      <c r="B20" s="67"/>
      <c r="C20" s="107"/>
      <c r="D20" s="624" t="s">
        <v>60</v>
      </c>
      <c r="E20" s="107"/>
      <c r="F20" s="109"/>
      <c r="G20" s="20"/>
      <c r="H20" s="20"/>
      <c r="I20" s="20"/>
      <c r="J20" s="110"/>
      <c r="K20" s="624" t="s">
        <v>60</v>
      </c>
      <c r="L20" s="624" t="s">
        <v>60</v>
      </c>
      <c r="M20" s="107"/>
      <c r="N20" s="109"/>
      <c r="O20" s="20"/>
      <c r="P20" s="20"/>
      <c r="Q20" s="20"/>
      <c r="R20" s="110"/>
      <c r="S20" s="106"/>
      <c r="T20" s="63"/>
      <c r="U20" s="63"/>
    </row>
    <row r="21" ht="39" customHeight="1" spans="1:21">
      <c r="A21" s="63"/>
      <c r="B21" s="67"/>
      <c r="C21" s="38" t="s">
        <v>32</v>
      </c>
      <c r="D21" s="95" t="str">
        <f>G4</f>
        <v>WIII</v>
      </c>
      <c r="E21" s="117">
        <f>'526'!BE4</f>
        <v>1.22222222222222</v>
      </c>
      <c r="F21" s="112" t="s">
        <v>124</v>
      </c>
      <c r="G21" s="97"/>
      <c r="H21" s="97"/>
      <c r="I21" s="97"/>
      <c r="J21" s="98"/>
      <c r="K21" s="113" t="s">
        <v>42</v>
      </c>
      <c r="L21" s="477" t="str">
        <f>G8</f>
        <v>WIII</v>
      </c>
      <c r="M21" s="118">
        <f>'526'!BE6</f>
        <v>0.34375</v>
      </c>
      <c r="N21" s="116"/>
      <c r="O21" s="97"/>
      <c r="P21" s="97"/>
      <c r="Q21" s="97"/>
      <c r="R21" s="98"/>
      <c r="S21" s="106"/>
      <c r="T21" s="63"/>
      <c r="U21" s="63"/>
    </row>
    <row r="22" ht="39" customHeight="1" spans="1:21">
      <c r="A22" s="63"/>
      <c r="B22" s="67"/>
      <c r="C22" s="38" t="s">
        <v>34</v>
      </c>
      <c r="D22" s="95" t="str">
        <f>J4</f>
        <v>WBKK</v>
      </c>
      <c r="E22" s="117">
        <f>'526'!BF4</f>
        <v>0.329861111111111</v>
      </c>
      <c r="F22" s="112" t="s">
        <v>125</v>
      </c>
      <c r="G22" s="97"/>
      <c r="H22" s="97"/>
      <c r="I22" s="97"/>
      <c r="J22" s="98"/>
      <c r="K22" s="113" t="s">
        <v>43</v>
      </c>
      <c r="L22" s="477" t="str">
        <f>J8</f>
        <v>WIOO</v>
      </c>
      <c r="M22" s="118">
        <f>'526'!BF6</f>
        <v>0.413194444444444</v>
      </c>
      <c r="N22" s="116"/>
      <c r="O22" s="97"/>
      <c r="P22" s="97"/>
      <c r="Q22" s="97"/>
      <c r="R22" s="98"/>
      <c r="S22" s="106"/>
      <c r="T22" s="63"/>
      <c r="U22" s="63"/>
    </row>
    <row r="23" ht="39" customHeight="1" spans="1:21">
      <c r="A23" s="63"/>
      <c r="B23" s="67"/>
      <c r="C23" s="38" t="s">
        <v>39</v>
      </c>
      <c r="D23" s="111" t="str">
        <f>G6</f>
        <v>WBKK</v>
      </c>
      <c r="E23" s="117">
        <f>'526'!BE5</f>
        <v>0.357638888888889</v>
      </c>
      <c r="F23" s="112" t="s">
        <v>125</v>
      </c>
      <c r="G23" s="97"/>
      <c r="H23" s="97"/>
      <c r="I23" s="97"/>
      <c r="J23" s="98"/>
      <c r="K23" s="113" t="s">
        <v>46</v>
      </c>
      <c r="L23" s="114" t="str">
        <f>G10</f>
        <v>WIOO</v>
      </c>
      <c r="M23" s="118">
        <f>'526'!BE7</f>
        <v>0.430555555555556</v>
      </c>
      <c r="N23" s="116"/>
      <c r="O23" s="97"/>
      <c r="P23" s="97"/>
      <c r="Q23" s="97"/>
      <c r="R23" s="98"/>
      <c r="S23" s="106"/>
      <c r="T23" s="63"/>
      <c r="U23" s="63"/>
    </row>
    <row r="24" ht="39" customHeight="1" spans="1:21">
      <c r="A24" s="63"/>
      <c r="B24" s="67"/>
      <c r="C24" s="38" t="s">
        <v>40</v>
      </c>
      <c r="D24" s="95" t="str">
        <f>J6</f>
        <v>WIII</v>
      </c>
      <c r="E24" s="117">
        <f>'526'!BF5</f>
        <v>0.46875</v>
      </c>
      <c r="F24" s="112" t="s">
        <v>124</v>
      </c>
      <c r="G24" s="97"/>
      <c r="H24" s="97"/>
      <c r="I24" s="97"/>
      <c r="J24" s="98"/>
      <c r="K24" s="113" t="s">
        <v>47</v>
      </c>
      <c r="L24" s="477" t="str">
        <f>J10</f>
        <v>WIII</v>
      </c>
      <c r="M24" s="118">
        <f>'526'!BF7</f>
        <v>0.493055555555556</v>
      </c>
      <c r="N24" s="116"/>
      <c r="O24" s="97"/>
      <c r="P24" s="97"/>
      <c r="Q24" s="97"/>
      <c r="R24" s="98"/>
      <c r="S24" s="106"/>
      <c r="T24" s="63"/>
      <c r="U24" s="63"/>
    </row>
    <row r="25" ht="18.75" customHeight="1" spans="1:21">
      <c r="A25" s="63"/>
      <c r="B25" s="67"/>
      <c r="C25" s="625"/>
      <c r="D25" s="625"/>
      <c r="E25" s="626"/>
      <c r="F25" s="627"/>
      <c r="G25" s="97"/>
      <c r="H25" s="97"/>
      <c r="I25" s="97"/>
      <c r="J25" s="98"/>
      <c r="K25" s="625"/>
      <c r="L25" s="625"/>
      <c r="M25" s="626"/>
      <c r="N25" s="628"/>
      <c r="O25" s="628"/>
      <c r="P25" s="628"/>
      <c r="Q25" s="628"/>
      <c r="R25" s="629"/>
      <c r="S25" s="68"/>
      <c r="T25" s="63"/>
      <c r="U25" s="63"/>
    </row>
    <row r="26" ht="15.75" customHeight="1" spans="1:21">
      <c r="A26" s="63"/>
      <c r="B26" s="67"/>
      <c r="C26" s="580"/>
      <c r="D26" s="580"/>
      <c r="E26" s="604"/>
      <c r="F26" s="580"/>
      <c r="G26" s="580"/>
      <c r="H26" s="580"/>
      <c r="I26" s="580"/>
      <c r="J26" s="580"/>
      <c r="K26" s="580"/>
      <c r="L26" s="580"/>
      <c r="M26" s="580"/>
      <c r="N26" s="580"/>
      <c r="O26" s="580"/>
      <c r="P26" s="580"/>
      <c r="Q26" s="580"/>
      <c r="R26" s="605"/>
      <c r="S26" s="106"/>
      <c r="T26" s="63"/>
      <c r="U26" s="63"/>
    </row>
    <row r="27" ht="15.75" customHeight="1" spans="1:21">
      <c r="A27" s="63"/>
      <c r="B27" s="67"/>
      <c r="C27" s="621"/>
      <c r="D27" s="630" t="s">
        <v>57</v>
      </c>
      <c r="E27" s="623" t="s">
        <v>63</v>
      </c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5"/>
      <c r="S27" s="106"/>
      <c r="T27" s="63"/>
      <c r="U27" s="63"/>
    </row>
    <row r="28" ht="15.75" customHeight="1" spans="1:21">
      <c r="A28" s="63"/>
      <c r="B28" s="67"/>
      <c r="C28" s="107"/>
      <c r="D28" s="631" t="s">
        <v>60</v>
      </c>
      <c r="E28" s="10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10"/>
      <c r="S28" s="106"/>
      <c r="T28" s="63"/>
      <c r="U28" s="63"/>
    </row>
    <row r="29" ht="3" customHeight="1" spans="1:21">
      <c r="A29" s="63"/>
      <c r="B29" s="67"/>
      <c r="C29" s="632"/>
      <c r="D29" s="632"/>
      <c r="E29" s="633"/>
      <c r="F29" s="634"/>
      <c r="G29" s="634"/>
      <c r="H29" s="634"/>
      <c r="I29" s="634"/>
      <c r="J29" s="634"/>
      <c r="K29" s="634"/>
      <c r="L29" s="634"/>
      <c r="M29" s="634"/>
      <c r="N29" s="634"/>
      <c r="O29" s="634"/>
      <c r="P29" s="634"/>
      <c r="Q29" s="634"/>
      <c r="R29" s="635"/>
      <c r="S29" s="127"/>
      <c r="T29" s="63"/>
      <c r="U29" s="63"/>
    </row>
    <row r="30" ht="277.5" customHeight="1" spans="1:21">
      <c r="A30" s="63"/>
      <c r="B30" s="67"/>
      <c r="C30" s="383"/>
      <c r="D30" s="129" t="s">
        <v>33</v>
      </c>
      <c r="E30" s="130" t="e">
        <f>#REF!</f>
        <v>#REF!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8"/>
      <c r="S30" s="127"/>
      <c r="T30" s="63"/>
      <c r="U30" s="63"/>
    </row>
    <row r="31" ht="154.5" customHeight="1" spans="1:21">
      <c r="A31" s="63"/>
      <c r="B31" s="67"/>
      <c r="C31" s="95"/>
      <c r="D31" s="131" t="s">
        <v>117</v>
      </c>
      <c r="E31" s="385" t="e">
        <f>#REF!</f>
        <v>#REF!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127"/>
      <c r="T31" s="63"/>
      <c r="U31" s="63"/>
    </row>
    <row r="32" ht="141.75" customHeight="1" spans="1:21">
      <c r="A32" s="63"/>
      <c r="B32" s="67"/>
      <c r="C32" s="383"/>
      <c r="D32" s="129" t="s">
        <v>92</v>
      </c>
      <c r="E32" s="130" t="e">
        <f>#REF!</f>
        <v>#REF!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8"/>
      <c r="S32" s="523"/>
      <c r="T32" s="63"/>
      <c r="U32" s="63"/>
    </row>
    <row r="33" ht="45.75" customHeight="1" spans="1:21">
      <c r="A33" s="63"/>
      <c r="B33" s="67"/>
      <c r="C33" s="383"/>
      <c r="D33" s="129" t="s">
        <v>126</v>
      </c>
      <c r="E33" s="130" t="e">
        <f>#REF!</f>
        <v>#REF!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8"/>
      <c r="S33" s="523"/>
      <c r="T33" s="63"/>
      <c r="U33" s="63"/>
    </row>
    <row r="34" ht="132" customHeight="1" spans="1:21">
      <c r="A34" s="63"/>
      <c r="B34" s="67"/>
      <c r="C34" s="383"/>
      <c r="D34" s="129" t="s">
        <v>55</v>
      </c>
      <c r="E34" s="130" t="e">
        <f>#REF!</f>
        <v>#REF!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8"/>
      <c r="S34" s="523"/>
      <c r="T34" s="63"/>
      <c r="U34" s="63"/>
    </row>
    <row r="35" ht="45" customHeight="1" spans="1:21">
      <c r="A35" s="63"/>
      <c r="B35" s="67"/>
      <c r="C35" s="383"/>
      <c r="D35" s="129" t="str">
        <f>C17</f>
        <v>WILL</v>
      </c>
      <c r="E35" s="130" t="e">
        <f>#REF!</f>
        <v>#REF!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8"/>
      <c r="S35" s="523"/>
      <c r="T35" s="63"/>
      <c r="U35" s="63"/>
    </row>
    <row r="36" ht="1.5" customHeight="1" spans="1:21">
      <c r="A36" s="63"/>
      <c r="B36" s="67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589"/>
      <c r="S36" s="68"/>
      <c r="T36" s="63"/>
      <c r="U36" s="63"/>
    </row>
    <row r="37" ht="15.75" customHeight="1" spans="1:21">
      <c r="A37" s="63"/>
      <c r="B37" s="67"/>
      <c r="C37" s="63"/>
      <c r="D37" s="63"/>
      <c r="E37" s="63"/>
      <c r="F37" s="63"/>
      <c r="G37" s="82"/>
      <c r="H37" s="58" t="s">
        <v>65</v>
      </c>
      <c r="I37" s="82"/>
      <c r="J37" s="82"/>
      <c r="K37" s="82"/>
      <c r="L37" s="82"/>
      <c r="M37" s="82"/>
      <c r="N37" s="82"/>
      <c r="O37" s="82"/>
      <c r="P37" s="58" t="s">
        <v>66</v>
      </c>
      <c r="Q37" s="82"/>
      <c r="R37" s="82"/>
      <c r="S37" s="68"/>
      <c r="T37" s="63"/>
      <c r="U37" s="63"/>
    </row>
    <row r="38" ht="15.75" customHeight="1" spans="1:21">
      <c r="A38" s="63"/>
      <c r="B38" s="67"/>
      <c r="C38" s="63"/>
      <c r="D38" s="63"/>
      <c r="E38" s="63"/>
      <c r="F38" s="63"/>
      <c r="G38" s="82"/>
      <c r="H38" s="58" t="s">
        <v>67</v>
      </c>
      <c r="I38" s="82"/>
      <c r="J38" s="82"/>
      <c r="K38" s="82"/>
      <c r="L38" s="82"/>
      <c r="M38" s="82"/>
      <c r="N38" s="82"/>
      <c r="O38" s="82"/>
      <c r="P38" s="58" t="s">
        <v>67</v>
      </c>
      <c r="Q38" s="82"/>
      <c r="R38" s="82"/>
      <c r="S38" s="68"/>
      <c r="T38" s="63"/>
      <c r="U38" s="63"/>
    </row>
    <row r="39" ht="19.5" customHeight="1" spans="1:21">
      <c r="A39" s="63"/>
      <c r="B39" s="67"/>
      <c r="C39" s="63"/>
      <c r="D39" s="63"/>
      <c r="E39" s="63"/>
      <c r="F39" s="63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68"/>
      <c r="T39" s="63"/>
      <c r="U39" s="63"/>
    </row>
    <row r="40" ht="15.75" customHeight="1" spans="1:21">
      <c r="A40" s="63"/>
      <c r="B40" s="67"/>
      <c r="C40" s="63"/>
      <c r="D40" s="63"/>
      <c r="E40" s="63"/>
      <c r="F40" s="63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68"/>
      <c r="T40" s="63"/>
      <c r="U40" s="63"/>
    </row>
    <row r="41" ht="15.75" customHeight="1" spans="1:21">
      <c r="A41" s="63"/>
      <c r="B41" s="67"/>
      <c r="C41" s="63"/>
      <c r="D41" s="63"/>
      <c r="E41" s="63"/>
      <c r="F41" s="63"/>
      <c r="G41" s="136" t="s">
        <v>68</v>
      </c>
      <c r="K41" s="82"/>
      <c r="L41" s="82"/>
      <c r="M41" s="82"/>
      <c r="N41" s="82"/>
      <c r="O41" s="136" t="str">
        <f>'526'!BC17</f>
        <v>CAPT. HUSIN ABDILLAH ALAYDRUS</v>
      </c>
      <c r="S41" s="68"/>
      <c r="T41" s="63"/>
      <c r="U41" s="63"/>
    </row>
    <row r="42" ht="15.75" customHeight="1" spans="1:21">
      <c r="A42" s="63"/>
      <c r="B42" s="67"/>
      <c r="C42" s="63"/>
      <c r="D42" s="63"/>
      <c r="E42" s="63"/>
      <c r="F42" s="63"/>
      <c r="G42" s="82"/>
      <c r="H42" s="82" t="s">
        <v>69</v>
      </c>
      <c r="I42" s="82"/>
      <c r="J42" s="82"/>
      <c r="K42" s="82"/>
      <c r="L42" s="82"/>
      <c r="M42" s="82"/>
      <c r="N42" s="82"/>
      <c r="O42" s="82"/>
      <c r="P42" s="82" t="s">
        <v>70</v>
      </c>
      <c r="Q42" s="82"/>
      <c r="R42" s="82"/>
      <c r="S42" s="68"/>
      <c r="T42" s="63"/>
      <c r="U42" s="63"/>
    </row>
    <row r="43" ht="4.5" customHeight="1" spans="1:21">
      <c r="A43" s="63"/>
      <c r="B43" s="137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9"/>
      <c r="T43" s="63"/>
      <c r="U43" s="63"/>
    </row>
    <row r="44" ht="15.75" customHeight="1" spans="1:2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</row>
    <row r="45" ht="15.75" customHeight="1" spans="1:2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</row>
    <row r="46" ht="15.75" customHeight="1" spans="1:2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</row>
    <row r="47" ht="15.75" customHeight="1" spans="1:2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</row>
    <row r="48" ht="15.75" customHeight="1" spans="1:2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</row>
    <row r="49" ht="15.75" customHeight="1" spans="1:2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</row>
    <row r="50" ht="15.75" customHeight="1" spans="1:2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</row>
    <row r="51" ht="15.75" customHeight="1" spans="1:2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</row>
    <row r="52" ht="15.75" customHeight="1" spans="1:2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</row>
    <row r="53" ht="15.75" customHeight="1" spans="1:2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</row>
    <row r="54" ht="15.75" customHeight="1" spans="1:2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</row>
    <row r="55" ht="15.75" customHeight="1" spans="1:2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</row>
    <row r="56" ht="15.75" customHeight="1" spans="1:2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</row>
    <row r="57" ht="15.75" customHeight="1" spans="1:2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</row>
    <row r="58" ht="15.75" customHeight="1" spans="1:2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</row>
    <row r="59" ht="15.75" customHeight="1" spans="1:2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</row>
    <row r="60" ht="15.75" customHeight="1" spans="1:2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</row>
    <row r="61" ht="15.75" customHeight="1" spans="1:2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</row>
    <row r="62" ht="15.75" customHeight="1" spans="1:2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</row>
    <row r="63" ht="15.75" customHeight="1" spans="1:2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</row>
    <row r="64" ht="15.75" customHeight="1" spans="1:2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</row>
    <row r="65" ht="15.75" customHeight="1" spans="1:2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</row>
    <row r="66" ht="15.75" customHeight="1" spans="1:2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</row>
    <row r="67" ht="15.75" customHeight="1" spans="1:2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</row>
    <row r="68" ht="15.75" customHeight="1" spans="1:2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</row>
    <row r="69" ht="15.75" customHeight="1" spans="1:2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</row>
    <row r="70" ht="15.75" customHeight="1" spans="1:2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</row>
    <row r="71" ht="15.75" customHeight="1" spans="1:2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</row>
    <row r="72" ht="15.75" customHeight="1" spans="1:2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</row>
    <row r="73" ht="15.75" customHeight="1" spans="1:2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</row>
    <row r="74" ht="15.75" customHeight="1" spans="1:2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</row>
    <row r="75" ht="15.75" customHeight="1" spans="1:2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</row>
    <row r="76" ht="15.75" customHeight="1" spans="1:2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</row>
    <row r="77" ht="15.75" customHeight="1" spans="1:2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</row>
    <row r="78" ht="15.75" customHeight="1" spans="1:2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</row>
    <row r="79" ht="15.75" customHeight="1" spans="1:2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</row>
    <row r="80" ht="15.75" customHeight="1" spans="1:2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</row>
    <row r="81" ht="15.75" customHeight="1" spans="1:2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</row>
    <row r="82" ht="15.75" customHeight="1" spans="1:2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</row>
    <row r="83" ht="15.75" customHeight="1" spans="1:2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</row>
    <row r="84" ht="15.75" customHeight="1" spans="1:2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</row>
    <row r="85" ht="15.75" customHeight="1" spans="1:2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</row>
    <row r="86" ht="15.75" customHeight="1" spans="1:2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</row>
    <row r="87" ht="15.75" customHeight="1" spans="1:2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</row>
    <row r="88" ht="15.75" customHeight="1" spans="1:2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</row>
    <row r="89" ht="15.75" customHeight="1" spans="1:2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</row>
    <row r="90" ht="15.75" customHeight="1" spans="1:2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</row>
    <row r="91" ht="15.75" customHeight="1" spans="1:2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</row>
    <row r="92" ht="15.75" customHeight="1" spans="1:2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</row>
    <row r="93" ht="15.75" customHeight="1" spans="1:2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</row>
    <row r="94" ht="15.75" customHeight="1" spans="1:2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</row>
    <row r="95" ht="15.75" customHeight="1" spans="1:2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</row>
    <row r="96" ht="15.75" customHeight="1" spans="1:2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</row>
    <row r="97" ht="15.75" customHeight="1" spans="1:2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</row>
    <row r="98" ht="15.75" customHeight="1" spans="1:2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</row>
    <row r="99" ht="15.75" customHeight="1" spans="1:2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</row>
    <row r="100" ht="15.75" customHeight="1" spans="1:2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</row>
    <row r="101" ht="15.75" customHeight="1" spans="1:2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</row>
    <row r="102" ht="15.75" customHeight="1" spans="1:2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</row>
    <row r="103" ht="15.75" customHeight="1" spans="1:2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</row>
    <row r="104" ht="15.75" customHeight="1" spans="1:2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</row>
    <row r="105" ht="15.75" customHeight="1" spans="1:2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</row>
    <row r="106" ht="15.75" customHeight="1" spans="1:2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</row>
    <row r="107" ht="15.75" customHeight="1" spans="1:2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</row>
    <row r="108" ht="15.75" customHeight="1" spans="1:2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</row>
    <row r="109" ht="15.75" customHeight="1" spans="1:2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</row>
    <row r="110" ht="15.75" customHeight="1" spans="1:2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</row>
    <row r="111" ht="15.75" customHeight="1" spans="1:2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</row>
    <row r="112" ht="15.75" customHeight="1" spans="1:2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</row>
    <row r="113" ht="15.75" customHeight="1" spans="1:2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</row>
    <row r="114" ht="15.75" customHeight="1" spans="1:2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</row>
    <row r="115" ht="15.75" customHeight="1" spans="1:2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</row>
    <row r="116" ht="15.75" customHeight="1" spans="1:2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</row>
    <row r="117" ht="15.75" customHeight="1" spans="1:2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</row>
    <row r="118" ht="15.75" customHeight="1" spans="1:2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</row>
    <row r="119" ht="15.75" customHeight="1" spans="1:2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</row>
    <row r="120" ht="15.75" customHeight="1" spans="1:2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</row>
    <row r="121" ht="15.75" customHeight="1" spans="1: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</row>
    <row r="122" ht="15.75" customHeight="1" spans="1:2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</row>
    <row r="123" ht="15.75" customHeight="1" spans="1:2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</row>
    <row r="124" ht="15.75" customHeight="1" spans="1:2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</row>
    <row r="125" ht="15.75" customHeight="1" spans="1:2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</row>
    <row r="126" ht="15.75" customHeight="1" spans="1:2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</row>
    <row r="127" ht="15.75" customHeight="1" spans="1:2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</row>
    <row r="128" ht="15.75" customHeight="1" spans="1:2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</row>
    <row r="129" ht="15.75" customHeight="1" spans="1:2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</row>
    <row r="130" ht="15.75" customHeight="1" spans="1:2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</row>
    <row r="131" ht="15.75" customHeight="1" spans="1:2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</row>
    <row r="132" ht="15.75" customHeight="1" spans="1:2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</row>
    <row r="133" ht="15.75" customHeight="1" spans="1:2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</row>
    <row r="134" ht="15.75" customHeight="1" spans="1:2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</row>
    <row r="135" ht="15.75" customHeight="1" spans="1:2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</row>
    <row r="136" ht="15.75" customHeight="1" spans="1:2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</row>
    <row r="137" ht="15.75" customHeight="1" spans="1:2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</row>
    <row r="138" ht="15.75" customHeight="1" spans="1:2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</row>
    <row r="139" ht="15.75" customHeight="1" spans="1:2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</row>
    <row r="140" ht="15.75" customHeight="1" spans="1:2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</row>
    <row r="141" ht="15.75" customHeight="1" spans="1:2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</row>
    <row r="142" ht="15.75" customHeight="1" spans="1:2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</row>
    <row r="143" ht="15.75" customHeight="1" spans="1:2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</row>
    <row r="144" ht="15.75" customHeight="1" spans="1:2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</row>
    <row r="145" ht="15.75" customHeight="1" spans="1:2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</row>
    <row r="146" ht="15.75" customHeight="1" spans="1:2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</row>
    <row r="147" ht="15.75" customHeight="1" spans="1:2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</row>
    <row r="148" ht="15.75" customHeight="1" spans="1:2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</row>
    <row r="149" ht="15.75" customHeight="1" spans="1:2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</row>
    <row r="150" ht="15.75" customHeight="1" spans="1:2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</row>
    <row r="151" ht="15.75" customHeight="1" spans="1:2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</row>
    <row r="152" ht="15.75" customHeight="1" spans="1:2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</row>
    <row r="153" ht="15.75" customHeight="1" spans="1:2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</row>
    <row r="154" ht="15.75" customHeight="1" spans="1:2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</row>
    <row r="155" ht="15.75" customHeight="1" spans="1:2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</row>
    <row r="156" ht="15.75" customHeight="1" spans="1:2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</row>
    <row r="157" ht="15.75" customHeight="1" spans="1:2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</row>
    <row r="158" ht="15.75" customHeight="1" spans="1:2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</row>
    <row r="159" ht="15.75" customHeight="1" spans="1:2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</row>
    <row r="160" ht="15.75" customHeight="1" spans="1:2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</row>
    <row r="161" ht="15.75" customHeight="1" spans="1:2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</row>
    <row r="162" ht="15.75" customHeight="1" spans="1:2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</row>
    <row r="163" ht="15.75" customHeight="1" spans="1:2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</row>
    <row r="164" ht="15.75" customHeight="1" spans="1:2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</row>
    <row r="165" ht="15.75" customHeight="1" spans="1:2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</row>
    <row r="166" ht="15.75" customHeight="1" spans="1:2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</row>
    <row r="167" ht="15.75" customHeight="1" spans="1:2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</row>
    <row r="168" ht="15.75" customHeight="1" spans="1:2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</row>
    <row r="169" ht="15.75" customHeight="1" spans="1:2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</row>
    <row r="170" ht="15.75" customHeight="1" spans="1:2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</row>
    <row r="171" ht="15.75" customHeight="1" spans="1:2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</row>
    <row r="172" ht="15.75" customHeight="1" spans="1:2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</row>
    <row r="173" ht="15.75" customHeight="1" spans="1:2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</row>
    <row r="174" ht="15.75" customHeight="1" spans="1:2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</row>
    <row r="175" ht="15.75" customHeight="1" spans="1:2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</row>
    <row r="176" ht="15.75" customHeight="1" spans="1:2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</row>
    <row r="177" ht="15.75" customHeight="1" spans="1:2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</row>
    <row r="178" ht="15.75" customHeight="1" spans="1:2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</row>
    <row r="179" ht="15.75" customHeight="1" spans="1:2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</row>
    <row r="180" ht="15.75" customHeight="1" spans="1:2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</row>
    <row r="181" ht="15.75" customHeight="1" spans="1:2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</row>
    <row r="182" ht="15.75" customHeight="1" spans="1:2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</row>
    <row r="183" ht="15.75" customHeight="1" spans="1:2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</row>
    <row r="184" ht="15.75" customHeight="1" spans="1:2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</row>
    <row r="185" ht="15.75" customHeight="1" spans="1:2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</row>
    <row r="186" ht="15.75" customHeight="1" spans="1:2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</row>
    <row r="187" ht="15.75" customHeight="1" spans="1:2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</row>
    <row r="188" ht="15.75" customHeight="1" spans="1:2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</row>
    <row r="189" ht="15.75" customHeight="1" spans="1:2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</row>
    <row r="190" ht="15.75" customHeight="1" spans="1:2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</row>
    <row r="191" ht="15.75" customHeight="1" spans="1:2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</row>
    <row r="192" ht="15.75" customHeight="1" spans="1:2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</row>
    <row r="193" ht="15.75" customHeight="1" spans="1:2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</row>
    <row r="194" ht="15.75" customHeight="1" spans="1:2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</row>
    <row r="195" ht="15.75" customHeight="1" spans="1:2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</row>
    <row r="196" ht="15.75" customHeight="1" spans="1:2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</row>
    <row r="197" ht="15.75" customHeight="1" spans="1:2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</row>
    <row r="198" ht="15.75" customHeight="1" spans="1:2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</row>
    <row r="199" ht="15.75" customHeight="1" spans="1:2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</row>
    <row r="200" ht="15.75" customHeight="1" spans="1:2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</row>
    <row r="201" ht="15.75" customHeight="1" spans="1:2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</row>
    <row r="202" ht="15.75" customHeight="1" spans="1:2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</row>
    <row r="203" ht="15.75" customHeight="1" spans="1:2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</row>
    <row r="204" ht="15.75" customHeight="1" spans="1:2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</row>
    <row r="205" ht="15.75" customHeight="1" spans="1:2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</row>
    <row r="206" ht="15.75" customHeight="1" spans="1:2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</row>
    <row r="207" ht="15.75" customHeight="1" spans="1:2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</row>
    <row r="208" ht="15.75" customHeight="1" spans="1:2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</row>
    <row r="209" ht="15.75" customHeight="1" spans="1:2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</row>
    <row r="210" ht="15.75" customHeight="1" spans="1:2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</row>
    <row r="211" ht="15.75" customHeight="1" spans="1:2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</row>
    <row r="212" ht="15.75" customHeight="1" spans="1:2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</row>
    <row r="213" ht="15.75" customHeight="1" spans="1:2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</row>
    <row r="214" ht="15.75" customHeight="1" spans="1:2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</row>
    <row r="215" ht="15.75" customHeight="1" spans="1:2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</row>
    <row r="216" ht="15.75" customHeight="1" spans="1:2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</row>
    <row r="217" ht="15.75" customHeight="1" spans="1:2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</row>
    <row r="218" ht="15.75" customHeight="1" spans="1:2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</row>
    <row r="219" ht="15.75" customHeight="1" spans="1:2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</row>
    <row r="220" ht="15.75" customHeight="1" spans="1:2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</row>
    <row r="221" ht="15.75" customHeight="1" spans="1: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</row>
    <row r="222" ht="15.75" customHeight="1" spans="1:2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</row>
    <row r="223" ht="15.75" customHeight="1" spans="1:2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</row>
    <row r="224" ht="15.75" customHeight="1" spans="1:2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</row>
    <row r="225" ht="15.75" customHeight="1" spans="1:2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</row>
    <row r="226" ht="15.75" customHeight="1" spans="1:2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</row>
    <row r="227" ht="15.75" customHeight="1" spans="1:2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</row>
    <row r="228" ht="15.75" customHeight="1" spans="1:2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</row>
    <row r="229" ht="15.75" customHeight="1" spans="1:2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</row>
    <row r="230" ht="15.75" customHeight="1" spans="1:2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</row>
    <row r="231" ht="15.75" customHeight="1" spans="1:2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</row>
    <row r="232" ht="15.75" customHeight="1" spans="1:2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</row>
    <row r="233" ht="15.75" customHeight="1" spans="1:2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</row>
    <row r="234" ht="15.75" customHeight="1" spans="1:2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</row>
    <row r="235" ht="15.75" customHeight="1" spans="1:2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</row>
    <row r="236" ht="15.75" customHeight="1" spans="1:2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</row>
    <row r="237" ht="15.75" customHeight="1" spans="1:2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</row>
    <row r="238" ht="15.75" customHeight="1" spans="1:2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</row>
    <row r="239" ht="15.75" customHeight="1" spans="1:2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</row>
    <row r="240" ht="15.75" customHeight="1" spans="1:2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</row>
    <row r="241" ht="15.75" customHeight="1" spans="1:2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</row>
    <row r="242" ht="15.75" customHeight="1" spans="1:2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2:S2"/>
    <mergeCell ref="C4:E4"/>
    <mergeCell ref="C6:E6"/>
    <mergeCell ref="D13:R13"/>
    <mergeCell ref="D14:R14"/>
    <mergeCell ref="D15:R15"/>
    <mergeCell ref="D16:R16"/>
    <mergeCell ref="D17:R17"/>
    <mergeCell ref="F21:J21"/>
    <mergeCell ref="N21:R21"/>
    <mergeCell ref="F22:J22"/>
    <mergeCell ref="N22:R22"/>
    <mergeCell ref="F23:J23"/>
    <mergeCell ref="N23:R23"/>
    <mergeCell ref="F24:J24"/>
    <mergeCell ref="N24:R24"/>
    <mergeCell ref="F25:J25"/>
    <mergeCell ref="E30:R30"/>
    <mergeCell ref="E31:R31"/>
    <mergeCell ref="E32:R32"/>
    <mergeCell ref="E33:R33"/>
    <mergeCell ref="E34:R34"/>
    <mergeCell ref="E35:R35"/>
    <mergeCell ref="G41:J41"/>
    <mergeCell ref="O41:R41"/>
    <mergeCell ref="C19:C20"/>
    <mergeCell ref="C27:C28"/>
    <mergeCell ref="E19:E20"/>
    <mergeCell ref="M19:M20"/>
    <mergeCell ref="F19:J20"/>
    <mergeCell ref="N19:R20"/>
    <mergeCell ref="E27:R28"/>
  </mergeCells>
  <printOptions horizontalCentered="1" verticalCentered="1"/>
  <pageMargins left="0" right="0" top="0.236111111111111" bottom="0.0784722222222222" header="0" footer="0"/>
  <pageSetup paperSize="9" orientation="portrait"/>
  <headerFooter/>
  <rowBreaks count="1" manualBreakCount="1">
    <brk id="43" max="0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A1014"/>
  <sheetViews>
    <sheetView showGridLines="0" tabSelected="1" topLeftCell="A44" workbookViewId="0">
      <selection activeCell="C39" sqref="C39:D39"/>
    </sheetView>
  </sheetViews>
  <sheetFormatPr defaultColWidth="12.6271186440678" defaultRowHeight="15" customHeight="1"/>
  <cols>
    <col min="1" max="1" width="1.88135593220339" customWidth="1"/>
    <col min="2" max="2" width="9.88135593220339" customWidth="1"/>
    <col min="3" max="3" width="3.25423728813559" customWidth="1"/>
    <col min="4" max="4" width="10.7542372881356" customWidth="1"/>
    <col min="5" max="5" width="12.3813559322034" customWidth="1"/>
    <col min="6" max="6" width="9.5" customWidth="1"/>
    <col min="7" max="7" width="13.8813559322034" customWidth="1"/>
    <col min="8" max="8" width="12.7542372881356" customWidth="1"/>
    <col min="9" max="9" width="9" customWidth="1"/>
    <col min="10" max="10" width="5.75423728813559" customWidth="1"/>
    <col min="11" max="11" width="3.25423728813559" customWidth="1"/>
    <col min="12" max="12" width="10.7542372881356" customWidth="1"/>
    <col min="13" max="13" width="7.6271186440678" customWidth="1"/>
    <col min="14" max="14" width="4.1271186440678" customWidth="1"/>
    <col min="15" max="15" width="9.5" customWidth="1"/>
    <col min="16" max="16" width="4.88135593220339" customWidth="1"/>
    <col min="17" max="17" width="9.6271186440678" customWidth="1"/>
    <col min="18" max="18" width="11.1271186440678" customWidth="1"/>
    <col min="19" max="19" width="13.2542372881356" customWidth="1"/>
    <col min="20" max="20" width="9.88135593220339" customWidth="1"/>
    <col min="21" max="21" width="2.1271186440678" customWidth="1"/>
    <col min="22" max="27" width="11.5" customWidth="1"/>
  </cols>
  <sheetData>
    <row r="1" ht="15.75" customHeight="1" spans="1:27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ht="30" customHeight="1" spans="1:27">
      <c r="A2" s="63"/>
      <c r="B2" s="554"/>
      <c r="C2" s="555"/>
      <c r="D2" s="556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7" t="s">
        <v>127</v>
      </c>
      <c r="R2" s="14"/>
      <c r="S2" s="14"/>
      <c r="T2" s="15"/>
      <c r="U2" s="63" t="s">
        <v>29</v>
      </c>
      <c r="V2" s="63"/>
      <c r="W2" s="63"/>
      <c r="X2" s="63"/>
      <c r="Y2" s="63"/>
      <c r="Z2" s="63"/>
      <c r="AA2" s="63"/>
    </row>
    <row r="3" ht="30" customHeight="1" spans="1:27">
      <c r="A3" s="63"/>
      <c r="B3" s="558"/>
      <c r="C3" s="559"/>
      <c r="D3" s="560"/>
      <c r="E3" s="559" t="s">
        <v>128</v>
      </c>
      <c r="P3" s="559"/>
      <c r="Q3" s="561" t="s">
        <v>129</v>
      </c>
      <c r="T3" s="18"/>
      <c r="U3" s="63"/>
      <c r="V3" s="63"/>
      <c r="W3" s="63"/>
      <c r="X3" s="63"/>
      <c r="Y3" s="63"/>
      <c r="Z3" s="63"/>
      <c r="AA3" s="63"/>
    </row>
    <row r="4" ht="30" customHeight="1" spans="1:27">
      <c r="A4" s="63"/>
      <c r="B4" s="558"/>
      <c r="C4" s="559"/>
      <c r="D4" s="560"/>
      <c r="P4" s="559"/>
      <c r="Q4" s="561" t="s">
        <v>130</v>
      </c>
      <c r="T4" s="18"/>
      <c r="U4" s="63"/>
      <c r="V4" s="63"/>
      <c r="W4" s="63"/>
      <c r="X4" s="63"/>
      <c r="Y4" s="63"/>
      <c r="Z4" s="63"/>
      <c r="AA4" s="63"/>
    </row>
    <row r="5" ht="30" customHeight="1" spans="1:27">
      <c r="A5" s="63"/>
      <c r="B5" s="562"/>
      <c r="C5" s="563"/>
      <c r="D5" s="564"/>
      <c r="E5" s="563"/>
      <c r="F5" s="563"/>
      <c r="G5" s="563"/>
      <c r="H5" s="563"/>
      <c r="I5" s="563"/>
      <c r="J5" s="563"/>
      <c r="K5" s="563"/>
      <c r="L5" s="563"/>
      <c r="M5" s="563"/>
      <c r="N5" s="563"/>
      <c r="O5" s="563"/>
      <c r="P5" s="563"/>
      <c r="Q5" s="565"/>
      <c r="R5" s="566"/>
      <c r="S5" s="566"/>
      <c r="T5" s="567"/>
      <c r="U5" s="63"/>
      <c r="V5" s="63"/>
      <c r="W5" s="63"/>
      <c r="X5" s="63"/>
      <c r="Y5" s="63"/>
      <c r="Z5" s="63"/>
      <c r="AA5" s="63"/>
    </row>
    <row r="6" ht="17.25" customHeight="1" spans="1:27">
      <c r="A6" s="63"/>
      <c r="B6" s="67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8"/>
      <c r="U6" s="63"/>
      <c r="V6" s="63"/>
      <c r="W6" s="63"/>
      <c r="X6" s="63"/>
      <c r="Y6" s="63"/>
      <c r="Z6" s="63"/>
      <c r="AA6" s="63"/>
    </row>
    <row r="7" ht="18.75" customHeight="1" spans="1:27">
      <c r="A7" s="63"/>
      <c r="B7" s="568" t="s">
        <v>131</v>
      </c>
      <c r="D7" s="569"/>
      <c r="E7" s="570"/>
      <c r="F7" s="571"/>
      <c r="G7" s="572" t="s">
        <v>32</v>
      </c>
      <c r="H7" s="573"/>
      <c r="I7" s="574"/>
      <c r="J7" s="575" t="s">
        <v>34</v>
      </c>
      <c r="K7" s="569"/>
      <c r="L7" s="571"/>
      <c r="M7" s="572"/>
      <c r="N7" s="572" t="s">
        <v>36</v>
      </c>
      <c r="O7" s="569"/>
      <c r="P7" s="571"/>
      <c r="Q7" s="572" t="s">
        <v>37</v>
      </c>
      <c r="S7" s="573"/>
      <c r="T7" s="68"/>
      <c r="U7" s="63"/>
      <c r="V7" s="63"/>
      <c r="W7" s="63"/>
      <c r="X7" s="63"/>
      <c r="Y7" s="63"/>
      <c r="Z7" s="63"/>
      <c r="AA7" s="63"/>
    </row>
    <row r="8" ht="4.5" customHeight="1" spans="1:27">
      <c r="A8" s="63"/>
      <c r="B8" s="69"/>
      <c r="C8" s="576"/>
      <c r="D8" s="78"/>
      <c r="E8" s="78"/>
      <c r="F8" s="78"/>
      <c r="G8" s="577"/>
      <c r="H8" s="578"/>
      <c r="I8" s="577"/>
      <c r="J8" s="577"/>
      <c r="K8" s="578"/>
      <c r="L8" s="578"/>
      <c r="M8" s="579"/>
      <c r="N8" s="579"/>
      <c r="O8" s="578"/>
      <c r="P8" s="578"/>
      <c r="R8" s="577"/>
      <c r="S8" s="580"/>
      <c r="T8" s="68"/>
      <c r="U8" s="63"/>
      <c r="V8" s="63"/>
      <c r="W8" s="63"/>
      <c r="X8" s="63"/>
      <c r="Y8" s="63"/>
      <c r="Z8" s="63"/>
      <c r="AA8" s="63"/>
    </row>
    <row r="9" ht="18.75" customHeight="1" spans="1:27">
      <c r="A9" s="63"/>
      <c r="B9" s="568" t="s">
        <v>132</v>
      </c>
      <c r="D9" s="569"/>
      <c r="E9" s="570"/>
      <c r="F9" s="571"/>
      <c r="G9" s="572" t="s">
        <v>39</v>
      </c>
      <c r="H9" s="573"/>
      <c r="I9" s="574"/>
      <c r="J9" s="575" t="s">
        <v>40</v>
      </c>
      <c r="K9" s="569"/>
      <c r="L9" s="571"/>
      <c r="M9" s="572"/>
      <c r="N9" s="572" t="s">
        <v>36</v>
      </c>
      <c r="O9" s="569"/>
      <c r="P9" s="571"/>
      <c r="Q9" s="572" t="s">
        <v>37</v>
      </c>
      <c r="S9" s="573"/>
      <c r="T9" s="68"/>
      <c r="U9" s="63"/>
      <c r="V9" s="63"/>
      <c r="W9" s="63"/>
      <c r="X9" s="63"/>
      <c r="Y9" s="63"/>
      <c r="Z9" s="63"/>
      <c r="AA9" s="63"/>
    </row>
    <row r="10" ht="4.5" customHeight="1" spans="1:27">
      <c r="A10" s="63"/>
      <c r="B10" s="69"/>
      <c r="C10" s="576"/>
      <c r="D10" s="81"/>
      <c r="E10" s="78"/>
      <c r="F10" s="78"/>
      <c r="G10" s="577"/>
      <c r="H10" s="578"/>
      <c r="I10" s="577"/>
      <c r="J10" s="577"/>
      <c r="K10" s="578"/>
      <c r="L10" s="578"/>
      <c r="M10" s="577"/>
      <c r="N10" s="577"/>
      <c r="O10" s="578"/>
      <c r="P10" s="578"/>
      <c r="R10" s="577"/>
      <c r="S10" s="580"/>
      <c r="T10" s="68"/>
      <c r="U10" s="63"/>
      <c r="V10" s="63"/>
      <c r="W10" s="63"/>
      <c r="X10" s="63"/>
      <c r="Y10" s="63"/>
      <c r="Z10" s="63"/>
      <c r="AA10" s="63"/>
    </row>
    <row r="11" ht="18.75" customHeight="1" spans="1:27">
      <c r="A11" s="63"/>
      <c r="B11" s="568" t="s">
        <v>133</v>
      </c>
      <c r="D11" s="569"/>
      <c r="E11" s="571"/>
      <c r="F11" s="78"/>
      <c r="G11" s="572" t="s">
        <v>42</v>
      </c>
      <c r="H11" s="581"/>
      <c r="I11" s="582"/>
      <c r="J11" s="575" t="s">
        <v>43</v>
      </c>
      <c r="K11" s="583"/>
      <c r="L11" s="571"/>
      <c r="M11" s="575"/>
      <c r="N11" s="575" t="s">
        <v>36</v>
      </c>
      <c r="O11" s="583"/>
      <c r="P11" s="571"/>
      <c r="Q11" s="572" t="s">
        <v>37</v>
      </c>
      <c r="S11" s="584"/>
      <c r="T11" s="68"/>
      <c r="U11" s="63"/>
      <c r="V11" s="63"/>
      <c r="W11" s="63"/>
      <c r="X11" s="63"/>
      <c r="Y11" s="63"/>
      <c r="Z11" s="63"/>
      <c r="AA11" s="63"/>
    </row>
    <row r="12" ht="4.5" customHeight="1" spans="1:27">
      <c r="A12" s="63"/>
      <c r="B12" s="90"/>
      <c r="C12" s="585"/>
      <c r="D12" s="82"/>
      <c r="E12" s="82"/>
      <c r="F12" s="82"/>
      <c r="G12" s="586"/>
      <c r="H12" s="586"/>
      <c r="I12" s="577"/>
      <c r="J12" s="586"/>
      <c r="K12" s="578"/>
      <c r="L12" s="586"/>
      <c r="M12" s="577"/>
      <c r="N12" s="577"/>
      <c r="O12" s="578"/>
      <c r="P12" s="578"/>
      <c r="R12" s="577"/>
      <c r="S12" s="587"/>
      <c r="T12" s="68"/>
      <c r="U12" s="63"/>
      <c r="V12" s="63"/>
      <c r="W12" s="63"/>
      <c r="X12" s="63"/>
      <c r="Y12" s="63"/>
      <c r="Z12" s="63"/>
      <c r="AA12" s="63"/>
    </row>
    <row r="13" ht="15.75" customHeight="1" spans="1:27">
      <c r="A13" s="63"/>
      <c r="B13" s="93"/>
      <c r="C13" s="82"/>
      <c r="D13" s="82"/>
      <c r="E13" s="82"/>
      <c r="F13" s="82"/>
      <c r="G13" s="575" t="s">
        <v>46</v>
      </c>
      <c r="H13" s="581"/>
      <c r="I13" s="582"/>
      <c r="J13" s="575" t="s">
        <v>47</v>
      </c>
      <c r="K13" s="583"/>
      <c r="L13" s="571"/>
      <c r="M13" s="575"/>
      <c r="N13" s="575" t="s">
        <v>36</v>
      </c>
      <c r="O13" s="583"/>
      <c r="P13" s="571"/>
      <c r="Q13" s="572" t="s">
        <v>37</v>
      </c>
      <c r="S13" s="584"/>
      <c r="T13" s="68"/>
      <c r="U13" s="63"/>
      <c r="V13" s="63"/>
      <c r="W13" s="63"/>
      <c r="X13" s="63"/>
      <c r="Y13" s="63"/>
      <c r="Z13" s="63"/>
      <c r="AA13" s="63"/>
    </row>
    <row r="14" ht="4.5" customHeight="1" spans="1:27">
      <c r="A14" s="63"/>
      <c r="B14" s="67"/>
      <c r="C14" s="63"/>
      <c r="D14" s="63"/>
      <c r="E14" s="63"/>
      <c r="F14" s="63"/>
      <c r="G14" s="63"/>
      <c r="H14" s="580"/>
      <c r="I14" s="63"/>
      <c r="J14" s="63"/>
      <c r="K14" s="580"/>
      <c r="L14" s="580"/>
      <c r="M14" s="63"/>
      <c r="N14" s="63"/>
      <c r="O14" s="580"/>
      <c r="P14" s="580"/>
      <c r="R14" s="63"/>
      <c r="S14" s="580"/>
      <c r="T14" s="68"/>
      <c r="U14" s="63"/>
      <c r="V14" s="63"/>
      <c r="W14" s="63"/>
      <c r="X14" s="63"/>
      <c r="Y14" s="63"/>
      <c r="Z14" s="63"/>
      <c r="AA14" s="63"/>
    </row>
    <row r="15" ht="18.75" customHeight="1" spans="1:27">
      <c r="A15" s="63"/>
      <c r="B15" s="67"/>
      <c r="C15" s="79"/>
      <c r="E15" s="588"/>
      <c r="F15" s="588"/>
      <c r="G15" s="575" t="s">
        <v>134</v>
      </c>
      <c r="H15" s="581"/>
      <c r="I15" s="582"/>
      <c r="J15" s="575" t="s">
        <v>135</v>
      </c>
      <c r="K15" s="583"/>
      <c r="L15" s="571"/>
      <c r="M15" s="575"/>
      <c r="N15" s="575" t="s">
        <v>36</v>
      </c>
      <c r="O15" s="583"/>
      <c r="P15" s="571"/>
      <c r="Q15" s="572" t="s">
        <v>37</v>
      </c>
      <c r="S15" s="584"/>
      <c r="T15" s="68"/>
      <c r="U15" s="63"/>
      <c r="V15" s="63"/>
      <c r="W15" s="63"/>
      <c r="X15" s="63"/>
      <c r="Y15" s="63"/>
      <c r="Z15" s="63"/>
      <c r="AA15" s="63"/>
    </row>
    <row r="16" ht="4.5" customHeight="1" spans="1:27">
      <c r="A16" s="63"/>
      <c r="B16" s="67"/>
      <c r="C16" s="79"/>
      <c r="E16" s="588"/>
      <c r="F16" s="588"/>
      <c r="G16" s="63"/>
      <c r="H16" s="580"/>
      <c r="I16" s="63"/>
      <c r="J16" s="63"/>
      <c r="K16" s="580"/>
      <c r="L16" s="580"/>
      <c r="M16" s="63"/>
      <c r="N16" s="63"/>
      <c r="O16" s="580"/>
      <c r="P16" s="580"/>
      <c r="R16" s="63"/>
      <c r="S16" s="580"/>
      <c r="T16" s="68"/>
      <c r="U16" s="63"/>
      <c r="V16" s="63"/>
      <c r="W16" s="63"/>
      <c r="X16" s="63"/>
      <c r="Y16" s="63"/>
      <c r="Z16" s="63"/>
      <c r="AA16" s="63"/>
    </row>
    <row r="17" ht="18.75" customHeight="1" spans="1:27">
      <c r="A17" s="63"/>
      <c r="B17" s="67"/>
      <c r="C17" s="79"/>
      <c r="E17" s="588"/>
      <c r="F17" s="588"/>
      <c r="G17" s="575" t="s">
        <v>136</v>
      </c>
      <c r="H17" s="581"/>
      <c r="I17" s="582"/>
      <c r="J17" s="575" t="s">
        <v>137</v>
      </c>
      <c r="K17" s="583"/>
      <c r="L17" s="571"/>
      <c r="M17" s="575"/>
      <c r="N17" s="575" t="s">
        <v>36</v>
      </c>
      <c r="O17" s="583"/>
      <c r="P17" s="571"/>
      <c r="Q17" s="572" t="s">
        <v>37</v>
      </c>
      <c r="S17" s="584"/>
      <c r="T17" s="68"/>
      <c r="U17" s="63"/>
      <c r="V17" s="63"/>
      <c r="W17" s="63"/>
      <c r="X17" s="63"/>
      <c r="Y17" s="63"/>
      <c r="Z17" s="63"/>
      <c r="AA17" s="63"/>
    </row>
    <row r="18" ht="4.5" customHeight="1" spans="1:27">
      <c r="A18" s="63"/>
      <c r="B18" s="67"/>
      <c r="C18" s="79"/>
      <c r="E18" s="588"/>
      <c r="F18" s="588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8"/>
      <c r="U18" s="63"/>
      <c r="V18" s="63"/>
      <c r="W18" s="63"/>
      <c r="X18" s="63"/>
      <c r="Y18" s="63"/>
      <c r="Z18" s="63"/>
      <c r="AA18" s="63"/>
    </row>
    <row r="19" ht="35.25" customHeight="1" spans="1:27">
      <c r="A19" s="63"/>
      <c r="B19" s="67"/>
      <c r="C19" s="79" t="s">
        <v>48</v>
      </c>
      <c r="E19" s="588"/>
      <c r="F19" s="588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517"/>
      <c r="T19" s="68"/>
      <c r="U19" s="63"/>
      <c r="V19" s="63"/>
      <c r="W19" s="63"/>
      <c r="X19" s="63"/>
      <c r="Y19" s="63"/>
      <c r="Z19" s="63"/>
      <c r="AA19" s="63"/>
    </row>
    <row r="20" ht="60" customHeight="1" spans="1:27">
      <c r="A20" s="63"/>
      <c r="B20" s="67"/>
      <c r="C20" s="518"/>
      <c r="D20" s="98"/>
      <c r="E20" s="96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8"/>
      <c r="T20" s="99"/>
      <c r="U20" s="63"/>
      <c r="V20" s="63"/>
      <c r="W20" s="63"/>
      <c r="X20" s="63"/>
      <c r="Y20" s="63"/>
      <c r="Z20" s="63"/>
      <c r="AA20" s="63"/>
    </row>
    <row r="21" ht="60" customHeight="1" spans="1:27">
      <c r="A21" s="63"/>
      <c r="B21" s="67"/>
      <c r="C21" s="518"/>
      <c r="D21" s="98"/>
      <c r="E21" s="96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8"/>
      <c r="T21" s="99"/>
      <c r="U21" s="63"/>
      <c r="V21" s="63"/>
      <c r="W21" s="63"/>
      <c r="X21" s="63"/>
      <c r="Y21" s="63"/>
      <c r="Z21" s="63"/>
      <c r="AA21" s="63"/>
    </row>
    <row r="22" ht="60" customHeight="1" spans="1:27">
      <c r="A22" s="63"/>
      <c r="B22" s="67"/>
      <c r="C22" s="518"/>
      <c r="D22" s="98"/>
      <c r="E22" s="96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8"/>
      <c r="T22" s="99"/>
      <c r="U22" s="63"/>
      <c r="V22" s="63"/>
      <c r="W22" s="63"/>
      <c r="X22" s="63"/>
      <c r="Y22" s="63"/>
      <c r="Z22" s="63"/>
      <c r="AA22" s="63"/>
    </row>
    <row r="23" ht="60" customHeight="1" spans="1:27">
      <c r="A23" s="63"/>
      <c r="B23" s="67"/>
      <c r="C23" s="518"/>
      <c r="D23" s="98"/>
      <c r="E23" s="96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8"/>
      <c r="T23" s="100"/>
      <c r="U23" s="63"/>
      <c r="V23" s="63"/>
      <c r="W23" s="63"/>
      <c r="X23" s="63"/>
      <c r="Y23" s="63"/>
      <c r="Z23" s="63"/>
      <c r="AA23" s="63"/>
    </row>
    <row r="24" ht="60" customHeight="1" spans="1:27">
      <c r="A24" s="63"/>
      <c r="B24" s="67"/>
      <c r="C24" s="518"/>
      <c r="D24" s="98"/>
      <c r="E24" s="96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8"/>
      <c r="T24" s="100"/>
      <c r="U24" s="63"/>
      <c r="V24" s="63"/>
      <c r="W24" s="63"/>
      <c r="X24" s="63"/>
      <c r="Y24" s="63"/>
      <c r="Z24" s="63"/>
      <c r="AA24" s="63"/>
    </row>
    <row r="25" ht="60" customHeight="1" spans="1:27">
      <c r="A25" s="63"/>
      <c r="B25" s="67"/>
      <c r="C25" s="518"/>
      <c r="D25" s="98"/>
      <c r="E25" s="96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8"/>
      <c r="T25" s="100"/>
      <c r="U25" s="63"/>
      <c r="V25" s="63"/>
      <c r="W25" s="63"/>
      <c r="X25" s="63"/>
      <c r="Y25" s="63"/>
      <c r="Z25" s="63"/>
      <c r="AA25" s="63"/>
    </row>
    <row r="26" ht="60" customHeight="1" spans="1:27">
      <c r="A26" s="63"/>
      <c r="B26" s="67"/>
      <c r="C26" s="518"/>
      <c r="D26" s="98"/>
      <c r="E26" s="96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8"/>
      <c r="T26" s="100"/>
      <c r="U26" s="63"/>
      <c r="V26" s="63"/>
      <c r="W26" s="63"/>
      <c r="X26" s="63"/>
      <c r="Y26" s="63"/>
      <c r="Z26" s="63"/>
      <c r="AA26" s="63"/>
    </row>
    <row r="27" ht="19.5" customHeight="1" spans="1:27">
      <c r="A27" s="63"/>
      <c r="B27" s="67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589"/>
      <c r="T27" s="68"/>
      <c r="U27" s="63"/>
      <c r="V27" s="63"/>
      <c r="W27" s="63"/>
      <c r="X27" s="63"/>
      <c r="Y27" s="63"/>
      <c r="Z27" s="63"/>
      <c r="AA27" s="63"/>
    </row>
    <row r="28" ht="15.75" customHeight="1" spans="1:27">
      <c r="A28" s="63"/>
      <c r="B28" s="67"/>
      <c r="C28" s="63"/>
      <c r="E28" s="590" t="s">
        <v>57</v>
      </c>
      <c r="F28" s="591" t="s">
        <v>58</v>
      </c>
      <c r="G28" s="592" t="s">
        <v>59</v>
      </c>
      <c r="H28" s="104"/>
      <c r="I28" s="104"/>
      <c r="J28" s="104"/>
      <c r="K28" s="593"/>
      <c r="L28" s="594"/>
      <c r="M28" s="595" t="s">
        <v>57</v>
      </c>
      <c r="N28" s="105"/>
      <c r="O28" s="591" t="s">
        <v>58</v>
      </c>
      <c r="P28" s="592" t="s">
        <v>59</v>
      </c>
      <c r="Q28" s="104"/>
      <c r="R28" s="104"/>
      <c r="S28" s="105"/>
      <c r="T28" s="106"/>
      <c r="U28" s="63"/>
      <c r="V28" s="63"/>
      <c r="W28" s="63"/>
      <c r="X28" s="63"/>
      <c r="Y28" s="63"/>
      <c r="Z28" s="63"/>
      <c r="AA28" s="63"/>
    </row>
    <row r="29" ht="15.75" customHeight="1" spans="1:27">
      <c r="A29" s="63"/>
      <c r="B29" s="67"/>
      <c r="E29" s="596" t="s">
        <v>60</v>
      </c>
      <c r="F29" s="107"/>
      <c r="G29" s="109"/>
      <c r="H29" s="20"/>
      <c r="I29" s="20"/>
      <c r="J29" s="20"/>
      <c r="K29" s="109"/>
      <c r="L29" s="110"/>
      <c r="M29" s="597" t="s">
        <v>60</v>
      </c>
      <c r="N29" s="110"/>
      <c r="O29" s="107"/>
      <c r="P29" s="109"/>
      <c r="Q29" s="20"/>
      <c r="R29" s="20"/>
      <c r="S29" s="110"/>
      <c r="T29" s="106"/>
      <c r="U29" s="63"/>
      <c r="V29" s="63"/>
      <c r="W29" s="63"/>
      <c r="X29" s="63"/>
      <c r="Y29" s="63"/>
      <c r="Z29" s="63"/>
      <c r="AA29" s="63"/>
    </row>
    <row r="30" ht="42.75" customHeight="1" spans="1:27">
      <c r="A30" s="63"/>
      <c r="B30" s="67"/>
      <c r="C30" s="182" t="s">
        <v>32</v>
      </c>
      <c r="D30" s="98"/>
      <c r="E30" s="598"/>
      <c r="F30" s="599"/>
      <c r="G30" s="600"/>
      <c r="H30" s="97"/>
      <c r="I30" s="97"/>
      <c r="J30" s="97"/>
      <c r="K30" s="601" t="s">
        <v>46</v>
      </c>
      <c r="L30" s="110"/>
      <c r="M30" s="602"/>
      <c r="N30" s="98"/>
      <c r="O30" s="599"/>
      <c r="P30" s="603"/>
      <c r="Q30" s="97"/>
      <c r="R30" s="97"/>
      <c r="S30" s="98"/>
      <c r="T30" s="106"/>
      <c r="U30" s="63"/>
      <c r="V30" s="63"/>
      <c r="W30" s="63"/>
      <c r="X30" s="63"/>
      <c r="Y30" s="63"/>
      <c r="Z30" s="63"/>
      <c r="AA30" s="63"/>
    </row>
    <row r="31" ht="42.75" customHeight="1" spans="1:27">
      <c r="A31" s="63"/>
      <c r="B31" s="67"/>
      <c r="C31" s="182" t="s">
        <v>34</v>
      </c>
      <c r="D31" s="98"/>
      <c r="E31" s="598"/>
      <c r="F31" s="599"/>
      <c r="G31" s="600"/>
      <c r="H31" s="97"/>
      <c r="I31" s="97"/>
      <c r="J31" s="97"/>
      <c r="K31" s="182" t="s">
        <v>47</v>
      </c>
      <c r="L31" s="98"/>
      <c r="M31" s="602"/>
      <c r="N31" s="98"/>
      <c r="O31" s="599"/>
      <c r="P31" s="603"/>
      <c r="Q31" s="97"/>
      <c r="R31" s="97"/>
      <c r="S31" s="98"/>
      <c r="T31" s="106"/>
      <c r="U31" s="63"/>
      <c r="V31" s="63"/>
      <c r="W31" s="63"/>
      <c r="X31" s="63"/>
      <c r="Y31" s="63"/>
      <c r="Z31" s="63"/>
      <c r="AA31" s="63"/>
    </row>
    <row r="32" ht="42.75" customHeight="1" spans="1:27">
      <c r="A32" s="63"/>
      <c r="B32" s="67"/>
      <c r="C32" s="182" t="s">
        <v>39</v>
      </c>
      <c r="D32" s="98"/>
      <c r="E32" s="599"/>
      <c r="F32" s="599"/>
      <c r="G32" s="600"/>
      <c r="H32" s="97"/>
      <c r="I32" s="97"/>
      <c r="J32" s="97"/>
      <c r="K32" s="182" t="s">
        <v>134</v>
      </c>
      <c r="L32" s="98"/>
      <c r="M32" s="603"/>
      <c r="N32" s="98"/>
      <c r="O32" s="599"/>
      <c r="P32" s="603"/>
      <c r="Q32" s="97"/>
      <c r="R32" s="97"/>
      <c r="S32" s="98"/>
      <c r="T32" s="106"/>
      <c r="U32" s="63"/>
      <c r="V32" s="63"/>
      <c r="W32" s="63"/>
      <c r="X32" s="63"/>
      <c r="Y32" s="63"/>
      <c r="Z32" s="63"/>
      <c r="AA32" s="63"/>
    </row>
    <row r="33" ht="42.75" customHeight="1" spans="1:27">
      <c r="A33" s="63"/>
      <c r="B33" s="67"/>
      <c r="C33" s="182" t="s">
        <v>40</v>
      </c>
      <c r="D33" s="98"/>
      <c r="E33" s="598"/>
      <c r="F33" s="599"/>
      <c r="G33" s="600"/>
      <c r="H33" s="97"/>
      <c r="I33" s="97"/>
      <c r="J33" s="97"/>
      <c r="K33" s="182" t="s">
        <v>135</v>
      </c>
      <c r="L33" s="98"/>
      <c r="M33" s="602"/>
      <c r="N33" s="98"/>
      <c r="O33" s="599"/>
      <c r="P33" s="603"/>
      <c r="Q33" s="97"/>
      <c r="R33" s="97"/>
      <c r="S33" s="98"/>
      <c r="T33" s="106"/>
      <c r="U33" s="63"/>
      <c r="V33" s="63"/>
      <c r="W33" s="63"/>
      <c r="X33" s="63"/>
      <c r="Y33" s="63"/>
      <c r="Z33" s="63"/>
      <c r="AA33" s="63"/>
    </row>
    <row r="34" ht="42.75" customHeight="1" spans="1:27">
      <c r="A34" s="63"/>
      <c r="B34" s="67"/>
      <c r="C34" s="182" t="s">
        <v>42</v>
      </c>
      <c r="D34" s="98"/>
      <c r="E34" s="599"/>
      <c r="F34" s="599"/>
      <c r="G34" s="600"/>
      <c r="H34" s="97"/>
      <c r="I34" s="97"/>
      <c r="J34" s="97"/>
      <c r="K34" s="182" t="s">
        <v>136</v>
      </c>
      <c r="L34" s="98"/>
      <c r="M34" s="603"/>
      <c r="N34" s="98"/>
      <c r="O34" s="599"/>
      <c r="P34" s="603"/>
      <c r="Q34" s="97"/>
      <c r="R34" s="97"/>
      <c r="S34" s="98"/>
      <c r="T34" s="106"/>
      <c r="U34" s="63"/>
      <c r="V34" s="63"/>
      <c r="W34" s="63"/>
      <c r="X34" s="63"/>
      <c r="Y34" s="63"/>
      <c r="Z34" s="63"/>
      <c r="AA34" s="63"/>
    </row>
    <row r="35" ht="42.75" customHeight="1" spans="1:27">
      <c r="A35" s="63"/>
      <c r="B35" s="67"/>
      <c r="C35" s="182" t="s">
        <v>43</v>
      </c>
      <c r="D35" s="98"/>
      <c r="E35" s="598"/>
      <c r="F35" s="599"/>
      <c r="G35" s="600"/>
      <c r="H35" s="97"/>
      <c r="I35" s="97"/>
      <c r="J35" s="97"/>
      <c r="K35" s="182" t="s">
        <v>137</v>
      </c>
      <c r="L35" s="98"/>
      <c r="M35" s="602"/>
      <c r="N35" s="98"/>
      <c r="O35" s="599"/>
      <c r="P35" s="603"/>
      <c r="Q35" s="97"/>
      <c r="R35" s="97"/>
      <c r="S35" s="98"/>
      <c r="T35" s="106"/>
      <c r="U35" s="63"/>
      <c r="V35" s="63"/>
      <c r="W35" s="63"/>
      <c r="X35" s="63"/>
      <c r="Y35" s="63"/>
      <c r="Z35" s="63"/>
      <c r="AA35" s="63"/>
    </row>
    <row r="36" ht="15.75" customHeight="1" spans="1:27">
      <c r="A36" s="63"/>
      <c r="B36" s="67"/>
      <c r="C36" s="63"/>
      <c r="D36" s="580"/>
      <c r="E36" s="580"/>
      <c r="F36" s="604"/>
      <c r="G36" s="580"/>
      <c r="H36" s="580"/>
      <c r="I36" s="580"/>
      <c r="J36" s="580"/>
      <c r="K36" s="580"/>
      <c r="L36" s="580"/>
      <c r="M36" s="580"/>
      <c r="N36" s="580"/>
      <c r="O36" s="580"/>
      <c r="P36" s="580"/>
      <c r="Q36" s="580"/>
      <c r="R36" s="580"/>
      <c r="S36" s="605"/>
      <c r="T36" s="106"/>
      <c r="U36" s="63"/>
      <c r="V36" s="63"/>
      <c r="W36" s="63"/>
      <c r="X36" s="63"/>
      <c r="Y36" s="63"/>
      <c r="Z36" s="63"/>
      <c r="AA36" s="63"/>
    </row>
    <row r="37" ht="15.75" customHeight="1" spans="1:27">
      <c r="A37" s="63"/>
      <c r="B37" s="67"/>
      <c r="C37" s="606" t="s">
        <v>57</v>
      </c>
      <c r="D37" s="105"/>
      <c r="E37" s="592" t="s">
        <v>63</v>
      </c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5"/>
      <c r="T37" s="106"/>
      <c r="U37" s="63"/>
      <c r="V37" s="63"/>
      <c r="W37" s="63"/>
      <c r="X37" s="63"/>
      <c r="Y37" s="63"/>
      <c r="Z37" s="63"/>
      <c r="AA37" s="63"/>
    </row>
    <row r="38" ht="15.75" customHeight="1" spans="1:27">
      <c r="A38" s="63"/>
      <c r="B38" s="67"/>
      <c r="C38" s="607" t="s">
        <v>60</v>
      </c>
      <c r="D38" s="110"/>
      <c r="E38" s="10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110"/>
      <c r="T38" s="106"/>
      <c r="U38" s="63"/>
      <c r="V38" s="63"/>
      <c r="W38" s="63"/>
      <c r="X38" s="63"/>
      <c r="Y38" s="63"/>
      <c r="Z38" s="63"/>
      <c r="AA38" s="63"/>
    </row>
    <row r="39" ht="138.75" customHeight="1" spans="1:27">
      <c r="A39" s="63"/>
      <c r="B39" s="67"/>
      <c r="C39" s="608"/>
      <c r="D39" s="609"/>
      <c r="E39" s="610"/>
      <c r="F39" s="611"/>
      <c r="G39" s="611"/>
      <c r="H39" s="611"/>
      <c r="I39" s="611"/>
      <c r="J39" s="611"/>
      <c r="K39" s="612"/>
      <c r="L39" s="611"/>
      <c r="M39" s="611"/>
      <c r="N39" s="611"/>
      <c r="O39" s="611"/>
      <c r="P39" s="611"/>
      <c r="Q39" s="611"/>
      <c r="R39" s="611"/>
      <c r="S39" s="613"/>
      <c r="T39" s="127"/>
      <c r="U39" s="63"/>
      <c r="V39" s="63"/>
      <c r="W39" s="63"/>
      <c r="X39" s="63"/>
      <c r="Y39" s="63"/>
      <c r="Z39" s="63"/>
      <c r="AA39" s="63"/>
    </row>
    <row r="40" ht="138.75" customHeight="1" spans="1:27">
      <c r="A40" s="63"/>
      <c r="B40" s="67"/>
      <c r="C40" s="608"/>
      <c r="D40" s="609"/>
      <c r="E40" s="610"/>
      <c r="F40" s="611"/>
      <c r="G40" s="611"/>
      <c r="H40" s="611"/>
      <c r="I40" s="611"/>
      <c r="J40" s="611"/>
      <c r="K40" s="612"/>
      <c r="L40" s="611"/>
      <c r="M40" s="611"/>
      <c r="N40" s="611"/>
      <c r="O40" s="611"/>
      <c r="P40" s="611"/>
      <c r="Q40" s="611"/>
      <c r="R40" s="611"/>
      <c r="S40" s="613"/>
      <c r="T40" s="127"/>
      <c r="U40" s="63"/>
      <c r="V40" s="63"/>
      <c r="W40" s="63"/>
      <c r="X40" s="63"/>
      <c r="Y40" s="63"/>
      <c r="Z40" s="63"/>
      <c r="AA40" s="63"/>
    </row>
    <row r="41" ht="138.75" customHeight="1" spans="1:27">
      <c r="A41" s="63"/>
      <c r="B41" s="67"/>
      <c r="C41" s="608"/>
      <c r="D41" s="609"/>
      <c r="E41" s="610"/>
      <c r="F41" s="611"/>
      <c r="G41" s="611"/>
      <c r="H41" s="611"/>
      <c r="I41" s="611"/>
      <c r="J41" s="611"/>
      <c r="K41" s="612"/>
      <c r="L41" s="611"/>
      <c r="M41" s="611"/>
      <c r="N41" s="611"/>
      <c r="O41" s="611"/>
      <c r="P41" s="611"/>
      <c r="Q41" s="611"/>
      <c r="R41" s="611"/>
      <c r="S41" s="613"/>
      <c r="T41" s="127"/>
      <c r="U41" s="63"/>
      <c r="V41" s="63"/>
      <c r="W41" s="63"/>
      <c r="X41" s="63"/>
      <c r="Y41" s="63"/>
      <c r="Z41" s="63"/>
      <c r="AA41" s="63"/>
    </row>
    <row r="42" ht="138.75" customHeight="1" spans="1:27">
      <c r="A42" s="63"/>
      <c r="B42" s="67"/>
      <c r="C42" s="608"/>
      <c r="D42" s="609"/>
      <c r="E42" s="610"/>
      <c r="F42" s="611"/>
      <c r="G42" s="611"/>
      <c r="H42" s="611"/>
      <c r="I42" s="611"/>
      <c r="J42" s="611"/>
      <c r="K42" s="612"/>
      <c r="L42" s="611"/>
      <c r="M42" s="611"/>
      <c r="N42" s="611"/>
      <c r="O42" s="611"/>
      <c r="P42" s="611"/>
      <c r="Q42" s="611"/>
      <c r="R42" s="611"/>
      <c r="S42" s="613"/>
      <c r="T42" s="127"/>
      <c r="U42" s="63"/>
      <c r="V42" s="63"/>
      <c r="W42" s="63"/>
      <c r="X42" s="63"/>
      <c r="Y42" s="63"/>
      <c r="Z42" s="63"/>
      <c r="AA42" s="63"/>
    </row>
    <row r="43" ht="154.5" customHeight="1" spans="1:27">
      <c r="A43" s="63"/>
      <c r="B43" s="67"/>
      <c r="C43" s="608"/>
      <c r="D43" s="609"/>
      <c r="E43" s="610"/>
      <c r="F43" s="611"/>
      <c r="G43" s="611"/>
      <c r="H43" s="611"/>
      <c r="I43" s="611"/>
      <c r="J43" s="611"/>
      <c r="K43" s="612"/>
      <c r="L43" s="611"/>
      <c r="M43" s="611"/>
      <c r="N43" s="611"/>
      <c r="O43" s="611"/>
      <c r="P43" s="611"/>
      <c r="Q43" s="611"/>
      <c r="R43" s="611"/>
      <c r="S43" s="613"/>
      <c r="T43" s="127"/>
      <c r="U43" s="63"/>
      <c r="V43" s="63"/>
      <c r="W43" s="63"/>
      <c r="X43" s="63"/>
      <c r="Y43" s="63"/>
      <c r="Z43" s="63"/>
      <c r="AA43" s="63"/>
    </row>
    <row r="44" ht="154.5" customHeight="1" spans="1:27">
      <c r="A44" s="63"/>
      <c r="B44" s="67"/>
      <c r="C44" s="608"/>
      <c r="D44" s="609"/>
      <c r="E44" s="610"/>
      <c r="F44" s="611"/>
      <c r="G44" s="611"/>
      <c r="H44" s="611"/>
      <c r="I44" s="611"/>
      <c r="J44" s="611"/>
      <c r="K44" s="612"/>
      <c r="L44" s="611"/>
      <c r="M44" s="611"/>
      <c r="N44" s="611"/>
      <c r="O44" s="611"/>
      <c r="P44" s="611"/>
      <c r="Q44" s="611"/>
      <c r="R44" s="611"/>
      <c r="S44" s="613"/>
      <c r="T44" s="127"/>
      <c r="U44" s="63"/>
      <c r="V44" s="63"/>
      <c r="W44" s="63"/>
      <c r="X44" s="63"/>
      <c r="Y44" s="63"/>
      <c r="Z44" s="63"/>
      <c r="AA44" s="63"/>
    </row>
    <row r="45" ht="154.5" customHeight="1" spans="1:27">
      <c r="A45" s="63"/>
      <c r="B45" s="67"/>
      <c r="C45" s="608"/>
      <c r="D45" s="609"/>
      <c r="E45" s="610"/>
      <c r="F45" s="611"/>
      <c r="G45" s="611"/>
      <c r="H45" s="611"/>
      <c r="I45" s="611"/>
      <c r="J45" s="611"/>
      <c r="K45" s="612"/>
      <c r="L45" s="611"/>
      <c r="M45" s="611"/>
      <c r="N45" s="611"/>
      <c r="O45" s="611"/>
      <c r="P45" s="611"/>
      <c r="Q45" s="611"/>
      <c r="R45" s="611"/>
      <c r="S45" s="613"/>
      <c r="T45" s="127"/>
      <c r="U45" s="63"/>
      <c r="V45" s="63"/>
      <c r="W45" s="63"/>
      <c r="X45" s="63"/>
      <c r="Y45" s="63"/>
      <c r="Z45" s="63"/>
      <c r="AA45" s="63"/>
    </row>
    <row r="46" customHeight="1" spans="1:27">
      <c r="A46" s="63"/>
      <c r="B46" s="67"/>
      <c r="C46" s="63"/>
      <c r="D46" s="614"/>
      <c r="E46" s="580"/>
      <c r="F46" s="580"/>
      <c r="G46" s="580"/>
      <c r="H46" s="580"/>
      <c r="I46" s="580"/>
      <c r="J46" s="580"/>
      <c r="K46" s="580"/>
      <c r="L46" s="580"/>
      <c r="M46" s="580"/>
      <c r="N46" s="580"/>
      <c r="O46" s="580"/>
      <c r="P46" s="580"/>
      <c r="Q46" s="580"/>
      <c r="R46" s="580"/>
      <c r="S46" s="580"/>
      <c r="T46" s="127"/>
      <c r="U46" s="63"/>
      <c r="V46" s="63"/>
      <c r="W46" s="63"/>
      <c r="X46" s="63"/>
      <c r="Y46" s="63"/>
      <c r="Z46" s="63"/>
      <c r="AA46" s="63"/>
    </row>
    <row r="47" ht="15.75" customHeight="1" spans="1:27">
      <c r="A47" s="63"/>
      <c r="B47" s="67"/>
      <c r="C47" s="63"/>
      <c r="D47" s="82"/>
      <c r="E47" s="58" t="s">
        <v>65</v>
      </c>
      <c r="K47" s="82"/>
      <c r="L47" s="82"/>
      <c r="M47" s="82"/>
      <c r="N47" s="82"/>
      <c r="O47" s="58" t="s">
        <v>66</v>
      </c>
      <c r="R47" s="82"/>
      <c r="S47" s="82"/>
      <c r="T47" s="68"/>
      <c r="U47" s="63"/>
      <c r="V47" s="63"/>
      <c r="W47" s="63"/>
      <c r="X47" s="63"/>
      <c r="Y47" s="63"/>
      <c r="Z47" s="63"/>
      <c r="AA47" s="63"/>
    </row>
    <row r="48" ht="15.75" customHeight="1" spans="1:27">
      <c r="A48" s="63"/>
      <c r="B48" s="67"/>
      <c r="C48" s="63"/>
      <c r="D48" s="82"/>
      <c r="E48" s="58" t="s">
        <v>67</v>
      </c>
      <c r="K48" s="82"/>
      <c r="L48" s="82"/>
      <c r="M48" s="82"/>
      <c r="N48" s="82"/>
      <c r="O48" s="58" t="s">
        <v>67</v>
      </c>
      <c r="R48" s="82"/>
      <c r="S48" s="82"/>
      <c r="T48" s="68"/>
      <c r="U48" s="63"/>
      <c r="V48" s="63"/>
      <c r="W48" s="63"/>
      <c r="X48" s="63"/>
      <c r="Y48" s="63"/>
      <c r="Z48" s="63"/>
      <c r="AA48" s="63"/>
    </row>
    <row r="49" ht="60" customHeight="1" spans="1:27">
      <c r="A49" s="63"/>
      <c r="B49" s="67"/>
      <c r="C49" s="63"/>
      <c r="D49" s="82"/>
      <c r="E49" s="82"/>
      <c r="F49" s="82"/>
      <c r="G49" s="82"/>
      <c r="K49" s="82"/>
      <c r="L49" s="82"/>
      <c r="M49" s="82"/>
      <c r="N49" s="82"/>
      <c r="O49" s="82"/>
      <c r="P49" s="82"/>
      <c r="Q49" s="82"/>
      <c r="R49" s="82"/>
      <c r="S49" s="82"/>
      <c r="T49" s="68"/>
      <c r="U49" s="63"/>
      <c r="V49" s="63"/>
      <c r="W49" s="63"/>
      <c r="X49" s="63"/>
      <c r="Y49" s="63"/>
      <c r="Z49" s="63"/>
      <c r="AA49" s="63"/>
    </row>
    <row r="50" ht="24" customHeight="1" spans="1:27">
      <c r="A50" s="63"/>
      <c r="B50" s="67"/>
      <c r="C50" s="63"/>
      <c r="D50" s="82"/>
      <c r="E50" s="82"/>
      <c r="F50" s="615"/>
      <c r="G50" s="82"/>
      <c r="K50" s="82"/>
      <c r="L50" s="82"/>
      <c r="M50" s="82"/>
      <c r="N50" s="82"/>
      <c r="O50" s="82"/>
      <c r="P50" s="615"/>
      <c r="Q50" s="82"/>
      <c r="R50" s="82"/>
      <c r="S50" s="82"/>
      <c r="T50" s="68"/>
      <c r="U50" s="63"/>
      <c r="V50" s="63"/>
      <c r="W50" s="63"/>
      <c r="X50" s="63"/>
      <c r="Y50" s="63"/>
      <c r="Z50" s="63"/>
      <c r="AA50" s="63"/>
    </row>
    <row r="51" ht="15.75" customHeight="1" spans="1:27">
      <c r="A51" s="63"/>
      <c r="B51" s="67"/>
      <c r="C51" s="63"/>
      <c r="D51" s="82"/>
      <c r="E51" s="58" t="s">
        <v>138</v>
      </c>
      <c r="K51" s="82"/>
      <c r="L51" s="82"/>
      <c r="M51" s="82"/>
      <c r="N51" s="82"/>
      <c r="O51" s="58" t="s">
        <v>138</v>
      </c>
      <c r="R51" s="136"/>
      <c r="T51" s="68"/>
      <c r="U51" s="63"/>
      <c r="V51" s="63"/>
      <c r="W51" s="63"/>
      <c r="X51" s="63"/>
      <c r="Y51" s="63"/>
      <c r="Z51" s="63"/>
      <c r="AA51" s="63"/>
    </row>
    <row r="52" ht="15.75" customHeight="1" spans="1:27">
      <c r="A52" s="63"/>
      <c r="B52" s="67"/>
      <c r="C52" s="63"/>
      <c r="D52" s="82"/>
      <c r="K52" s="82"/>
      <c r="L52" s="82"/>
      <c r="M52" s="82"/>
      <c r="N52" s="82"/>
      <c r="O52" s="58"/>
      <c r="R52" s="82"/>
      <c r="S52" s="82"/>
      <c r="T52" s="68"/>
      <c r="U52" s="63"/>
      <c r="V52" s="63"/>
      <c r="W52" s="63"/>
      <c r="X52" s="63"/>
      <c r="Y52" s="63"/>
      <c r="Z52" s="63"/>
      <c r="AA52" s="63"/>
    </row>
    <row r="53" ht="15.75" customHeight="1" spans="1:27">
      <c r="A53" s="63"/>
      <c r="B53" s="67"/>
      <c r="C53" s="616">
        <v>45992</v>
      </c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580" t="s">
        <v>139</v>
      </c>
      <c r="T53" s="18"/>
      <c r="U53" s="63"/>
      <c r="V53" s="63"/>
      <c r="W53" s="63"/>
      <c r="X53" s="63"/>
      <c r="Y53" s="63"/>
      <c r="Z53" s="63"/>
      <c r="AA53" s="63"/>
    </row>
    <row r="54" ht="15.75" customHeight="1" spans="1:27">
      <c r="A54" s="63"/>
      <c r="B54" s="137"/>
      <c r="C54" s="617"/>
      <c r="D54" s="617"/>
      <c r="E54" s="617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617"/>
      <c r="S54" s="617"/>
      <c r="T54" s="618"/>
      <c r="U54" s="63"/>
      <c r="V54" s="63"/>
      <c r="W54" s="63"/>
      <c r="X54" s="63"/>
      <c r="Y54" s="63"/>
      <c r="Z54" s="63"/>
      <c r="AA54" s="63"/>
    </row>
    <row r="55" ht="15.75" customHeight="1" spans="1:27">
      <c r="A55" s="63"/>
      <c r="B55" s="63"/>
      <c r="C55" s="616"/>
      <c r="D55" s="616"/>
      <c r="E55" s="616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580"/>
      <c r="S55" s="580"/>
      <c r="T55" s="580"/>
      <c r="U55" s="63"/>
      <c r="V55" s="63"/>
      <c r="W55" s="63"/>
      <c r="X55" s="63"/>
      <c r="Y55" s="63"/>
      <c r="Z55" s="63"/>
      <c r="AA55" s="63"/>
    </row>
    <row r="56" ht="15.75" customHeight="1" spans="1:27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 ht="15.75" customHeight="1" spans="1:2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</row>
    <row r="58" ht="15.75" customHeight="1" spans="1:27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</row>
    <row r="59" ht="15.75" customHeight="1" spans="1:27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 ht="15.75" customHeight="1" spans="1:27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 ht="15.75" customHeight="1" spans="1:27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 ht="15.75" customHeight="1" spans="1:27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 ht="15.75" customHeight="1" spans="1:27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 ht="15.75" customHeight="1" spans="1:27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</row>
    <row r="65" ht="15.75" customHeight="1" spans="1:27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15.75" customHeight="1" spans="1:27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</row>
    <row r="67" ht="15.75" customHeight="1" spans="1:2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</row>
    <row r="68" ht="15.75" customHeight="1" spans="1:27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ht="15.75" customHeight="1" spans="1:27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ht="15.75" customHeight="1" spans="1:27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ht="15.75" customHeight="1" spans="1:27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 ht="15.75" customHeight="1" spans="1:27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</row>
    <row r="73" ht="15.75" customHeight="1" spans="1:27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 ht="15.75" customHeight="1" spans="1:27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 ht="15.75" customHeight="1" spans="1:27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 ht="15.75" customHeight="1" spans="1:27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 ht="15.75" customHeight="1" spans="1:2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 ht="15.75" customHeight="1" spans="1:27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 ht="15.75" customHeight="1" spans="1:27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 ht="15.75" customHeight="1" spans="1:27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 ht="15.75" customHeight="1" spans="1:27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 ht="15.75" customHeight="1" spans="1:27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 ht="15.75" customHeight="1" spans="1:27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 ht="15.75" customHeight="1" spans="1:27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 ht="15.75" customHeight="1" spans="1:27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 ht="15.75" customHeight="1" spans="1:27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 ht="15.75" customHeight="1" spans="1:2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 ht="15.75" customHeight="1" spans="1:27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 ht="15.75" customHeight="1" spans="1:27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 ht="15.75" customHeight="1" spans="1:27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 ht="15.75" customHeight="1" spans="1:27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 ht="15.75" customHeight="1" spans="1:27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 ht="15.75" customHeight="1" spans="1:27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 ht="15.75" customHeight="1" spans="1:27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 ht="15.75" customHeight="1" spans="1:27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 ht="15.75" customHeight="1" spans="1:27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 ht="15.75" customHeight="1" spans="1:2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</row>
    <row r="98" ht="15.75" customHeight="1" spans="1:27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99" ht="15.75" customHeight="1" spans="1:27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</row>
    <row r="100" ht="15.75" customHeight="1" spans="1:27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</row>
    <row r="101" ht="15.75" customHeight="1" spans="1:27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  <row r="102" ht="15.75" customHeight="1" spans="1:27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</row>
    <row r="103" ht="15.75" customHeight="1" spans="1:27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  <row r="104" ht="15.75" customHeight="1" spans="1:27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</row>
    <row r="105" ht="15.75" customHeight="1" spans="1:27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</row>
    <row r="106" ht="15.75" customHeight="1" spans="1:27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</row>
    <row r="107" ht="15.75" customHeight="1" spans="1:2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</row>
    <row r="108" ht="15.75" customHeight="1" spans="1:27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</row>
    <row r="109" ht="15.75" customHeight="1" spans="1:27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</row>
    <row r="110" ht="15.75" customHeight="1" spans="1:27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</row>
    <row r="111" ht="15.75" customHeight="1" spans="1:27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</row>
    <row r="112" ht="15.75" customHeight="1" spans="1:27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</row>
    <row r="113" ht="15.75" customHeight="1" spans="1:27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</row>
    <row r="114" ht="15.75" customHeight="1" spans="1:27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</row>
    <row r="115" ht="15.75" customHeight="1" spans="1:27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</row>
    <row r="116" ht="15.75" customHeight="1" spans="1:27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</row>
    <row r="117" ht="15.75" customHeight="1" spans="1:2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</row>
    <row r="118" ht="15.75" customHeight="1" spans="1:27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</row>
    <row r="119" ht="15.75" customHeight="1" spans="1:27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</row>
    <row r="120" ht="15.75" customHeight="1" spans="1:27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</row>
    <row r="121" ht="15.75" customHeight="1" spans="1:27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</row>
    <row r="122" ht="15.75" customHeight="1" spans="1:27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</row>
    <row r="123" ht="15.75" customHeight="1" spans="1:27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</row>
    <row r="124" ht="15.75" customHeight="1" spans="1:27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</row>
    <row r="125" ht="15.75" customHeight="1" spans="1:27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</row>
    <row r="126" ht="15.75" customHeight="1" spans="1:27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</row>
    <row r="127" ht="15.75" customHeight="1" spans="1: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</row>
    <row r="128" ht="15.75" customHeight="1" spans="1:27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</row>
    <row r="129" ht="15.75" customHeight="1" spans="1:27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 ht="15.75" customHeight="1" spans="1:27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 ht="15.75" customHeight="1" spans="1:27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 ht="15.75" customHeight="1" spans="1:27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</row>
    <row r="133" ht="15.75" customHeight="1" spans="1:27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</row>
    <row r="134" ht="15.75" customHeight="1" spans="1:27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</row>
    <row r="135" ht="15.75" customHeight="1" spans="1:27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</row>
    <row r="136" ht="15.75" customHeight="1" spans="1:27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</row>
    <row r="137" ht="15.75" customHeight="1" spans="1:2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</row>
    <row r="138" ht="15.75" customHeight="1" spans="1:27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</row>
    <row r="139" ht="15.75" customHeight="1" spans="1:27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</row>
    <row r="140" ht="15.75" customHeight="1" spans="1:27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</row>
    <row r="141" ht="15.75" customHeight="1" spans="1:27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</row>
    <row r="142" ht="15.75" customHeight="1" spans="1:27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</row>
    <row r="143" ht="15.75" customHeight="1" spans="1:27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</row>
    <row r="144" ht="15.75" customHeight="1" spans="1:27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</row>
    <row r="145" ht="15.75" customHeight="1" spans="1:27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</row>
    <row r="146" ht="15.75" customHeight="1" spans="1:27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</row>
    <row r="147" ht="15.75" customHeight="1" spans="1:2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</row>
    <row r="148" ht="15.75" customHeight="1" spans="1:27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</row>
    <row r="149" ht="15.75" customHeight="1" spans="1:27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</row>
    <row r="150" ht="15.75" customHeight="1" spans="1:27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</row>
    <row r="151" ht="15.75" customHeight="1" spans="1:27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</row>
    <row r="152" ht="15.75" customHeight="1" spans="1:27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</row>
    <row r="153" ht="15.75" customHeight="1" spans="1:27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</row>
    <row r="154" ht="15.75" customHeight="1" spans="1:27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</row>
    <row r="155" ht="15.75" customHeight="1" spans="1:27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</row>
    <row r="156" ht="15.75" customHeight="1" spans="1:27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</row>
    <row r="157" ht="15.75" customHeight="1" spans="1:2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</row>
    <row r="158" ht="15.75" customHeight="1" spans="1:27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</row>
    <row r="159" ht="15.75" customHeight="1" spans="1:27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</row>
    <row r="160" ht="15.75" customHeight="1" spans="1:27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</row>
    <row r="161" ht="15.75" customHeight="1" spans="1:27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</row>
    <row r="162" ht="15.75" customHeight="1" spans="1:27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</row>
    <row r="163" ht="15.75" customHeight="1" spans="1:27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</row>
    <row r="164" ht="15.75" customHeight="1" spans="1:27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</row>
    <row r="165" ht="15.75" customHeight="1" spans="1:27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</row>
    <row r="166" ht="15.75" customHeight="1" spans="1:27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</row>
    <row r="167" ht="15.75" customHeight="1" spans="1:2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</row>
    <row r="168" ht="15.75" customHeight="1" spans="1:27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</row>
    <row r="169" ht="15.75" customHeight="1" spans="1:27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</row>
    <row r="170" ht="15.75" customHeight="1" spans="1:27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</row>
    <row r="171" ht="15.75" customHeight="1" spans="1:27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</row>
    <row r="172" ht="15.75" customHeight="1" spans="1:27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</row>
    <row r="173" ht="15.75" customHeight="1" spans="1:27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</row>
    <row r="174" ht="15.75" customHeight="1" spans="1:27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</row>
    <row r="175" ht="15.75" customHeight="1" spans="1:27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</row>
    <row r="176" ht="15.75" customHeight="1" spans="1:27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</row>
    <row r="177" ht="15.75" customHeight="1" spans="1:2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</row>
    <row r="178" ht="15.75" customHeight="1" spans="1:27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</row>
    <row r="179" ht="15.75" customHeight="1" spans="1:27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</row>
    <row r="180" ht="15.75" customHeight="1" spans="1:27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</row>
    <row r="181" ht="15.75" customHeight="1" spans="1:27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</row>
    <row r="182" ht="15.75" customHeight="1" spans="1:27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</row>
    <row r="183" ht="15.75" customHeight="1" spans="1:27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</row>
    <row r="184" ht="15.75" customHeight="1" spans="1:27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</row>
    <row r="185" ht="15.75" customHeight="1" spans="1:27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</row>
    <row r="186" ht="15.75" customHeight="1" spans="1:27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</row>
    <row r="187" ht="15.75" customHeight="1" spans="1:2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</row>
    <row r="188" ht="15.75" customHeight="1" spans="1:27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</row>
    <row r="189" ht="15.75" customHeight="1" spans="1:27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</row>
    <row r="190" ht="15.75" customHeight="1" spans="1:27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</row>
    <row r="191" ht="15.75" customHeight="1" spans="1:27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</row>
    <row r="192" ht="15.75" customHeight="1" spans="1:27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</row>
    <row r="193" ht="15.75" customHeight="1" spans="1:27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</row>
    <row r="194" ht="15.75" customHeight="1" spans="1:27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</row>
    <row r="195" ht="15.75" customHeight="1" spans="1:27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</row>
    <row r="196" ht="15.75" customHeight="1" spans="1:27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</row>
    <row r="197" ht="15.75" customHeight="1" spans="1:2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</row>
    <row r="198" ht="15.75" customHeight="1" spans="1:27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</row>
    <row r="199" ht="15.75" customHeight="1" spans="1:27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</row>
    <row r="200" ht="15.75" customHeight="1" spans="1:27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</row>
    <row r="201" ht="15.75" customHeight="1" spans="1:27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</row>
    <row r="202" ht="15.75" customHeight="1" spans="1:27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</row>
    <row r="203" ht="15.75" customHeight="1" spans="1:27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</row>
    <row r="204" ht="15.75" customHeight="1" spans="1:27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</row>
    <row r="205" ht="15.75" customHeight="1" spans="1:27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</row>
    <row r="206" ht="15.75" customHeight="1" spans="1:27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</row>
    <row r="207" ht="15.75" customHeight="1" spans="1:2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</row>
    <row r="208" ht="15.75" customHeight="1" spans="1:27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</row>
    <row r="209" ht="15.75" customHeight="1" spans="1:27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</row>
    <row r="210" ht="15.75" customHeight="1" spans="1:27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</row>
    <row r="211" ht="15.75" customHeight="1" spans="1:27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</row>
    <row r="212" ht="15.75" customHeight="1" spans="1:27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</row>
    <row r="213" ht="15.75" customHeight="1" spans="1:27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</row>
    <row r="214" ht="15.75" customHeight="1" spans="1:27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</row>
    <row r="215" ht="15.75" customHeight="1" spans="1:27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</row>
    <row r="216" ht="15.75" customHeight="1" spans="1:27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</row>
    <row r="217" ht="15.75" customHeight="1" spans="1:2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</row>
    <row r="218" ht="15.75" customHeight="1" spans="1:27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</row>
    <row r="219" ht="15.75" customHeight="1" spans="1:27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</row>
    <row r="220" ht="15.75" customHeight="1" spans="1:27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</row>
    <row r="221" ht="15.75" customHeight="1" spans="1:27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</row>
    <row r="222" ht="15.75" customHeight="1" spans="1:27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</row>
    <row r="223" ht="15.75" customHeight="1" spans="1:27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</row>
    <row r="224" ht="15.75" customHeight="1" spans="1:27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</row>
    <row r="225" ht="15.75" customHeight="1" spans="1:27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</row>
    <row r="226" ht="15.75" customHeight="1" spans="1:27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</row>
    <row r="227" ht="15.75" customHeight="1" spans="1: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</row>
    <row r="228" ht="15.75" customHeight="1" spans="1:27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</row>
    <row r="229" ht="15.75" customHeight="1" spans="1:27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</row>
    <row r="230" ht="15.75" customHeight="1" spans="1:27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</row>
    <row r="231" ht="15.75" customHeight="1" spans="1:27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</row>
    <row r="232" ht="15.75" customHeight="1" spans="1:27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</row>
    <row r="233" ht="15.75" customHeight="1" spans="1:27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</row>
    <row r="234" ht="15.75" customHeight="1" spans="1:27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</row>
    <row r="235" ht="15.75" customHeight="1" spans="1:27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</row>
    <row r="236" ht="15.75" customHeight="1" spans="1:27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</row>
    <row r="237" ht="15.75" customHeight="1" spans="1:2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</row>
    <row r="238" ht="15.75" customHeight="1" spans="1:27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</row>
    <row r="239" ht="15.75" customHeight="1" spans="1:27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</row>
    <row r="240" ht="15.75" customHeight="1" spans="1:27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</row>
    <row r="241" ht="15.75" customHeight="1" spans="1:27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</row>
    <row r="242" ht="15.75" customHeight="1" spans="1:27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</row>
    <row r="243" ht="15.75" customHeight="1" spans="1:27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</row>
    <row r="244" ht="15.75" customHeight="1" spans="1:27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</row>
    <row r="245" ht="15.75" customHeight="1" spans="1:27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</row>
    <row r="246" ht="15.75" customHeight="1" spans="1:27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</row>
    <row r="247" ht="15.75" customHeight="1" spans="1:2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</row>
    <row r="248" ht="15.75" customHeight="1" spans="1:27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</row>
    <row r="249" ht="15.75" customHeight="1" spans="1:27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</row>
    <row r="250" ht="15.75" customHeight="1" spans="1:27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</row>
    <row r="251" ht="15.75" customHeight="1" spans="1:27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</row>
    <row r="252" ht="15.75" customHeight="1" spans="1:27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</row>
    <row r="253" ht="15.75" customHeight="1" spans="1:27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</row>
    <row r="254" ht="15.75" customHeight="1" spans="1:27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14">
    <mergeCell ref="Q2:T2"/>
    <mergeCell ref="Q3:T3"/>
    <mergeCell ref="Q4:T4"/>
    <mergeCell ref="B7:C7"/>
    <mergeCell ref="D7:F7"/>
    <mergeCell ref="K7:L7"/>
    <mergeCell ref="O7:P7"/>
    <mergeCell ref="Q7:R7"/>
    <mergeCell ref="B9:C9"/>
    <mergeCell ref="D9:F9"/>
    <mergeCell ref="K9:L9"/>
    <mergeCell ref="O9:P9"/>
    <mergeCell ref="Q9:R9"/>
    <mergeCell ref="B11:C11"/>
    <mergeCell ref="D11:E11"/>
    <mergeCell ref="K11:L11"/>
    <mergeCell ref="O11:P11"/>
    <mergeCell ref="Q11:R11"/>
    <mergeCell ref="K13:L13"/>
    <mergeCell ref="O13:P13"/>
    <mergeCell ref="Q13:R13"/>
    <mergeCell ref="K15:L15"/>
    <mergeCell ref="O15:P15"/>
    <mergeCell ref="Q15:R15"/>
    <mergeCell ref="K17:L17"/>
    <mergeCell ref="O17:P17"/>
    <mergeCell ref="Q17:R17"/>
    <mergeCell ref="C20:D20"/>
    <mergeCell ref="E20:S20"/>
    <mergeCell ref="C21:D21"/>
    <mergeCell ref="E21:S21"/>
    <mergeCell ref="C22:D22"/>
    <mergeCell ref="E22:S22"/>
    <mergeCell ref="C23:D23"/>
    <mergeCell ref="E23:S23"/>
    <mergeCell ref="C24:D24"/>
    <mergeCell ref="E24:S24"/>
    <mergeCell ref="C25:D25"/>
    <mergeCell ref="E25:S25"/>
    <mergeCell ref="C26:D26"/>
    <mergeCell ref="E26:S26"/>
    <mergeCell ref="M28:N28"/>
    <mergeCell ref="M29:N29"/>
    <mergeCell ref="C30:D30"/>
    <mergeCell ref="G30:J30"/>
    <mergeCell ref="K30:L30"/>
    <mergeCell ref="M30:N30"/>
    <mergeCell ref="P30:S30"/>
    <mergeCell ref="C31:D31"/>
    <mergeCell ref="G31:J31"/>
    <mergeCell ref="K31:L31"/>
    <mergeCell ref="M31:N31"/>
    <mergeCell ref="P31:S31"/>
    <mergeCell ref="C32:D32"/>
    <mergeCell ref="G32:J32"/>
    <mergeCell ref="K32:L32"/>
    <mergeCell ref="M32:N32"/>
    <mergeCell ref="P32:S32"/>
    <mergeCell ref="C33:D33"/>
    <mergeCell ref="G33:J33"/>
    <mergeCell ref="K33:L33"/>
    <mergeCell ref="M33:N33"/>
    <mergeCell ref="P33:S33"/>
    <mergeCell ref="C34:D34"/>
    <mergeCell ref="G34:J34"/>
    <mergeCell ref="K34:L34"/>
    <mergeCell ref="M34:N34"/>
    <mergeCell ref="P34:S34"/>
    <mergeCell ref="C35:D35"/>
    <mergeCell ref="G35:J35"/>
    <mergeCell ref="K35:L35"/>
    <mergeCell ref="M35:N35"/>
    <mergeCell ref="P35:S35"/>
    <mergeCell ref="C37:D37"/>
    <mergeCell ref="C38:D38"/>
    <mergeCell ref="C39:D39"/>
    <mergeCell ref="E39:K39"/>
    <mergeCell ref="L39:S39"/>
    <mergeCell ref="C40:D40"/>
    <mergeCell ref="E40:K40"/>
    <mergeCell ref="L40:S40"/>
    <mergeCell ref="C41:D41"/>
    <mergeCell ref="E41:K41"/>
    <mergeCell ref="L41:S41"/>
    <mergeCell ref="C42:D42"/>
    <mergeCell ref="E42:K42"/>
    <mergeCell ref="L42:S42"/>
    <mergeCell ref="C43:D43"/>
    <mergeCell ref="E43:K43"/>
    <mergeCell ref="L43:S43"/>
    <mergeCell ref="C44:D44"/>
    <mergeCell ref="E44:K44"/>
    <mergeCell ref="L44:S44"/>
    <mergeCell ref="C45:D45"/>
    <mergeCell ref="E45:K45"/>
    <mergeCell ref="L45:S45"/>
    <mergeCell ref="E47:G47"/>
    <mergeCell ref="O47:Q47"/>
    <mergeCell ref="E48:G48"/>
    <mergeCell ref="O48:Q48"/>
    <mergeCell ref="E51:G51"/>
    <mergeCell ref="O51:Q51"/>
    <mergeCell ref="R51:S51"/>
    <mergeCell ref="O52:Q52"/>
    <mergeCell ref="C53:E53"/>
    <mergeCell ref="R53:T53"/>
    <mergeCell ref="F28:F29"/>
    <mergeCell ref="O28:O29"/>
    <mergeCell ref="G28:J29"/>
    <mergeCell ref="C28:D29"/>
    <mergeCell ref="K28:L29"/>
    <mergeCell ref="P28:S29"/>
    <mergeCell ref="E37:S38"/>
    <mergeCell ref="E3:O4"/>
  </mergeCells>
  <printOptions horizontalCentered="1" verticalCentered="1"/>
  <pageMargins left="0.25" right="0.25" top="0" bottom="0" header="0" footer="0"/>
  <pageSetup paperSize="9" fitToHeight="0" orientation="portrait"/>
  <headerFooter>
    <oddFooter>&amp;CPage &amp;P of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2:BJ1000"/>
  <sheetViews>
    <sheetView workbookViewId="0">
      <selection activeCell="A1" sqref="A1"/>
    </sheetView>
  </sheetViews>
  <sheetFormatPr defaultColWidth="12.6271186440678" defaultRowHeight="15" customHeight="1"/>
  <cols>
    <col min="1" max="1" width="3.5" customWidth="1"/>
    <col min="2" max="2" width="3" customWidth="1"/>
    <col min="3" max="3" width="8" customWidth="1"/>
    <col min="4" max="4" width="1.6271186440678" customWidth="1"/>
    <col min="5" max="5" width="4.5" customWidth="1"/>
    <col min="6" max="6" width="5.75423728813559" customWidth="1"/>
    <col min="7" max="7" width="8.25423728813559" customWidth="1"/>
    <col min="8" max="8" width="2.38135593220339" customWidth="1"/>
    <col min="9" max="10" width="2.1271186440678" customWidth="1"/>
    <col min="11" max="11" width="2" customWidth="1"/>
    <col min="12" max="12" width="4.5" customWidth="1"/>
    <col min="13" max="13" width="4.6271186440678" customWidth="1"/>
    <col min="14" max="14" width="5.25423728813559" customWidth="1"/>
    <col min="15" max="15" width="3" customWidth="1"/>
    <col min="16" max="16" width="8" customWidth="1"/>
    <col min="17" max="17" width="1.6271186440678" customWidth="1"/>
    <col min="18" max="18" width="4.5" customWidth="1"/>
    <col min="19" max="19" width="7.1271186440678" customWidth="1"/>
    <col min="20" max="20" width="8.25423728813559" customWidth="1"/>
    <col min="21" max="21" width="2.38135593220339" customWidth="1"/>
    <col min="22" max="23" width="2.1271186440678" customWidth="1"/>
    <col min="24" max="24" width="2" customWidth="1"/>
    <col min="25" max="25" width="5.1271186440678" customWidth="1"/>
    <col min="26" max="26" width="4.6271186440678" customWidth="1"/>
    <col min="27" max="27" width="5.5" customWidth="1"/>
    <col min="28" max="28" width="3" customWidth="1"/>
    <col min="29" max="29" width="8" customWidth="1"/>
    <col min="30" max="30" width="1.6271186440678" customWidth="1"/>
    <col min="31" max="32" width="4.5" customWidth="1"/>
    <col min="33" max="33" width="8.25423728813559" customWidth="1"/>
    <col min="34" max="34" width="2.38135593220339" customWidth="1"/>
    <col min="35" max="36" width="2.1271186440678" customWidth="1"/>
    <col min="37" max="37" width="2" customWidth="1"/>
    <col min="38" max="38" width="5.5" customWidth="1"/>
    <col min="39" max="39" width="4.6271186440678" customWidth="1"/>
    <col min="40" max="40" width="3.5" customWidth="1"/>
    <col min="41" max="41" width="3" customWidth="1"/>
    <col min="42" max="42" width="8" customWidth="1"/>
    <col min="43" max="43" width="1.6271186440678" customWidth="1"/>
    <col min="44" max="45" width="4.5" customWidth="1"/>
    <col min="46" max="46" width="8.25423728813559" customWidth="1"/>
    <col min="47" max="47" width="2.38135593220339" customWidth="1"/>
    <col min="48" max="49" width="2.1271186440678" customWidth="1"/>
    <col min="50" max="50" width="2" customWidth="1"/>
    <col min="51" max="51" width="4.5" customWidth="1"/>
    <col min="52" max="52" width="4.6271186440678" customWidth="1"/>
    <col min="53" max="53" width="2" customWidth="1"/>
    <col min="54" max="54" width="10.1271186440678" customWidth="1"/>
    <col min="55" max="57" width="8" customWidth="1"/>
    <col min="58" max="58" width="10" customWidth="1"/>
    <col min="59" max="62" width="8" customWidth="1"/>
  </cols>
  <sheetData>
    <row r="2" ht="18.4" spans="1:62">
      <c r="A2" s="140" t="str">
        <f>BB3</f>
        <v>PKAZJ</v>
      </c>
      <c r="B2" s="65"/>
      <c r="C2" s="65"/>
      <c r="D2" s="65"/>
      <c r="E2" s="65"/>
      <c r="F2" s="66"/>
      <c r="N2" s="141"/>
      <c r="AA2" s="141"/>
      <c r="AN2" s="141"/>
      <c r="BB2" s="387">
        <f ca="1">TODAY()</f>
        <v>46283</v>
      </c>
      <c r="BH2" s="388" t="s">
        <v>0</v>
      </c>
      <c r="BI2" s="15"/>
    </row>
    <row r="3" ht="19.05" spans="1:62">
      <c r="A3" s="145" t="s">
        <v>71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7"/>
      <c r="N3" s="145" t="s">
        <v>71</v>
      </c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7"/>
      <c r="AA3" s="145" t="s">
        <v>71</v>
      </c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7"/>
      <c r="AN3" s="145" t="s">
        <v>71</v>
      </c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7"/>
      <c r="BB3" s="392" t="s">
        <v>140</v>
      </c>
      <c r="BC3" s="358"/>
      <c r="BD3" s="358"/>
      <c r="BE3" s="358"/>
      <c r="BF3" s="358"/>
      <c r="BG3" s="358"/>
      <c r="BH3" s="484">
        <f>BE4-BJ3</f>
        <v>0.98611111111111</v>
      </c>
      <c r="BI3" s="150"/>
      <c r="BJ3" s="485">
        <v>0.25</v>
      </c>
    </row>
    <row r="4" ht="19.05" spans="1:62">
      <c r="A4" s="157"/>
      <c r="B4" s="153" t="s">
        <v>73</v>
      </c>
      <c r="C4" s="154"/>
      <c r="D4" s="154"/>
      <c r="E4" s="154"/>
      <c r="F4" s="154"/>
      <c r="G4" s="153"/>
      <c r="H4" s="153"/>
      <c r="I4" s="153"/>
      <c r="J4" s="155">
        <v>1</v>
      </c>
      <c r="K4" s="65"/>
      <c r="L4" s="66"/>
      <c r="M4" s="156"/>
      <c r="N4" s="157"/>
      <c r="O4" s="153" t="s">
        <v>73</v>
      </c>
      <c r="P4" s="154"/>
      <c r="Q4" s="154"/>
      <c r="R4" s="154"/>
      <c r="S4" s="154"/>
      <c r="T4" s="153"/>
      <c r="U4" s="153"/>
      <c r="V4" s="153"/>
      <c r="W4" s="155">
        <v>2</v>
      </c>
      <c r="X4" s="65"/>
      <c r="Y4" s="66"/>
      <c r="Z4" s="156"/>
      <c r="AA4" s="157"/>
      <c r="AB4" s="158" t="s">
        <v>73</v>
      </c>
      <c r="AC4" s="154"/>
      <c r="AD4" s="154"/>
      <c r="AE4" s="154"/>
      <c r="AF4" s="154"/>
      <c r="AG4" s="158"/>
      <c r="AH4" s="158"/>
      <c r="AI4" s="158"/>
      <c r="AJ4" s="159">
        <v>3</v>
      </c>
      <c r="AK4" s="65"/>
      <c r="AL4" s="66"/>
      <c r="AM4" s="160"/>
      <c r="AN4" s="152"/>
      <c r="AO4" s="158" t="s">
        <v>73</v>
      </c>
      <c r="AP4" s="154"/>
      <c r="AQ4" s="154"/>
      <c r="AR4" s="154"/>
      <c r="AS4" s="154"/>
      <c r="AT4" s="158"/>
      <c r="AU4" s="158"/>
      <c r="AV4" s="158"/>
      <c r="AW4" s="159">
        <v>4</v>
      </c>
      <c r="AX4" s="65"/>
      <c r="AY4" s="66"/>
      <c r="AZ4" s="156"/>
      <c r="BB4" s="487" t="s">
        <v>141</v>
      </c>
      <c r="BC4" s="487" t="s">
        <v>3</v>
      </c>
      <c r="BD4" s="487" t="s">
        <v>142</v>
      </c>
      <c r="BE4" s="525">
        <v>1.23611111111111</v>
      </c>
      <c r="BF4" s="525">
        <v>0.336805555555556</v>
      </c>
      <c r="BG4" s="358"/>
      <c r="BH4" s="358"/>
      <c r="BI4" s="358"/>
      <c r="BJ4" s="358"/>
    </row>
    <row r="5" ht="18.3" spans="1:62">
      <c r="A5" s="157"/>
      <c r="B5" s="163"/>
      <c r="C5" s="163"/>
      <c r="D5" s="164"/>
      <c r="E5" s="165"/>
      <c r="F5" s="165"/>
      <c r="G5" s="165"/>
      <c r="H5" s="165"/>
      <c r="I5" s="165"/>
      <c r="J5" s="164"/>
      <c r="K5" s="164"/>
      <c r="L5" s="166"/>
      <c r="M5" s="156"/>
      <c r="N5" s="157"/>
      <c r="O5" s="163"/>
      <c r="P5" s="163"/>
      <c r="Q5" s="164"/>
      <c r="R5" s="165"/>
      <c r="S5" s="165"/>
      <c r="T5" s="165"/>
      <c r="U5" s="165"/>
      <c r="V5" s="165"/>
      <c r="W5" s="164"/>
      <c r="X5" s="164"/>
      <c r="Y5" s="166"/>
      <c r="Z5" s="156"/>
      <c r="AA5" s="157"/>
      <c r="AB5" s="167"/>
      <c r="AC5" s="167"/>
      <c r="AD5" s="168"/>
      <c r="AE5" s="169"/>
      <c r="AF5" s="169"/>
      <c r="AG5" s="169"/>
      <c r="AH5" s="169"/>
      <c r="AI5" s="169"/>
      <c r="AJ5" s="168"/>
      <c r="AK5" s="168"/>
      <c r="AL5" s="170"/>
      <c r="AM5" s="160"/>
      <c r="AN5" s="152"/>
      <c r="AO5" s="167"/>
      <c r="AP5" s="167"/>
      <c r="AQ5" s="168"/>
      <c r="AR5" s="169"/>
      <c r="AS5" s="169"/>
      <c r="AT5" s="169"/>
      <c r="AU5" s="169"/>
      <c r="AV5" s="169"/>
      <c r="AW5" s="168"/>
      <c r="AX5" s="168"/>
      <c r="AY5" s="170"/>
      <c r="AZ5" s="156"/>
      <c r="BB5" s="487" t="s">
        <v>143</v>
      </c>
      <c r="BC5" s="487" t="str">
        <f>BD4</f>
        <v>LBJ</v>
      </c>
      <c r="BD5" s="487" t="s">
        <v>3</v>
      </c>
      <c r="BE5" s="525">
        <v>0.357638888888889</v>
      </c>
      <c r="BF5" s="525">
        <v>0.454861111111111</v>
      </c>
      <c r="BG5" s="358"/>
      <c r="BH5" s="358"/>
      <c r="BI5" s="358"/>
      <c r="BJ5" s="358"/>
    </row>
    <row r="6" ht="18" customHeight="1" spans="1:62">
      <c r="A6" s="157"/>
      <c r="B6" s="172" t="s">
        <v>77</v>
      </c>
      <c r="C6" s="97"/>
      <c r="D6" s="98"/>
      <c r="E6" s="173" t="str">
        <f>BB4</f>
        <v>AWQ 860</v>
      </c>
      <c r="F6" s="98"/>
      <c r="G6" s="409" t="s">
        <v>78</v>
      </c>
      <c r="H6" s="173"/>
      <c r="I6" s="97"/>
      <c r="J6" s="97"/>
      <c r="K6" s="97"/>
      <c r="L6" s="98"/>
      <c r="M6" s="156"/>
      <c r="N6" s="157"/>
      <c r="O6" s="172" t="s">
        <v>77</v>
      </c>
      <c r="P6" s="97"/>
      <c r="Q6" s="98"/>
      <c r="R6" s="173" t="str">
        <f>BB5</f>
        <v>AWQ 861</v>
      </c>
      <c r="S6" s="98"/>
      <c r="T6" s="409" t="s">
        <v>78</v>
      </c>
      <c r="U6" s="408"/>
      <c r="V6" s="97"/>
      <c r="W6" s="97"/>
      <c r="X6" s="97"/>
      <c r="Y6" s="98"/>
      <c r="Z6" s="156"/>
      <c r="AA6" s="157"/>
      <c r="AB6" s="176" t="s">
        <v>77</v>
      </c>
      <c r="AC6" s="97"/>
      <c r="AD6" s="98"/>
      <c r="AE6" s="526" t="str">
        <f>BB6</f>
        <v>AWQ 7532</v>
      </c>
      <c r="AF6" s="98"/>
      <c r="AG6" s="527" t="s">
        <v>78</v>
      </c>
      <c r="AH6" s="526"/>
      <c r="AI6" s="97"/>
      <c r="AJ6" s="97"/>
      <c r="AK6" s="97"/>
      <c r="AL6" s="98"/>
      <c r="AM6" s="160"/>
      <c r="AN6" s="152"/>
      <c r="AO6" s="176" t="s">
        <v>77</v>
      </c>
      <c r="AP6" s="97"/>
      <c r="AQ6" s="98"/>
      <c r="AR6" s="526" t="str">
        <f>BB7</f>
        <v>AWQ 7531</v>
      </c>
      <c r="AS6" s="98"/>
      <c r="AT6" s="527" t="s">
        <v>78</v>
      </c>
      <c r="AU6" s="526"/>
      <c r="AV6" s="97"/>
      <c r="AW6" s="97"/>
      <c r="AX6" s="97"/>
      <c r="AY6" s="98"/>
      <c r="AZ6" s="156"/>
      <c r="BB6" s="492" t="s">
        <v>144</v>
      </c>
      <c r="BC6" s="492" t="s">
        <v>3</v>
      </c>
      <c r="BD6" s="492" t="s">
        <v>145</v>
      </c>
      <c r="BE6" s="493">
        <v>0.138888888888889</v>
      </c>
      <c r="BF6" s="493">
        <v>0.215277777777778</v>
      </c>
      <c r="BG6" s="358"/>
      <c r="BH6" s="358"/>
      <c r="BI6" s="358"/>
      <c r="BJ6" s="358"/>
    </row>
    <row r="7" ht="18" customHeight="1" spans="1:62">
      <c r="A7" s="157"/>
      <c r="B7" s="172" t="s">
        <v>81</v>
      </c>
      <c r="C7" s="97"/>
      <c r="D7" s="98"/>
      <c r="E7" s="182" t="str">
        <f>BB3</f>
        <v>PKAZJ</v>
      </c>
      <c r="F7" s="98"/>
      <c r="G7" s="409" t="s">
        <v>82</v>
      </c>
      <c r="H7" s="183">
        <f>BE4</f>
        <v>1.23611111111111</v>
      </c>
      <c r="I7" s="97"/>
      <c r="J7" s="97"/>
      <c r="K7" s="97"/>
      <c r="L7" s="98"/>
      <c r="M7" s="184"/>
      <c r="N7" s="157"/>
      <c r="O7" s="172" t="s">
        <v>81</v>
      </c>
      <c r="P7" s="97"/>
      <c r="Q7" s="98"/>
      <c r="R7" s="182" t="str">
        <f>E7</f>
        <v>PKAZJ</v>
      </c>
      <c r="S7" s="98"/>
      <c r="T7" s="409" t="s">
        <v>82</v>
      </c>
      <c r="U7" s="183">
        <f>BE5</f>
        <v>0.357638888888889</v>
      </c>
      <c r="V7" s="97"/>
      <c r="W7" s="97"/>
      <c r="X7" s="97"/>
      <c r="Y7" s="98"/>
      <c r="Z7" s="184"/>
      <c r="AA7" s="157"/>
      <c r="AB7" s="176" t="s">
        <v>81</v>
      </c>
      <c r="AC7" s="97"/>
      <c r="AD7" s="98"/>
      <c r="AE7" s="528" t="str">
        <f>R7</f>
        <v>PKAZJ</v>
      </c>
      <c r="AF7" s="98"/>
      <c r="AG7" s="527" t="s">
        <v>82</v>
      </c>
      <c r="AH7" s="529">
        <f>BE6</f>
        <v>0.138888888888889</v>
      </c>
      <c r="AI7" s="97"/>
      <c r="AJ7" s="97"/>
      <c r="AK7" s="97"/>
      <c r="AL7" s="98"/>
      <c r="AM7" s="189"/>
      <c r="AN7" s="152"/>
      <c r="AO7" s="176" t="s">
        <v>81</v>
      </c>
      <c r="AP7" s="97"/>
      <c r="AQ7" s="98"/>
      <c r="AR7" s="530" t="str">
        <f>AE7</f>
        <v>PKAZJ</v>
      </c>
      <c r="AS7" s="98"/>
      <c r="AT7" s="527" t="s">
        <v>82</v>
      </c>
      <c r="AU7" s="529">
        <f>BE7</f>
        <v>0.232638888888889</v>
      </c>
      <c r="AV7" s="97"/>
      <c r="AW7" s="97"/>
      <c r="AX7" s="97"/>
      <c r="AY7" s="98"/>
      <c r="AZ7" s="184"/>
      <c r="BB7" s="492" t="s">
        <v>146</v>
      </c>
      <c r="BC7" s="492" t="str">
        <f>BD6</f>
        <v>DPS</v>
      </c>
      <c r="BD7" s="492" t="s">
        <v>3</v>
      </c>
      <c r="BE7" s="493">
        <v>0.232638888888889</v>
      </c>
      <c r="BF7" s="493">
        <v>0.309027777777778</v>
      </c>
      <c r="BG7" s="358"/>
      <c r="BH7" s="358"/>
      <c r="BI7" s="358"/>
      <c r="BJ7" s="358"/>
    </row>
    <row r="8" ht="18" customHeight="1" spans="1:62">
      <c r="A8" s="157"/>
      <c r="B8" s="172" t="s">
        <v>84</v>
      </c>
      <c r="C8" s="97"/>
      <c r="D8" s="98"/>
      <c r="E8" s="173" t="str">
        <f>BC4</f>
        <v>CGK</v>
      </c>
      <c r="F8" s="98"/>
      <c r="G8" s="409" t="s">
        <v>85</v>
      </c>
      <c r="H8" s="192">
        <f>BD11</f>
        <v>1062</v>
      </c>
      <c r="I8" s="97"/>
      <c r="J8" s="97"/>
      <c r="K8" s="97"/>
      <c r="L8" s="98"/>
      <c r="M8" s="184"/>
      <c r="N8" s="157"/>
      <c r="O8" s="172" t="s">
        <v>84</v>
      </c>
      <c r="P8" s="97"/>
      <c r="Q8" s="98"/>
      <c r="R8" s="173" t="str">
        <f>BC5</f>
        <v>LBJ</v>
      </c>
      <c r="S8" s="98"/>
      <c r="T8" s="409" t="s">
        <v>85</v>
      </c>
      <c r="U8" s="192">
        <f>BD12</f>
        <v>182</v>
      </c>
      <c r="V8" s="97"/>
      <c r="W8" s="97"/>
      <c r="X8" s="97"/>
      <c r="Y8" s="98"/>
      <c r="Z8" s="184"/>
      <c r="AA8" s="157"/>
      <c r="AB8" s="176" t="s">
        <v>84</v>
      </c>
      <c r="AC8" s="97"/>
      <c r="AD8" s="98"/>
      <c r="AE8" s="526" t="str">
        <f>BC6</f>
        <v>CGK</v>
      </c>
      <c r="AF8" s="98"/>
      <c r="AG8" s="527" t="s">
        <v>85</v>
      </c>
      <c r="AH8" s="531">
        <f>BD13</f>
        <v>0</v>
      </c>
      <c r="AI8" s="97"/>
      <c r="AJ8" s="97"/>
      <c r="AK8" s="97"/>
      <c r="AL8" s="98"/>
      <c r="AM8" s="189"/>
      <c r="AN8" s="152"/>
      <c r="AO8" s="176" t="s">
        <v>84</v>
      </c>
      <c r="AP8" s="97"/>
      <c r="AQ8" s="98"/>
      <c r="AR8" s="526" t="str">
        <f>BC7</f>
        <v>DPS</v>
      </c>
      <c r="AS8" s="98"/>
      <c r="AT8" s="527" t="s">
        <v>85</v>
      </c>
      <c r="AU8" s="531">
        <f>BD14</f>
        <v>0</v>
      </c>
      <c r="AV8" s="97"/>
      <c r="AW8" s="97"/>
      <c r="AX8" s="97"/>
      <c r="AY8" s="98"/>
      <c r="AZ8" s="184"/>
      <c r="BB8" s="358"/>
      <c r="BC8" s="358"/>
      <c r="BD8" s="358"/>
      <c r="BE8" s="358"/>
      <c r="BF8" s="358"/>
      <c r="BG8" s="358"/>
      <c r="BH8" s="358"/>
      <c r="BI8" s="358"/>
      <c r="BJ8" s="358"/>
    </row>
    <row r="9" ht="18" customHeight="1" spans="1:62">
      <c r="A9" s="157"/>
      <c r="B9" s="172" t="s">
        <v>86</v>
      </c>
      <c r="C9" s="97"/>
      <c r="D9" s="98"/>
      <c r="E9" s="195">
        <f ca="1">BB2</f>
        <v>46283</v>
      </c>
      <c r="F9" s="98"/>
      <c r="G9" s="409" t="s">
        <v>87</v>
      </c>
      <c r="H9" s="192">
        <f>BB11</f>
        <v>0</v>
      </c>
      <c r="I9" s="97"/>
      <c r="J9" s="97"/>
      <c r="K9" s="97"/>
      <c r="L9" s="98"/>
      <c r="M9" s="184"/>
      <c r="N9" s="157"/>
      <c r="O9" s="172" t="s">
        <v>86</v>
      </c>
      <c r="P9" s="97"/>
      <c r="Q9" s="98"/>
      <c r="R9" s="195">
        <f ca="1">E9</f>
        <v>46283</v>
      </c>
      <c r="S9" s="98"/>
      <c r="T9" s="409" t="s">
        <v>87</v>
      </c>
      <c r="U9" s="192">
        <f>BB12</f>
        <v>0</v>
      </c>
      <c r="V9" s="97"/>
      <c r="W9" s="97"/>
      <c r="X9" s="97"/>
      <c r="Y9" s="98"/>
      <c r="Z9" s="184"/>
      <c r="AA9" s="157"/>
      <c r="AB9" s="176" t="s">
        <v>86</v>
      </c>
      <c r="AC9" s="97"/>
      <c r="AD9" s="98"/>
      <c r="AE9" s="532">
        <f ca="1">R9</f>
        <v>46283</v>
      </c>
      <c r="AF9" s="98"/>
      <c r="AG9" s="527" t="s">
        <v>87</v>
      </c>
      <c r="AH9" s="531">
        <f>BB13</f>
        <v>0</v>
      </c>
      <c r="AI9" s="97"/>
      <c r="AJ9" s="97"/>
      <c r="AK9" s="97"/>
      <c r="AL9" s="98"/>
      <c r="AM9" s="189"/>
      <c r="AN9" s="152"/>
      <c r="AO9" s="176" t="s">
        <v>86</v>
      </c>
      <c r="AP9" s="97"/>
      <c r="AQ9" s="98"/>
      <c r="AR9" s="532">
        <f ca="1">AE9</f>
        <v>46283</v>
      </c>
      <c r="AS9" s="98"/>
      <c r="AT9" s="527" t="s">
        <v>87</v>
      </c>
      <c r="AU9" s="531">
        <f>BB14</f>
        <v>0</v>
      </c>
      <c r="AV9" s="97"/>
      <c r="AW9" s="97"/>
      <c r="AX9" s="97"/>
      <c r="AY9" s="98"/>
      <c r="AZ9" s="184"/>
      <c r="BB9" s="358"/>
      <c r="BC9" s="358"/>
      <c r="BD9" s="358"/>
      <c r="BE9" s="358"/>
      <c r="BF9" s="358"/>
      <c r="BG9" s="358"/>
      <c r="BH9" s="358"/>
      <c r="BI9" s="358"/>
      <c r="BJ9" s="358"/>
    </row>
    <row r="10" ht="23.25" customHeight="1" spans="1:62">
      <c r="A10" s="157"/>
      <c r="B10" s="197"/>
      <c r="C10" s="197"/>
      <c r="D10" s="198"/>
      <c r="E10" s="198"/>
      <c r="F10" s="199"/>
      <c r="G10" s="199"/>
      <c r="H10" s="200"/>
      <c r="I10" s="199"/>
      <c r="J10" s="199"/>
      <c r="K10" s="199"/>
      <c r="L10" s="199"/>
      <c r="M10" s="201"/>
      <c r="N10" s="157"/>
      <c r="O10" s="197"/>
      <c r="P10" s="197"/>
      <c r="Q10" s="198"/>
      <c r="R10" s="198"/>
      <c r="S10" s="199"/>
      <c r="T10" s="199"/>
      <c r="U10" s="200"/>
      <c r="V10" s="199"/>
      <c r="W10" s="199"/>
      <c r="X10" s="199"/>
      <c r="Y10" s="199"/>
      <c r="Z10" s="201"/>
      <c r="AA10" s="157"/>
      <c r="AB10" s="205"/>
      <c r="AC10" s="205"/>
      <c r="AD10" s="206"/>
      <c r="AE10" s="206"/>
      <c r="AF10" s="533"/>
      <c r="AG10" s="533"/>
      <c r="AH10" s="534"/>
      <c r="AI10" s="533"/>
      <c r="AJ10" s="533"/>
      <c r="AK10" s="533"/>
      <c r="AL10" s="533"/>
      <c r="AM10" s="210"/>
      <c r="AN10" s="152"/>
      <c r="AO10" s="205"/>
      <c r="AP10" s="205"/>
      <c r="AQ10" s="206"/>
      <c r="AR10" s="206"/>
      <c r="AS10" s="533"/>
      <c r="AT10" s="533"/>
      <c r="AU10" s="534"/>
      <c r="AV10" s="533"/>
      <c r="AW10" s="533"/>
      <c r="AX10" s="533"/>
      <c r="AY10" s="533"/>
      <c r="AZ10" s="201"/>
      <c r="BB10" s="496" t="s">
        <v>147</v>
      </c>
      <c r="BC10" s="496" t="s">
        <v>10</v>
      </c>
      <c r="BD10" s="496" t="s">
        <v>148</v>
      </c>
      <c r="BE10" s="496" t="s">
        <v>12</v>
      </c>
      <c r="BF10" s="496" t="s">
        <v>13</v>
      </c>
      <c r="BG10" s="496" t="s">
        <v>89</v>
      </c>
      <c r="BH10" s="496" t="s">
        <v>14</v>
      </c>
      <c r="BI10" s="496" t="s">
        <v>15</v>
      </c>
      <c r="BJ10" s="496" t="s">
        <v>16</v>
      </c>
    </row>
    <row r="11" ht="17.25" customHeight="1" spans="1:62">
      <c r="A11" s="157"/>
      <c r="B11" s="212" t="s">
        <v>91</v>
      </c>
      <c r="C11" s="212"/>
      <c r="D11" s="212"/>
      <c r="E11" s="212"/>
      <c r="F11" s="212"/>
      <c r="G11" s="214">
        <v>66000</v>
      </c>
      <c r="H11" s="97"/>
      <c r="I11" s="97"/>
      <c r="J11" s="97"/>
      <c r="K11" s="97"/>
      <c r="L11" s="98"/>
      <c r="M11" s="215"/>
      <c r="N11" s="157"/>
      <c r="O11" s="212" t="s">
        <v>91</v>
      </c>
      <c r="P11" s="212"/>
      <c r="Q11" s="212"/>
      <c r="R11" s="213"/>
      <c r="S11" s="213"/>
      <c r="T11" s="214">
        <v>66000</v>
      </c>
      <c r="U11" s="97"/>
      <c r="V11" s="97"/>
      <c r="W11" s="97"/>
      <c r="X11" s="97"/>
      <c r="Y11" s="98"/>
      <c r="Z11" s="215"/>
      <c r="AA11" s="157"/>
      <c r="AB11" s="216" t="s">
        <v>91</v>
      </c>
      <c r="AC11" s="216"/>
      <c r="AD11" s="216"/>
      <c r="AE11" s="216"/>
      <c r="AF11" s="216"/>
      <c r="AG11" s="535">
        <v>66000</v>
      </c>
      <c r="AH11" s="97"/>
      <c r="AI11" s="97"/>
      <c r="AJ11" s="97"/>
      <c r="AK11" s="97"/>
      <c r="AL11" s="98"/>
      <c r="AM11" s="218"/>
      <c r="AN11" s="152"/>
      <c r="AO11" s="216" t="s">
        <v>91</v>
      </c>
      <c r="AP11" s="216"/>
      <c r="AQ11" s="216"/>
      <c r="AR11" s="216"/>
      <c r="AS11" s="216"/>
      <c r="AT11" s="535">
        <v>66000</v>
      </c>
      <c r="AU11" s="97"/>
      <c r="AV11" s="97"/>
      <c r="AW11" s="97"/>
      <c r="AX11" s="97"/>
      <c r="AY11" s="98"/>
      <c r="AZ11" s="215"/>
      <c r="BB11" s="497"/>
      <c r="BC11" s="497">
        <v>1062</v>
      </c>
      <c r="BD11" s="497">
        <v>1062</v>
      </c>
      <c r="BE11" s="497">
        <v>1500</v>
      </c>
      <c r="BF11" s="497">
        <f>72+36</f>
        <v>108</v>
      </c>
      <c r="BG11" s="497"/>
      <c r="BH11" s="497" t="s">
        <v>149</v>
      </c>
      <c r="BI11" s="536">
        <v>2000</v>
      </c>
      <c r="BJ11" s="497">
        <v>95.2</v>
      </c>
    </row>
    <row r="12" ht="17.25" customHeight="1" spans="1:62">
      <c r="A12" s="157"/>
      <c r="B12" s="212" t="s">
        <v>93</v>
      </c>
      <c r="C12" s="212"/>
      <c r="D12" s="212"/>
      <c r="E12" s="212"/>
      <c r="F12" s="212"/>
      <c r="G12" s="221">
        <f>H8</f>
        <v>1062</v>
      </c>
      <c r="H12" s="97"/>
      <c r="I12" s="97"/>
      <c r="J12" s="97"/>
      <c r="K12" s="97"/>
      <c r="L12" s="98"/>
      <c r="M12" s="184"/>
      <c r="N12" s="157"/>
      <c r="O12" s="212" t="s">
        <v>93</v>
      </c>
      <c r="P12" s="212"/>
      <c r="Q12" s="212"/>
      <c r="R12" s="213"/>
      <c r="S12" s="213"/>
      <c r="T12" s="221">
        <f>U8</f>
        <v>182</v>
      </c>
      <c r="U12" s="97"/>
      <c r="V12" s="97"/>
      <c r="W12" s="97"/>
      <c r="X12" s="97"/>
      <c r="Y12" s="98"/>
      <c r="Z12" s="184"/>
      <c r="AA12" s="157"/>
      <c r="AB12" s="216" t="s">
        <v>93</v>
      </c>
      <c r="AC12" s="216"/>
      <c r="AD12" s="216"/>
      <c r="AE12" s="216"/>
      <c r="AF12" s="216"/>
      <c r="AG12" s="537">
        <f>AH8</f>
        <v>0</v>
      </c>
      <c r="AH12" s="97"/>
      <c r="AI12" s="97"/>
      <c r="AJ12" s="97"/>
      <c r="AK12" s="97"/>
      <c r="AL12" s="98"/>
      <c r="AM12" s="189"/>
      <c r="AN12" s="152"/>
      <c r="AO12" s="216" t="s">
        <v>93</v>
      </c>
      <c r="AP12" s="216"/>
      <c r="AQ12" s="216"/>
      <c r="AR12" s="216"/>
      <c r="AS12" s="216"/>
      <c r="AT12" s="537">
        <f>AU8</f>
        <v>0</v>
      </c>
      <c r="AU12" s="97"/>
      <c r="AV12" s="97"/>
      <c r="AW12" s="97"/>
      <c r="AX12" s="97"/>
      <c r="AY12" s="98"/>
      <c r="AZ12" s="184"/>
      <c r="BB12" s="498"/>
      <c r="BC12" s="498">
        <v>182</v>
      </c>
      <c r="BD12" s="498">
        <v>182</v>
      </c>
      <c r="BE12" s="498">
        <v>1000</v>
      </c>
      <c r="BF12" s="498">
        <f>72+108</f>
        <v>180</v>
      </c>
      <c r="BG12" s="498"/>
      <c r="BH12" s="498" t="s">
        <v>55</v>
      </c>
      <c r="BI12" s="498">
        <v>0</v>
      </c>
      <c r="BJ12" s="538">
        <v>0</v>
      </c>
    </row>
    <row r="13" ht="17.25" customHeight="1" spans="1:62">
      <c r="A13" s="157"/>
      <c r="B13" s="212" t="s">
        <v>94</v>
      </c>
      <c r="C13" s="212"/>
      <c r="D13" s="212"/>
      <c r="E13" s="212"/>
      <c r="F13" s="439" t="s">
        <v>95</v>
      </c>
      <c r="G13" s="225">
        <f>G11+G12</f>
        <v>67062</v>
      </c>
      <c r="H13" s="97"/>
      <c r="I13" s="97"/>
      <c r="J13" s="97"/>
      <c r="K13" s="97"/>
      <c r="L13" s="98"/>
      <c r="M13" s="184"/>
      <c r="N13" s="157"/>
      <c r="O13" s="212" t="s">
        <v>94</v>
      </c>
      <c r="P13" s="212"/>
      <c r="Q13" s="212"/>
      <c r="R13" s="213"/>
      <c r="S13" s="224" t="s">
        <v>95</v>
      </c>
      <c r="T13" s="225">
        <f>T11+T12</f>
        <v>66182</v>
      </c>
      <c r="U13" s="97"/>
      <c r="V13" s="97"/>
      <c r="W13" s="97"/>
      <c r="X13" s="97"/>
      <c r="Y13" s="98"/>
      <c r="Z13" s="184"/>
      <c r="AA13" s="157"/>
      <c r="AB13" s="216" t="s">
        <v>94</v>
      </c>
      <c r="AC13" s="216"/>
      <c r="AD13" s="216"/>
      <c r="AE13" s="216"/>
      <c r="AF13" s="539" t="s">
        <v>95</v>
      </c>
      <c r="AG13" s="540">
        <f>AG11+AG12</f>
        <v>66000</v>
      </c>
      <c r="AH13" s="97"/>
      <c r="AI13" s="97"/>
      <c r="AJ13" s="97"/>
      <c r="AK13" s="97"/>
      <c r="AL13" s="98"/>
      <c r="AM13" s="189"/>
      <c r="AN13" s="152"/>
      <c r="AO13" s="216" t="s">
        <v>94</v>
      </c>
      <c r="AP13" s="216"/>
      <c r="AQ13" s="216"/>
      <c r="AR13" s="216"/>
      <c r="AS13" s="539" t="s">
        <v>95</v>
      </c>
      <c r="AT13" s="540">
        <f>AT11+AT12</f>
        <v>66000</v>
      </c>
      <c r="AU13" s="97"/>
      <c r="AV13" s="97"/>
      <c r="AW13" s="97"/>
      <c r="AX13" s="97"/>
      <c r="AY13" s="98"/>
      <c r="AZ13" s="184"/>
      <c r="BB13" s="503"/>
      <c r="BC13" s="503"/>
      <c r="BD13" s="503"/>
      <c r="BE13" s="503"/>
      <c r="BF13" s="503"/>
      <c r="BG13" s="503"/>
      <c r="BH13" s="503"/>
      <c r="BI13" s="503"/>
      <c r="BJ13" s="503"/>
    </row>
    <row r="14" ht="18.3" spans="1:62">
      <c r="A14" s="157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156"/>
      <c r="N14" s="157"/>
      <c r="O14" s="212"/>
      <c r="P14" s="212"/>
      <c r="Q14" s="212"/>
      <c r="R14" s="213"/>
      <c r="S14" s="213"/>
      <c r="T14" s="213"/>
      <c r="U14" s="213"/>
      <c r="V14" s="213"/>
      <c r="W14" s="213"/>
      <c r="X14" s="213"/>
      <c r="Y14" s="213"/>
      <c r="Z14" s="156"/>
      <c r="AA14" s="157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160"/>
      <c r="AN14" s="152"/>
      <c r="AO14" s="216"/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156"/>
      <c r="BB14" s="503"/>
      <c r="BC14" s="503"/>
      <c r="BD14" s="503"/>
      <c r="BE14" s="503"/>
      <c r="BF14" s="503"/>
      <c r="BG14" s="503"/>
      <c r="BH14" s="503"/>
      <c r="BI14" s="503"/>
      <c r="BJ14" s="541"/>
    </row>
    <row r="15" ht="18" customHeight="1" spans="1:62">
      <c r="A15" s="157"/>
      <c r="B15" s="232" t="s">
        <v>96</v>
      </c>
      <c r="C15" s="233"/>
      <c r="D15" s="233"/>
      <c r="E15" s="233"/>
      <c r="F15" s="233"/>
      <c r="G15" s="233"/>
      <c r="H15" s="445"/>
      <c r="I15" s="232" t="s">
        <v>97</v>
      </c>
      <c r="J15" s="97"/>
      <c r="K15" s="97"/>
      <c r="L15" s="98"/>
      <c r="M15" s="156"/>
      <c r="N15" s="157"/>
      <c r="O15" s="232" t="s">
        <v>96</v>
      </c>
      <c r="P15" s="233"/>
      <c r="Q15" s="233"/>
      <c r="R15" s="234"/>
      <c r="S15" s="234"/>
      <c r="T15" s="234"/>
      <c r="U15" s="235"/>
      <c r="V15" s="236" t="s">
        <v>97</v>
      </c>
      <c r="W15" s="97"/>
      <c r="X15" s="97"/>
      <c r="Y15" s="98"/>
      <c r="Z15" s="156"/>
      <c r="AA15" s="157"/>
      <c r="AB15" s="240" t="s">
        <v>96</v>
      </c>
      <c r="AC15" s="241"/>
      <c r="AD15" s="241"/>
      <c r="AE15" s="241"/>
      <c r="AF15" s="241"/>
      <c r="AG15" s="241"/>
      <c r="AH15" s="542"/>
      <c r="AI15" s="240" t="s">
        <v>97</v>
      </c>
      <c r="AJ15" s="97"/>
      <c r="AK15" s="97"/>
      <c r="AL15" s="98"/>
      <c r="AM15" s="160"/>
      <c r="AN15" s="152"/>
      <c r="AO15" s="240" t="s">
        <v>96</v>
      </c>
      <c r="AP15" s="241"/>
      <c r="AQ15" s="241"/>
      <c r="AR15" s="241"/>
      <c r="AS15" s="241"/>
      <c r="AT15" s="241"/>
      <c r="AU15" s="542"/>
      <c r="AV15" s="240" t="s">
        <v>97</v>
      </c>
      <c r="AW15" s="97"/>
      <c r="AX15" s="97"/>
      <c r="AY15" s="98"/>
      <c r="AZ15" s="156"/>
      <c r="BB15" s="358"/>
      <c r="BC15" s="358"/>
      <c r="BD15" s="358"/>
      <c r="BE15" s="358"/>
      <c r="BF15" s="358"/>
      <c r="BG15" s="358"/>
      <c r="BH15" s="358"/>
      <c r="BI15" s="358"/>
      <c r="BJ15" s="358"/>
    </row>
    <row r="16" ht="18" customHeight="1" spans="1:62">
      <c r="A16" s="157"/>
      <c r="B16" s="245" t="s">
        <v>98</v>
      </c>
      <c r="C16" s="246"/>
      <c r="D16" s="246"/>
      <c r="E16" s="232" t="s">
        <v>99</v>
      </c>
      <c r="F16" s="97"/>
      <c r="G16" s="97"/>
      <c r="H16" s="98"/>
      <c r="I16" s="232" t="s">
        <v>100</v>
      </c>
      <c r="J16" s="97"/>
      <c r="K16" s="97"/>
      <c r="L16" s="98"/>
      <c r="M16" s="156"/>
      <c r="N16" s="157"/>
      <c r="O16" s="245" t="s">
        <v>98</v>
      </c>
      <c r="P16" s="246"/>
      <c r="Q16" s="246"/>
      <c r="R16" s="236" t="s">
        <v>99</v>
      </c>
      <c r="S16" s="97"/>
      <c r="T16" s="97"/>
      <c r="U16" s="98"/>
      <c r="V16" s="236" t="s">
        <v>100</v>
      </c>
      <c r="W16" s="97"/>
      <c r="X16" s="97"/>
      <c r="Y16" s="98"/>
      <c r="Z16" s="156"/>
      <c r="AA16" s="157"/>
      <c r="AB16" s="247" t="s">
        <v>98</v>
      </c>
      <c r="AC16" s="248"/>
      <c r="AD16" s="248"/>
      <c r="AE16" s="240" t="s">
        <v>99</v>
      </c>
      <c r="AF16" s="97"/>
      <c r="AG16" s="97"/>
      <c r="AH16" s="98"/>
      <c r="AI16" s="240" t="s">
        <v>100</v>
      </c>
      <c r="AJ16" s="97"/>
      <c r="AK16" s="97"/>
      <c r="AL16" s="98"/>
      <c r="AM16" s="160"/>
      <c r="AN16" s="152"/>
      <c r="AO16" s="247" t="s">
        <v>98</v>
      </c>
      <c r="AP16" s="248"/>
      <c r="AQ16" s="248"/>
      <c r="AR16" s="240" t="s">
        <v>99</v>
      </c>
      <c r="AS16" s="97"/>
      <c r="AT16" s="97"/>
      <c r="AU16" s="98"/>
      <c r="AV16" s="240" t="s">
        <v>100</v>
      </c>
      <c r="AW16" s="97"/>
      <c r="AX16" s="97"/>
      <c r="AY16" s="98"/>
      <c r="AZ16" s="156"/>
      <c r="BB16" s="358"/>
      <c r="BC16" s="358"/>
      <c r="BD16" s="358"/>
      <c r="BE16" s="358"/>
      <c r="BF16" s="358"/>
      <c r="BG16" s="358"/>
      <c r="BH16" s="358"/>
      <c r="BI16" s="358"/>
      <c r="BJ16" s="358"/>
    </row>
    <row r="17" ht="18" customHeight="1" spans="1:62">
      <c r="A17" s="157"/>
      <c r="B17" s="232" t="s">
        <v>94</v>
      </c>
      <c r="C17" s="233"/>
      <c r="D17" s="233"/>
      <c r="E17" s="445"/>
      <c r="F17" s="439" t="s">
        <v>101</v>
      </c>
      <c r="G17" s="249">
        <v>73500</v>
      </c>
      <c r="H17" s="97"/>
      <c r="I17" s="97"/>
      <c r="J17" s="97"/>
      <c r="K17" s="97"/>
      <c r="L17" s="98"/>
      <c r="M17" s="156"/>
      <c r="N17" s="157"/>
      <c r="O17" s="232" t="s">
        <v>94</v>
      </c>
      <c r="P17" s="233"/>
      <c r="Q17" s="233"/>
      <c r="R17" s="235"/>
      <c r="S17" s="224" t="s">
        <v>101</v>
      </c>
      <c r="T17" s="249">
        <f>G17</f>
        <v>73500</v>
      </c>
      <c r="U17" s="97"/>
      <c r="V17" s="97"/>
      <c r="W17" s="97"/>
      <c r="X17" s="97"/>
      <c r="Y17" s="98"/>
      <c r="Z17" s="156"/>
      <c r="AA17" s="157"/>
      <c r="AB17" s="240" t="s">
        <v>94</v>
      </c>
      <c r="AC17" s="241"/>
      <c r="AD17" s="241"/>
      <c r="AE17" s="542"/>
      <c r="AF17" s="539" t="s">
        <v>101</v>
      </c>
      <c r="AG17" s="543">
        <f>T17</f>
        <v>73500</v>
      </c>
      <c r="AH17" s="97"/>
      <c r="AI17" s="97"/>
      <c r="AJ17" s="97"/>
      <c r="AK17" s="97"/>
      <c r="AL17" s="98"/>
      <c r="AM17" s="160"/>
      <c r="AN17" s="152"/>
      <c r="AO17" s="240" t="s">
        <v>94</v>
      </c>
      <c r="AP17" s="241"/>
      <c r="AQ17" s="241"/>
      <c r="AR17" s="542"/>
      <c r="AS17" s="539" t="s">
        <v>101</v>
      </c>
      <c r="AT17" s="543">
        <f>AG17</f>
        <v>73500</v>
      </c>
      <c r="AU17" s="97"/>
      <c r="AV17" s="97"/>
      <c r="AW17" s="97"/>
      <c r="AX17" s="97"/>
      <c r="AY17" s="98"/>
      <c r="AZ17" s="156"/>
      <c r="BB17" s="256" t="s">
        <v>19</v>
      </c>
      <c r="BC17" s="299" t="s">
        <v>150</v>
      </c>
      <c r="BD17" s="358"/>
      <c r="BE17" s="358"/>
      <c r="BF17" s="358"/>
      <c r="BG17" s="358"/>
      <c r="BH17" s="358"/>
      <c r="BI17" s="358"/>
      <c r="BJ17" s="358"/>
    </row>
    <row r="18" ht="17.65" spans="1:62">
      <c r="A18" s="157"/>
      <c r="B18" s="212"/>
      <c r="C18" s="212"/>
      <c r="D18" s="212"/>
      <c r="E18" s="212"/>
      <c r="F18" s="212"/>
      <c r="G18" s="252"/>
      <c r="H18" s="252"/>
      <c r="I18" s="252"/>
      <c r="J18" s="252"/>
      <c r="K18" s="252"/>
      <c r="L18" s="252"/>
      <c r="M18" s="156"/>
      <c r="N18" s="157"/>
      <c r="O18" s="212"/>
      <c r="P18" s="212"/>
      <c r="Q18" s="212"/>
      <c r="R18" s="213"/>
      <c r="S18" s="213"/>
      <c r="T18" s="252"/>
      <c r="U18" s="252"/>
      <c r="V18" s="252"/>
      <c r="W18" s="252"/>
      <c r="X18" s="252"/>
      <c r="Y18" s="252"/>
      <c r="Z18" s="156"/>
      <c r="AA18" s="157"/>
      <c r="AB18" s="216"/>
      <c r="AC18" s="216"/>
      <c r="AD18" s="216"/>
      <c r="AE18" s="216"/>
      <c r="AF18" s="216"/>
      <c r="AG18" s="544"/>
      <c r="AH18" s="544"/>
      <c r="AI18" s="544"/>
      <c r="AJ18" s="544"/>
      <c r="AK18" s="544"/>
      <c r="AL18" s="544"/>
      <c r="AM18" s="160"/>
      <c r="AN18" s="152"/>
      <c r="AO18" s="216"/>
      <c r="AP18" s="216"/>
      <c r="AQ18" s="216"/>
      <c r="AR18" s="216"/>
      <c r="AS18" s="216"/>
      <c r="AT18" s="544"/>
      <c r="AU18" s="544"/>
      <c r="AV18" s="544"/>
      <c r="AW18" s="544"/>
      <c r="AX18" s="544"/>
      <c r="AY18" s="544"/>
      <c r="AZ18" s="156"/>
      <c r="BB18" s="358"/>
      <c r="BC18" s="358"/>
      <c r="BD18" s="358"/>
      <c r="BE18" s="358"/>
      <c r="BF18" s="358"/>
      <c r="BG18" s="358"/>
      <c r="BH18" s="358"/>
      <c r="BI18" s="358"/>
      <c r="BJ18" s="358"/>
    </row>
    <row r="19" ht="18" customHeight="1" spans="1:62">
      <c r="A19" s="157"/>
      <c r="B19" s="232" t="s">
        <v>104</v>
      </c>
      <c r="C19" s="233"/>
      <c r="D19" s="233"/>
      <c r="E19" s="233"/>
      <c r="F19" s="445"/>
      <c r="G19" s="254">
        <f>G17</f>
        <v>73500</v>
      </c>
      <c r="H19" s="97"/>
      <c r="I19" s="97"/>
      <c r="J19" s="97"/>
      <c r="K19" s="97"/>
      <c r="L19" s="98"/>
      <c r="M19" s="184"/>
      <c r="N19" s="157"/>
      <c r="O19" s="232" t="s">
        <v>104</v>
      </c>
      <c r="P19" s="233"/>
      <c r="Q19" s="233"/>
      <c r="R19" s="234"/>
      <c r="S19" s="235"/>
      <c r="T19" s="254">
        <f>T17</f>
        <v>73500</v>
      </c>
      <c r="U19" s="97"/>
      <c r="V19" s="97"/>
      <c r="W19" s="97"/>
      <c r="X19" s="97"/>
      <c r="Y19" s="98"/>
      <c r="Z19" s="184"/>
      <c r="AA19" s="157"/>
      <c r="AB19" s="240" t="s">
        <v>104</v>
      </c>
      <c r="AC19" s="241"/>
      <c r="AD19" s="241"/>
      <c r="AE19" s="241"/>
      <c r="AF19" s="542"/>
      <c r="AG19" s="545">
        <f>AG13</f>
        <v>66000</v>
      </c>
      <c r="AH19" s="97"/>
      <c r="AI19" s="97"/>
      <c r="AJ19" s="97"/>
      <c r="AK19" s="97"/>
      <c r="AL19" s="98"/>
      <c r="AM19" s="189"/>
      <c r="AN19" s="152"/>
      <c r="AO19" s="240" t="s">
        <v>104</v>
      </c>
      <c r="AP19" s="241"/>
      <c r="AQ19" s="241"/>
      <c r="AR19" s="241"/>
      <c r="AS19" s="542"/>
      <c r="AT19" s="545">
        <f>AT13</f>
        <v>66000</v>
      </c>
      <c r="AU19" s="97"/>
      <c r="AV19" s="97"/>
      <c r="AW19" s="97"/>
      <c r="AX19" s="97"/>
      <c r="AY19" s="98"/>
      <c r="AZ19" s="184"/>
      <c r="BB19" s="256" t="s">
        <v>21</v>
      </c>
      <c r="BC19" s="256">
        <v>71080</v>
      </c>
      <c r="BD19" s="358"/>
      <c r="BE19" s="358"/>
      <c r="BF19" s="358"/>
      <c r="BG19" s="358"/>
      <c r="BH19" s="358"/>
      <c r="BI19" s="358"/>
      <c r="BJ19" s="358"/>
    </row>
    <row r="20" ht="18" customHeight="1" spans="1:62">
      <c r="A20" s="157"/>
      <c r="B20" s="232" t="s">
        <v>105</v>
      </c>
      <c r="C20" s="233"/>
      <c r="D20" s="233"/>
      <c r="E20" s="233"/>
      <c r="F20" s="445"/>
      <c r="G20" s="257">
        <f>BG11</f>
        <v>0</v>
      </c>
      <c r="H20" s="97"/>
      <c r="I20" s="97"/>
      <c r="J20" s="97"/>
      <c r="K20" s="97"/>
      <c r="L20" s="98"/>
      <c r="M20" s="184"/>
      <c r="N20" s="157"/>
      <c r="O20" s="232" t="s">
        <v>105</v>
      </c>
      <c r="P20" s="233"/>
      <c r="Q20" s="233"/>
      <c r="R20" s="234"/>
      <c r="S20" s="235"/>
      <c r="T20" s="257">
        <f>BG12</f>
        <v>0</v>
      </c>
      <c r="U20" s="97"/>
      <c r="V20" s="97"/>
      <c r="W20" s="97"/>
      <c r="X20" s="97"/>
      <c r="Y20" s="98"/>
      <c r="Z20" s="184"/>
      <c r="AA20" s="157"/>
      <c r="AB20" s="240" t="s">
        <v>105</v>
      </c>
      <c r="AC20" s="241"/>
      <c r="AD20" s="241"/>
      <c r="AE20" s="241"/>
      <c r="AF20" s="542"/>
      <c r="AG20" s="546">
        <f>BG13</f>
        <v>0</v>
      </c>
      <c r="AH20" s="97"/>
      <c r="AI20" s="97"/>
      <c r="AJ20" s="97"/>
      <c r="AK20" s="97"/>
      <c r="AL20" s="98"/>
      <c r="AM20" s="189"/>
      <c r="AN20" s="152"/>
      <c r="AO20" s="240" t="s">
        <v>105</v>
      </c>
      <c r="AP20" s="241"/>
      <c r="AQ20" s="241"/>
      <c r="AR20" s="241"/>
      <c r="AS20" s="542"/>
      <c r="AT20" s="546">
        <f>BG14</f>
        <v>0</v>
      </c>
      <c r="AU20" s="97"/>
      <c r="AV20" s="97"/>
      <c r="AW20" s="97"/>
      <c r="AX20" s="97"/>
      <c r="AY20" s="98"/>
      <c r="AZ20" s="184"/>
      <c r="BB20" s="256" t="s">
        <v>22</v>
      </c>
      <c r="BC20" s="256">
        <v>71082</v>
      </c>
      <c r="BD20" s="358"/>
      <c r="BE20" s="358"/>
      <c r="BF20" s="358"/>
      <c r="BG20" s="358"/>
      <c r="BH20" s="358"/>
      <c r="BI20" s="358"/>
      <c r="BJ20" s="358"/>
    </row>
    <row r="21" ht="18" customHeight="1" spans="1:62">
      <c r="A21" s="157"/>
      <c r="B21" s="232" t="s">
        <v>106</v>
      </c>
      <c r="C21" s="233"/>
      <c r="D21" s="233"/>
      <c r="E21" s="233"/>
      <c r="F21" s="445"/>
      <c r="G21" s="225">
        <f>G19-G20</f>
        <v>73500</v>
      </c>
      <c r="H21" s="97"/>
      <c r="I21" s="97"/>
      <c r="J21" s="97"/>
      <c r="K21" s="97"/>
      <c r="L21" s="98"/>
      <c r="M21" s="184"/>
      <c r="N21" s="157"/>
      <c r="O21" s="232" t="s">
        <v>106</v>
      </c>
      <c r="P21" s="233"/>
      <c r="Q21" s="233"/>
      <c r="R21" s="234"/>
      <c r="S21" s="235"/>
      <c r="T21" s="225">
        <f>T19-T20</f>
        <v>73500</v>
      </c>
      <c r="U21" s="97"/>
      <c r="V21" s="97"/>
      <c r="W21" s="97"/>
      <c r="X21" s="97"/>
      <c r="Y21" s="98"/>
      <c r="Z21" s="184"/>
      <c r="AA21" s="157"/>
      <c r="AB21" s="240" t="s">
        <v>106</v>
      </c>
      <c r="AC21" s="241"/>
      <c r="AD21" s="241"/>
      <c r="AE21" s="241"/>
      <c r="AF21" s="542"/>
      <c r="AG21" s="540">
        <f>AG19-AG20</f>
        <v>66000</v>
      </c>
      <c r="AH21" s="97"/>
      <c r="AI21" s="97"/>
      <c r="AJ21" s="97"/>
      <c r="AK21" s="97"/>
      <c r="AL21" s="98"/>
      <c r="AM21" s="189"/>
      <c r="AN21" s="152"/>
      <c r="AO21" s="240" t="s">
        <v>106</v>
      </c>
      <c r="AP21" s="241"/>
      <c r="AQ21" s="241"/>
      <c r="AR21" s="241"/>
      <c r="AS21" s="542"/>
      <c r="AT21" s="540">
        <f>AT19-AT20</f>
        <v>66000</v>
      </c>
      <c r="AU21" s="97"/>
      <c r="AV21" s="97"/>
      <c r="AW21" s="97"/>
      <c r="AX21" s="97"/>
      <c r="AY21" s="98"/>
      <c r="AZ21" s="184"/>
      <c r="BB21" s="260" t="s">
        <v>24</v>
      </c>
      <c r="BC21" s="508"/>
      <c r="BD21" s="358"/>
      <c r="BE21" s="358"/>
      <c r="BF21" s="358"/>
      <c r="BG21" s="358"/>
      <c r="BH21" s="358"/>
      <c r="BI21" s="358"/>
      <c r="BJ21" s="358"/>
    </row>
    <row r="22" ht="18" customHeight="1" spans="1:62">
      <c r="A22" s="157"/>
      <c r="B22" s="232" t="s">
        <v>107</v>
      </c>
      <c r="C22" s="233"/>
      <c r="D22" s="233"/>
      <c r="E22" s="233"/>
      <c r="F22" s="445"/>
      <c r="G22" s="221">
        <f>BE11</f>
        <v>1500</v>
      </c>
      <c r="H22" s="97"/>
      <c r="I22" s="97"/>
      <c r="J22" s="97"/>
      <c r="K22" s="97"/>
      <c r="L22" s="98"/>
      <c r="M22" s="184"/>
      <c r="N22" s="157"/>
      <c r="O22" s="232" t="s">
        <v>107</v>
      </c>
      <c r="P22" s="233"/>
      <c r="Q22" s="233"/>
      <c r="R22" s="234"/>
      <c r="S22" s="235"/>
      <c r="T22" s="221">
        <f>BE12</f>
        <v>1000</v>
      </c>
      <c r="U22" s="97"/>
      <c r="V22" s="97"/>
      <c r="W22" s="97"/>
      <c r="X22" s="97"/>
      <c r="Y22" s="98"/>
      <c r="Z22" s="184"/>
      <c r="AA22" s="157"/>
      <c r="AB22" s="240" t="s">
        <v>107</v>
      </c>
      <c r="AC22" s="241"/>
      <c r="AD22" s="241"/>
      <c r="AE22" s="241"/>
      <c r="AF22" s="542"/>
      <c r="AG22" s="537">
        <f>BE13</f>
        <v>0</v>
      </c>
      <c r="AH22" s="97"/>
      <c r="AI22" s="97"/>
      <c r="AJ22" s="97"/>
      <c r="AK22" s="97"/>
      <c r="AL22" s="98"/>
      <c r="AM22" s="189"/>
      <c r="AN22" s="152"/>
      <c r="AO22" s="240" t="s">
        <v>107</v>
      </c>
      <c r="AP22" s="241"/>
      <c r="AQ22" s="241"/>
      <c r="AR22" s="241"/>
      <c r="AS22" s="542"/>
      <c r="AT22" s="537">
        <f>BE14</f>
        <v>0</v>
      </c>
      <c r="AU22" s="97"/>
      <c r="AV22" s="97"/>
      <c r="AW22" s="97"/>
      <c r="AX22" s="97"/>
      <c r="AY22" s="98"/>
      <c r="AZ22" s="184"/>
      <c r="BB22" s="260" t="s">
        <v>25</v>
      </c>
      <c r="BC22" s="260"/>
      <c r="BD22" s="358"/>
      <c r="BE22" s="358"/>
      <c r="BF22" s="358"/>
      <c r="BG22" s="358"/>
      <c r="BH22" s="358"/>
      <c r="BI22" s="358"/>
      <c r="BJ22" s="358"/>
    </row>
    <row r="23" ht="18" customHeight="1" spans="1:62">
      <c r="A23" s="157"/>
      <c r="B23" s="232" t="s">
        <v>108</v>
      </c>
      <c r="C23" s="233"/>
      <c r="D23" s="233"/>
      <c r="E23" s="233"/>
      <c r="F23" s="445"/>
      <c r="G23" s="261">
        <f>G21-G22</f>
        <v>72000</v>
      </c>
      <c r="H23" s="97"/>
      <c r="I23" s="97"/>
      <c r="J23" s="97"/>
      <c r="K23" s="97"/>
      <c r="L23" s="98"/>
      <c r="M23" s="184"/>
      <c r="N23" s="157"/>
      <c r="O23" s="232" t="s">
        <v>108</v>
      </c>
      <c r="P23" s="233"/>
      <c r="Q23" s="233"/>
      <c r="R23" s="234"/>
      <c r="S23" s="235"/>
      <c r="T23" s="261">
        <f>T21-T22</f>
        <v>72500</v>
      </c>
      <c r="U23" s="97"/>
      <c r="V23" s="97"/>
      <c r="W23" s="97"/>
      <c r="X23" s="97"/>
      <c r="Y23" s="98"/>
      <c r="Z23" s="184"/>
      <c r="AA23" s="157"/>
      <c r="AB23" s="240" t="s">
        <v>108</v>
      </c>
      <c r="AC23" s="241"/>
      <c r="AD23" s="241"/>
      <c r="AE23" s="241"/>
      <c r="AF23" s="542"/>
      <c r="AG23" s="547">
        <f>AG21-AG22</f>
        <v>66000</v>
      </c>
      <c r="AH23" s="97"/>
      <c r="AI23" s="97"/>
      <c r="AJ23" s="97"/>
      <c r="AK23" s="97"/>
      <c r="AL23" s="98"/>
      <c r="AM23" s="189"/>
      <c r="AN23" s="152"/>
      <c r="AO23" s="240" t="s">
        <v>108</v>
      </c>
      <c r="AP23" s="241"/>
      <c r="AQ23" s="241"/>
      <c r="AR23" s="241"/>
      <c r="AS23" s="542"/>
      <c r="AT23" s="547">
        <f>AT21-AT22</f>
        <v>66000</v>
      </c>
      <c r="AU23" s="97"/>
      <c r="AV23" s="97"/>
      <c r="AW23" s="97"/>
      <c r="AX23" s="97"/>
      <c r="AY23" s="98"/>
      <c r="AZ23" s="184"/>
      <c r="BB23" s="358"/>
      <c r="BC23" s="358"/>
      <c r="BD23" s="358"/>
      <c r="BE23" s="358"/>
      <c r="BF23" s="358"/>
      <c r="BG23" s="358"/>
      <c r="BH23" s="358"/>
      <c r="BI23" s="358"/>
      <c r="BJ23" s="358"/>
    </row>
    <row r="24" ht="18" customHeight="1" spans="1:62">
      <c r="A24" s="157"/>
      <c r="B24" s="212"/>
      <c r="C24" s="212"/>
      <c r="D24" s="212"/>
      <c r="E24" s="212"/>
      <c r="F24" s="212"/>
      <c r="G24" s="252"/>
      <c r="H24" s="252"/>
      <c r="I24" s="252"/>
      <c r="J24" s="252"/>
      <c r="K24" s="252"/>
      <c r="L24" s="252"/>
      <c r="M24" s="156"/>
      <c r="N24" s="157"/>
      <c r="O24" s="212"/>
      <c r="P24" s="212"/>
      <c r="Q24" s="212"/>
      <c r="R24" s="213"/>
      <c r="S24" s="213"/>
      <c r="T24" s="252"/>
      <c r="U24" s="252"/>
      <c r="V24" s="252"/>
      <c r="W24" s="252"/>
      <c r="X24" s="252"/>
      <c r="Y24" s="252"/>
      <c r="Z24" s="156"/>
      <c r="AA24" s="157"/>
      <c r="AB24" s="216"/>
      <c r="AC24" s="216"/>
      <c r="AD24" s="216"/>
      <c r="AE24" s="216"/>
      <c r="AF24" s="216"/>
      <c r="AG24" s="544"/>
      <c r="AH24" s="544"/>
      <c r="AI24" s="544"/>
      <c r="AJ24" s="544"/>
      <c r="AK24" s="544"/>
      <c r="AL24" s="544"/>
      <c r="AM24" s="160"/>
      <c r="AN24" s="152"/>
      <c r="AO24" s="216"/>
      <c r="AP24" s="216"/>
      <c r="AQ24" s="216"/>
      <c r="AR24" s="216"/>
      <c r="AS24" s="216"/>
      <c r="AT24" s="544"/>
      <c r="AU24" s="544"/>
      <c r="AV24" s="544"/>
      <c r="AW24" s="544"/>
      <c r="AX24" s="544"/>
      <c r="AY24" s="544"/>
      <c r="AZ24" s="156"/>
      <c r="BB24" s="52" t="s">
        <v>26</v>
      </c>
      <c r="BC24" s="52" t="s">
        <v>27</v>
      </c>
    </row>
    <row r="25" ht="18" customHeight="1" spans="1:62">
      <c r="A25" s="157"/>
      <c r="B25" s="232" t="s">
        <v>109</v>
      </c>
      <c r="C25" s="233"/>
      <c r="D25" s="233"/>
      <c r="E25" s="233"/>
      <c r="F25" s="445"/>
      <c r="G25" s="263"/>
      <c r="H25" s="97"/>
      <c r="I25" s="97"/>
      <c r="J25" s="97"/>
      <c r="K25" s="97"/>
      <c r="L25" s="98"/>
      <c r="M25" s="156"/>
      <c r="N25" s="157"/>
      <c r="O25" s="232" t="s">
        <v>109</v>
      </c>
      <c r="P25" s="233"/>
      <c r="Q25" s="233"/>
      <c r="R25" s="234"/>
      <c r="S25" s="235"/>
      <c r="T25" s="263"/>
      <c r="U25" s="97"/>
      <c r="V25" s="97"/>
      <c r="W25" s="97"/>
      <c r="X25" s="97"/>
      <c r="Y25" s="98"/>
      <c r="Z25" s="156"/>
      <c r="AA25" s="157"/>
      <c r="AB25" s="240" t="s">
        <v>109</v>
      </c>
      <c r="AC25" s="241"/>
      <c r="AD25" s="241"/>
      <c r="AE25" s="241"/>
      <c r="AF25" s="542"/>
      <c r="AG25" s="548"/>
      <c r="AH25" s="97"/>
      <c r="AI25" s="97"/>
      <c r="AJ25" s="97"/>
      <c r="AK25" s="97"/>
      <c r="AL25" s="98"/>
      <c r="AM25" s="160"/>
      <c r="AN25" s="152"/>
      <c r="AO25" s="240" t="s">
        <v>109</v>
      </c>
      <c r="AP25" s="241"/>
      <c r="AQ25" s="241"/>
      <c r="AR25" s="241"/>
      <c r="AS25" s="542"/>
      <c r="AT25" s="548"/>
      <c r="AU25" s="97"/>
      <c r="AV25" s="97"/>
      <c r="AW25" s="97"/>
      <c r="AX25" s="97"/>
      <c r="AY25" s="98"/>
      <c r="AZ25" s="156"/>
    </row>
    <row r="26" ht="18" customHeight="1" spans="1:62">
      <c r="A26" s="157"/>
      <c r="B26" s="232" t="s">
        <v>110</v>
      </c>
      <c r="C26" s="233"/>
      <c r="D26" s="233"/>
      <c r="E26" s="233"/>
      <c r="F26" s="445"/>
      <c r="G26" s="221">
        <f>BF11</f>
        <v>108</v>
      </c>
      <c r="H26" s="97"/>
      <c r="I26" s="97"/>
      <c r="J26" s="97"/>
      <c r="K26" s="97"/>
      <c r="L26" s="98"/>
      <c r="M26" s="184"/>
      <c r="N26" s="157"/>
      <c r="O26" s="232" t="s">
        <v>110</v>
      </c>
      <c r="P26" s="233"/>
      <c r="Q26" s="233"/>
      <c r="R26" s="234"/>
      <c r="S26" s="235"/>
      <c r="T26" s="221">
        <f>BF12</f>
        <v>180</v>
      </c>
      <c r="U26" s="97"/>
      <c r="V26" s="97"/>
      <c r="W26" s="97"/>
      <c r="X26" s="97"/>
      <c r="Y26" s="98"/>
      <c r="Z26" s="184"/>
      <c r="AA26" s="157"/>
      <c r="AB26" s="240" t="s">
        <v>110</v>
      </c>
      <c r="AC26" s="241"/>
      <c r="AD26" s="241"/>
      <c r="AE26" s="241"/>
      <c r="AF26" s="542"/>
      <c r="AG26" s="537">
        <f>BF13</f>
        <v>0</v>
      </c>
      <c r="AH26" s="97"/>
      <c r="AI26" s="97"/>
      <c r="AJ26" s="97"/>
      <c r="AK26" s="97"/>
      <c r="AL26" s="98"/>
      <c r="AM26" s="189"/>
      <c r="AN26" s="152"/>
      <c r="AO26" s="240" t="s">
        <v>110</v>
      </c>
      <c r="AP26" s="241"/>
      <c r="AQ26" s="241"/>
      <c r="AR26" s="241"/>
      <c r="AS26" s="542"/>
      <c r="AT26" s="537">
        <f>BF14</f>
        <v>0</v>
      </c>
      <c r="AU26" s="97"/>
      <c r="AV26" s="97"/>
      <c r="AW26" s="97"/>
      <c r="AX26" s="97"/>
      <c r="AY26" s="98"/>
      <c r="AZ26" s="184"/>
    </row>
    <row r="27" ht="18" customHeight="1" spans="1:62">
      <c r="A27" s="157"/>
      <c r="B27" s="232" t="s">
        <v>111</v>
      </c>
      <c r="C27" s="233"/>
      <c r="D27" s="233"/>
      <c r="E27" s="233"/>
      <c r="F27" s="445"/>
      <c r="G27" s="263"/>
      <c r="H27" s="97"/>
      <c r="I27" s="97"/>
      <c r="J27" s="97"/>
      <c r="K27" s="97"/>
      <c r="L27" s="98"/>
      <c r="M27" s="156"/>
      <c r="N27" s="157"/>
      <c r="O27" s="232" t="s">
        <v>111</v>
      </c>
      <c r="P27" s="233"/>
      <c r="Q27" s="233"/>
      <c r="R27" s="234"/>
      <c r="S27" s="235"/>
      <c r="T27" s="263"/>
      <c r="U27" s="97"/>
      <c r="V27" s="97"/>
      <c r="W27" s="97"/>
      <c r="X27" s="97"/>
      <c r="Y27" s="98"/>
      <c r="Z27" s="156"/>
      <c r="AA27" s="157"/>
      <c r="AB27" s="240" t="s">
        <v>111</v>
      </c>
      <c r="AC27" s="241"/>
      <c r="AD27" s="241"/>
      <c r="AE27" s="241"/>
      <c r="AF27" s="542"/>
      <c r="AG27" s="548"/>
      <c r="AH27" s="97"/>
      <c r="AI27" s="97"/>
      <c r="AJ27" s="97"/>
      <c r="AK27" s="97"/>
      <c r="AL27" s="98"/>
      <c r="AM27" s="160"/>
      <c r="AN27" s="152"/>
      <c r="AO27" s="240" t="s">
        <v>111</v>
      </c>
      <c r="AP27" s="241"/>
      <c r="AQ27" s="241"/>
      <c r="AR27" s="241"/>
      <c r="AS27" s="542"/>
      <c r="AT27" s="548"/>
      <c r="AU27" s="97"/>
      <c r="AV27" s="97"/>
      <c r="AW27" s="97"/>
      <c r="AX27" s="97"/>
      <c r="AY27" s="98"/>
      <c r="AZ27" s="156"/>
    </row>
    <row r="28" ht="15.75" customHeight="1" spans="1:62">
      <c r="A28" s="157"/>
      <c r="B28" s="197"/>
      <c r="C28" s="197"/>
      <c r="D28" s="212"/>
      <c r="E28" s="212"/>
      <c r="F28" s="212"/>
      <c r="G28" s="212"/>
      <c r="H28" s="212"/>
      <c r="I28" s="212"/>
      <c r="J28" s="212"/>
      <c r="K28" s="212"/>
      <c r="L28" s="212"/>
      <c r="M28" s="156"/>
      <c r="N28" s="157"/>
      <c r="O28" s="197"/>
      <c r="P28" s="197"/>
      <c r="Q28" s="212"/>
      <c r="R28" s="212"/>
      <c r="S28" s="212"/>
      <c r="T28" s="212"/>
      <c r="U28" s="212"/>
      <c r="V28" s="212"/>
      <c r="W28" s="212"/>
      <c r="X28" s="212"/>
      <c r="Y28" s="212"/>
      <c r="Z28" s="156"/>
      <c r="AA28" s="157"/>
      <c r="AB28" s="205"/>
      <c r="AC28" s="205"/>
      <c r="AD28" s="216"/>
      <c r="AE28" s="216"/>
      <c r="AF28" s="216"/>
      <c r="AG28" s="216"/>
      <c r="AH28" s="216"/>
      <c r="AI28" s="216"/>
      <c r="AJ28" s="216"/>
      <c r="AK28" s="216"/>
      <c r="AL28" s="216"/>
      <c r="AM28" s="160"/>
      <c r="AN28" s="152"/>
      <c r="AO28" s="205"/>
      <c r="AP28" s="205"/>
      <c r="AQ28" s="216"/>
      <c r="AR28" s="216"/>
      <c r="AS28" s="216"/>
      <c r="AT28" s="216"/>
      <c r="AU28" s="216"/>
      <c r="AV28" s="216"/>
      <c r="AW28" s="216"/>
      <c r="AX28" s="216"/>
      <c r="AY28" s="216"/>
      <c r="AZ28" s="156"/>
    </row>
    <row r="29" ht="15.75" customHeight="1" spans="1:62">
      <c r="A29" s="157"/>
      <c r="B29" s="197"/>
      <c r="C29" s="197"/>
      <c r="D29" s="212"/>
      <c r="E29" s="212"/>
      <c r="F29" s="212"/>
      <c r="G29" s="212"/>
      <c r="H29" s="212"/>
      <c r="I29" s="212"/>
      <c r="J29" s="212"/>
      <c r="K29" s="212"/>
      <c r="L29" s="212"/>
      <c r="M29" s="156"/>
      <c r="N29" s="157"/>
      <c r="O29" s="197"/>
      <c r="P29" s="197"/>
      <c r="Q29" s="212"/>
      <c r="R29" s="212"/>
      <c r="S29" s="212"/>
      <c r="T29" s="212"/>
      <c r="U29" s="212"/>
      <c r="V29" s="212"/>
      <c r="W29" s="212"/>
      <c r="X29" s="212"/>
      <c r="Y29" s="212"/>
      <c r="Z29" s="156"/>
      <c r="AA29" s="157"/>
      <c r="AB29" s="205"/>
      <c r="AC29" s="205"/>
      <c r="AD29" s="216"/>
      <c r="AE29" s="216"/>
      <c r="AF29" s="216"/>
      <c r="AG29" s="216"/>
      <c r="AH29" s="216"/>
      <c r="AI29" s="216"/>
      <c r="AJ29" s="216"/>
      <c r="AK29" s="216"/>
      <c r="AL29" s="216"/>
      <c r="AM29" s="160"/>
      <c r="AN29" s="152"/>
      <c r="AO29" s="205"/>
      <c r="AP29" s="205"/>
      <c r="AQ29" s="216"/>
      <c r="AR29" s="216"/>
      <c r="AS29" s="216"/>
      <c r="AT29" s="216"/>
      <c r="AU29" s="216"/>
      <c r="AV29" s="216"/>
      <c r="AW29" s="216"/>
      <c r="AX29" s="216"/>
      <c r="AY29" s="216"/>
      <c r="AZ29" s="156"/>
    </row>
    <row r="30" ht="15.75" customHeight="1" spans="1:62">
      <c r="A30" s="157"/>
      <c r="B30" s="197" t="s">
        <v>112</v>
      </c>
      <c r="C30" s="197"/>
      <c r="D30" s="212"/>
      <c r="E30" s="212" t="str">
        <f>BC17</f>
        <v>CAPT. AFNER SYAFRIL</v>
      </c>
      <c r="F30" s="154"/>
      <c r="G30" s="154"/>
      <c r="H30" s="154"/>
      <c r="I30" s="154"/>
      <c r="J30" s="154"/>
      <c r="K30" s="154"/>
      <c r="L30" s="154"/>
      <c r="M30" s="156"/>
      <c r="N30" s="157"/>
      <c r="O30" s="197" t="s">
        <v>112</v>
      </c>
      <c r="P30" s="197"/>
      <c r="Q30" s="212"/>
      <c r="R30" s="549" t="str">
        <f>E30</f>
        <v>CAPT. AFNER SYAFRIL</v>
      </c>
      <c r="S30" s="549"/>
      <c r="T30" s="549"/>
      <c r="U30" s="549"/>
      <c r="V30" s="549"/>
      <c r="W30" s="549"/>
      <c r="X30" s="549"/>
      <c r="Y30" s="212"/>
      <c r="Z30" s="156"/>
      <c r="AA30" s="157"/>
      <c r="AB30" s="205" t="s">
        <v>112</v>
      </c>
      <c r="AC30" s="205"/>
      <c r="AD30" s="216"/>
      <c r="AE30" s="216" t="str">
        <f>R30</f>
        <v>CAPT. AFNER SYAFRIL</v>
      </c>
      <c r="AF30" s="154"/>
      <c r="AG30" s="154"/>
      <c r="AH30" s="154"/>
      <c r="AI30" s="154"/>
      <c r="AJ30" s="154"/>
      <c r="AK30" s="154"/>
      <c r="AL30" s="216"/>
      <c r="AM30" s="160"/>
      <c r="AN30" s="152"/>
      <c r="AO30" s="205" t="s">
        <v>112</v>
      </c>
      <c r="AP30" s="205"/>
      <c r="AQ30" s="216"/>
      <c r="AR30" s="216" t="str">
        <f>AE30</f>
        <v>CAPT. AFNER SYAFRIL</v>
      </c>
      <c r="AS30" s="154"/>
      <c r="AT30" s="154"/>
      <c r="AU30" s="154"/>
      <c r="AV30" s="154"/>
      <c r="AW30" s="154"/>
      <c r="AX30" s="154"/>
      <c r="AY30" s="216"/>
      <c r="AZ30" s="156"/>
    </row>
    <row r="31" ht="59.25" customHeight="1" spans="1:62">
      <c r="A31" s="157"/>
      <c r="B31" s="197"/>
      <c r="C31" s="197"/>
      <c r="D31" s="198" t="s">
        <v>113</v>
      </c>
      <c r="E31" s="154"/>
      <c r="F31" s="154"/>
      <c r="G31" s="154"/>
      <c r="H31" s="154"/>
      <c r="I31" s="154"/>
      <c r="J31" s="212"/>
      <c r="K31" s="212"/>
      <c r="L31" s="212"/>
      <c r="M31" s="156"/>
      <c r="N31" s="157"/>
      <c r="O31" s="197"/>
      <c r="P31" s="197"/>
      <c r="Q31" s="198" t="s">
        <v>113</v>
      </c>
      <c r="R31" s="154"/>
      <c r="S31" s="154"/>
      <c r="T31" s="154"/>
      <c r="U31" s="154"/>
      <c r="V31" s="154"/>
      <c r="W31" s="212"/>
      <c r="X31" s="212"/>
      <c r="Y31" s="212"/>
      <c r="Z31" s="156"/>
      <c r="AA31" s="157"/>
      <c r="AB31" s="205"/>
      <c r="AC31" s="205"/>
      <c r="AD31" s="206" t="s">
        <v>113</v>
      </c>
      <c r="AE31" s="154"/>
      <c r="AF31" s="154"/>
      <c r="AG31" s="154"/>
      <c r="AH31" s="154"/>
      <c r="AI31" s="154"/>
      <c r="AJ31" s="216"/>
      <c r="AK31" s="216"/>
      <c r="AL31" s="216"/>
      <c r="AM31" s="160"/>
      <c r="AN31" s="152"/>
      <c r="AO31" s="205"/>
      <c r="AP31" s="205"/>
      <c r="AQ31" s="206" t="s">
        <v>113</v>
      </c>
      <c r="AR31" s="154"/>
      <c r="AS31" s="154"/>
      <c r="AT31" s="154"/>
      <c r="AU31" s="154"/>
      <c r="AV31" s="154"/>
      <c r="AW31" s="216"/>
      <c r="AX31" s="216"/>
      <c r="AY31" s="216"/>
      <c r="AZ31" s="156"/>
    </row>
    <row r="32" ht="15.75" customHeight="1" spans="1:62">
      <c r="A32" s="152"/>
      <c r="B32" s="197"/>
      <c r="C32" s="197"/>
      <c r="D32" s="212"/>
      <c r="E32" s="212"/>
      <c r="F32" s="212"/>
      <c r="G32" s="212"/>
      <c r="H32" s="212"/>
      <c r="I32" s="212"/>
      <c r="J32" s="212"/>
      <c r="K32" s="212"/>
      <c r="L32" s="212"/>
      <c r="M32" s="156"/>
      <c r="N32" s="157"/>
      <c r="O32" s="197"/>
      <c r="P32" s="197"/>
      <c r="Q32" s="212"/>
      <c r="R32" s="212"/>
      <c r="S32" s="212"/>
      <c r="T32" s="212"/>
      <c r="U32" s="212"/>
      <c r="V32" s="212"/>
      <c r="W32" s="212"/>
      <c r="X32" s="212"/>
      <c r="Y32" s="212"/>
      <c r="Z32" s="156"/>
      <c r="AA32" s="157"/>
      <c r="AB32" s="205"/>
      <c r="AC32" s="205"/>
      <c r="AD32" s="216"/>
      <c r="AE32" s="216"/>
      <c r="AF32" s="216"/>
      <c r="AG32" s="216"/>
      <c r="AH32" s="216"/>
      <c r="AI32" s="216"/>
      <c r="AJ32" s="216"/>
      <c r="AK32" s="216"/>
      <c r="AL32" s="216"/>
      <c r="AM32" s="160"/>
      <c r="AN32" s="152"/>
      <c r="AO32" s="205"/>
      <c r="AP32" s="205"/>
      <c r="AQ32" s="216"/>
      <c r="AR32" s="216"/>
      <c r="AS32" s="216"/>
      <c r="AT32" s="216"/>
      <c r="AU32" s="216"/>
      <c r="AV32" s="216"/>
      <c r="AW32" s="216"/>
      <c r="AX32" s="216"/>
      <c r="AY32" s="216"/>
      <c r="AZ32" s="156"/>
    </row>
    <row r="33" ht="15.75" customHeight="1" spans="1:52">
      <c r="A33" s="152"/>
      <c r="B33" s="197"/>
      <c r="C33" s="197"/>
      <c r="D33" s="212"/>
      <c r="E33" s="212"/>
      <c r="F33" s="212"/>
      <c r="G33" s="212"/>
      <c r="H33" s="212"/>
      <c r="I33" s="212"/>
      <c r="J33" s="212"/>
      <c r="K33" s="212"/>
      <c r="L33" s="212"/>
      <c r="M33" s="156"/>
      <c r="N33" s="157"/>
      <c r="O33" s="197"/>
      <c r="P33" s="197"/>
      <c r="Q33" s="212"/>
      <c r="R33" s="212"/>
      <c r="S33" s="212"/>
      <c r="T33" s="212"/>
      <c r="U33" s="212"/>
      <c r="V33" s="212"/>
      <c r="W33" s="212"/>
      <c r="X33" s="212"/>
      <c r="Y33" s="212"/>
      <c r="Z33" s="156"/>
      <c r="AA33" s="157"/>
      <c r="AB33" s="205"/>
      <c r="AC33" s="205"/>
      <c r="AD33" s="216"/>
      <c r="AE33" s="216"/>
      <c r="AF33" s="216"/>
      <c r="AG33" s="216"/>
      <c r="AH33" s="216"/>
      <c r="AI33" s="216"/>
      <c r="AJ33" s="216"/>
      <c r="AK33" s="216"/>
      <c r="AL33" s="216"/>
      <c r="AM33" s="160"/>
      <c r="AN33" s="152"/>
      <c r="AO33" s="205"/>
      <c r="AP33" s="205"/>
      <c r="AQ33" s="216"/>
      <c r="AR33" s="216"/>
      <c r="AS33" s="216"/>
      <c r="AT33" s="216"/>
      <c r="AU33" s="216"/>
      <c r="AV33" s="216"/>
      <c r="AW33" s="216"/>
      <c r="AX33" s="216"/>
      <c r="AY33" s="216"/>
      <c r="AZ33" s="156"/>
    </row>
    <row r="34" ht="15.75" customHeight="1" spans="1:52">
      <c r="A34" s="152"/>
      <c r="B34" s="197" t="s">
        <v>114</v>
      </c>
      <c r="C34" s="197"/>
      <c r="D34" s="265">
        <f>BC11</f>
        <v>1062</v>
      </c>
      <c r="E34" s="154"/>
      <c r="F34" s="154"/>
      <c r="G34" s="212" t="s">
        <v>115</v>
      </c>
      <c r="H34" s="212"/>
      <c r="I34" s="212"/>
      <c r="J34" s="212"/>
      <c r="K34" s="212"/>
      <c r="L34" s="212"/>
      <c r="M34" s="156"/>
      <c r="N34" s="157"/>
      <c r="O34" s="197" t="s">
        <v>114</v>
      </c>
      <c r="P34" s="197"/>
      <c r="Q34" s="265">
        <f>BC12</f>
        <v>182</v>
      </c>
      <c r="R34" s="154"/>
      <c r="S34" s="154"/>
      <c r="T34" s="212" t="s">
        <v>115</v>
      </c>
      <c r="U34" s="212"/>
      <c r="V34" s="212"/>
      <c r="W34" s="212"/>
      <c r="X34" s="212"/>
      <c r="Y34" s="212"/>
      <c r="Z34" s="156"/>
      <c r="AA34" s="157"/>
      <c r="AB34" s="205" t="s">
        <v>114</v>
      </c>
      <c r="AC34" s="205"/>
      <c r="AD34" s="266">
        <f>BC13</f>
        <v>0</v>
      </c>
      <c r="AE34" s="154"/>
      <c r="AF34" s="154"/>
      <c r="AG34" s="216" t="s">
        <v>115</v>
      </c>
      <c r="AH34" s="216"/>
      <c r="AI34" s="216"/>
      <c r="AJ34" s="216"/>
      <c r="AK34" s="216"/>
      <c r="AL34" s="216"/>
      <c r="AM34" s="160"/>
      <c r="AN34" s="152"/>
      <c r="AO34" s="205" t="s">
        <v>114</v>
      </c>
      <c r="AP34" s="205"/>
      <c r="AQ34" s="266">
        <f>BC14</f>
        <v>0</v>
      </c>
      <c r="AR34" s="154"/>
      <c r="AS34" s="154"/>
      <c r="AT34" s="216" t="s">
        <v>115</v>
      </c>
      <c r="AU34" s="216"/>
      <c r="AV34" s="216"/>
      <c r="AW34" s="216"/>
      <c r="AX34" s="216"/>
      <c r="AY34" s="216"/>
      <c r="AZ34" s="156"/>
    </row>
    <row r="35" ht="48" customHeight="1" spans="1:52">
      <c r="A35" s="267"/>
      <c r="B35" s="268"/>
      <c r="C35" s="550"/>
      <c r="D35" s="551"/>
      <c r="E35" s="551"/>
      <c r="F35" s="551"/>
      <c r="G35" s="551"/>
      <c r="H35" s="551"/>
      <c r="I35" s="551"/>
      <c r="J35" s="551"/>
      <c r="K35" s="551"/>
      <c r="L35" s="551"/>
      <c r="M35" s="552"/>
      <c r="N35" s="553"/>
      <c r="O35" s="550"/>
      <c r="P35" s="550"/>
      <c r="Q35" s="551"/>
      <c r="R35" s="551"/>
      <c r="S35" s="551"/>
      <c r="T35" s="551"/>
      <c r="U35" s="551"/>
      <c r="V35" s="551"/>
      <c r="W35" s="551"/>
      <c r="X35" s="551"/>
      <c r="Y35" s="551"/>
      <c r="Z35" s="552"/>
      <c r="AA35" s="553"/>
      <c r="AB35" s="268"/>
      <c r="AC35" s="268"/>
      <c r="AD35" s="269"/>
      <c r="AE35" s="269"/>
      <c r="AF35" s="269"/>
      <c r="AG35" s="269"/>
      <c r="AH35" s="269"/>
      <c r="AI35" s="269"/>
      <c r="AJ35" s="269"/>
      <c r="AK35" s="269"/>
      <c r="AL35" s="269"/>
      <c r="AM35" s="270"/>
      <c r="AN35" s="267"/>
      <c r="AO35" s="268"/>
      <c r="AP35" s="268"/>
      <c r="AQ35" s="269"/>
      <c r="AR35" s="269"/>
      <c r="AS35" s="269"/>
      <c r="AT35" s="269"/>
      <c r="AU35" s="269"/>
      <c r="AV35" s="269"/>
      <c r="AW35" s="269"/>
      <c r="AX35" s="269"/>
      <c r="AY35" s="269"/>
      <c r="AZ35" s="270"/>
    </row>
    <row r="36" ht="15.75" customHeight="1"/>
    <row r="37" ht="15.75" customHeight="1" spans="1:52">
      <c r="A37" s="52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A2:F2"/>
    <mergeCell ref="N2:S2"/>
    <mergeCell ref="AA2:AF2"/>
    <mergeCell ref="AN2:AS2"/>
    <mergeCell ref="BH2:BI2"/>
    <mergeCell ref="BH3:BI3"/>
    <mergeCell ref="B4:F4"/>
    <mergeCell ref="J4:L4"/>
    <mergeCell ref="O4:S4"/>
    <mergeCell ref="W4:Y4"/>
    <mergeCell ref="AB4:AF4"/>
    <mergeCell ref="AJ4:AL4"/>
    <mergeCell ref="AO4:AS4"/>
    <mergeCell ref="AW4:AY4"/>
    <mergeCell ref="B6:D6"/>
    <mergeCell ref="E6:F6"/>
    <mergeCell ref="H6:L6"/>
    <mergeCell ref="O6:Q6"/>
    <mergeCell ref="R6:S6"/>
    <mergeCell ref="U6:Y6"/>
    <mergeCell ref="AB6:AD6"/>
    <mergeCell ref="AE6:AF6"/>
    <mergeCell ref="AH6:AL6"/>
    <mergeCell ref="AO6:AQ6"/>
    <mergeCell ref="AR6:AS6"/>
    <mergeCell ref="AU6:AY6"/>
    <mergeCell ref="B7:D7"/>
    <mergeCell ref="E7:F7"/>
    <mergeCell ref="H7:L7"/>
    <mergeCell ref="O7:Q7"/>
    <mergeCell ref="R7:S7"/>
    <mergeCell ref="U7:Y7"/>
    <mergeCell ref="AB7:AD7"/>
    <mergeCell ref="AE7:AF7"/>
    <mergeCell ref="AH7:AL7"/>
    <mergeCell ref="AO7:AQ7"/>
    <mergeCell ref="AR7:AS7"/>
    <mergeCell ref="AU7:AY7"/>
    <mergeCell ref="B8:D8"/>
    <mergeCell ref="E8:F8"/>
    <mergeCell ref="H8:L8"/>
    <mergeCell ref="O8:Q8"/>
    <mergeCell ref="R8:S8"/>
    <mergeCell ref="U8:Y8"/>
    <mergeCell ref="AB8:AD8"/>
    <mergeCell ref="AE8:AF8"/>
    <mergeCell ref="AH8:AL8"/>
    <mergeCell ref="AO8:AQ8"/>
    <mergeCell ref="AR8:AS8"/>
    <mergeCell ref="AU8:AY8"/>
    <mergeCell ref="B9:D9"/>
    <mergeCell ref="E9:F9"/>
    <mergeCell ref="H9:L9"/>
    <mergeCell ref="O9:Q9"/>
    <mergeCell ref="R9:S9"/>
    <mergeCell ref="U9:Y9"/>
    <mergeCell ref="AB9:AD9"/>
    <mergeCell ref="AE9:AF9"/>
    <mergeCell ref="AH9:AL9"/>
    <mergeCell ref="AO9:AQ9"/>
    <mergeCell ref="AR9:AS9"/>
    <mergeCell ref="AU9:AY9"/>
    <mergeCell ref="G11:L11"/>
    <mergeCell ref="T11:Y11"/>
    <mergeCell ref="AG11:AL11"/>
    <mergeCell ref="AT11:AY11"/>
    <mergeCell ref="G12:L12"/>
    <mergeCell ref="T12:Y12"/>
    <mergeCell ref="AG12:AL12"/>
    <mergeCell ref="AT12:AY12"/>
    <mergeCell ref="G13:L13"/>
    <mergeCell ref="T13:Y13"/>
    <mergeCell ref="AG13:AL13"/>
    <mergeCell ref="AT13:AY13"/>
    <mergeCell ref="I15:L15"/>
    <mergeCell ref="V15:Y15"/>
    <mergeCell ref="AI15:AL15"/>
    <mergeCell ref="AV15:AY15"/>
    <mergeCell ref="E16:H16"/>
    <mergeCell ref="I16:L16"/>
    <mergeCell ref="R16:U16"/>
    <mergeCell ref="V16:Y16"/>
    <mergeCell ref="AE16:AH16"/>
    <mergeCell ref="AI16:AL16"/>
    <mergeCell ref="AR16:AU16"/>
    <mergeCell ref="AV16:AY16"/>
    <mergeCell ref="G17:L17"/>
    <mergeCell ref="T17:Y17"/>
    <mergeCell ref="AG17:AL17"/>
    <mergeCell ref="AT17:AY17"/>
    <mergeCell ref="G19:L19"/>
    <mergeCell ref="T19:Y19"/>
    <mergeCell ref="AG19:AL19"/>
    <mergeCell ref="AT19:AY19"/>
    <mergeCell ref="G20:L20"/>
    <mergeCell ref="T20:Y20"/>
    <mergeCell ref="AG20:AL20"/>
    <mergeCell ref="AT20:AY20"/>
    <mergeCell ref="G21:L21"/>
    <mergeCell ref="T21:Y21"/>
    <mergeCell ref="AG21:AL21"/>
    <mergeCell ref="AT21:AY21"/>
    <mergeCell ref="G22:L22"/>
    <mergeCell ref="T22:Y22"/>
    <mergeCell ref="AG22:AL22"/>
    <mergeCell ref="AT22:AY22"/>
    <mergeCell ref="G23:L23"/>
    <mergeCell ref="T23:Y23"/>
    <mergeCell ref="AG23:AL23"/>
    <mergeCell ref="AT23:AY23"/>
    <mergeCell ref="G25:L25"/>
    <mergeCell ref="T25:Y25"/>
    <mergeCell ref="AG25:AL25"/>
    <mergeCell ref="AT25:AY25"/>
    <mergeCell ref="G26:L26"/>
    <mergeCell ref="T26:Y26"/>
    <mergeCell ref="AG26:AL26"/>
    <mergeCell ref="AT26:AY26"/>
    <mergeCell ref="G27:L27"/>
    <mergeCell ref="T27:Y27"/>
    <mergeCell ref="AG27:AL27"/>
    <mergeCell ref="AT27:AY27"/>
    <mergeCell ref="E30:L30"/>
    <mergeCell ref="AE30:AK30"/>
    <mergeCell ref="AR30:AX30"/>
    <mergeCell ref="D31:I31"/>
    <mergeCell ref="Q31:V31"/>
    <mergeCell ref="AD31:AI31"/>
    <mergeCell ref="AQ31:AV31"/>
    <mergeCell ref="D34:F34"/>
    <mergeCell ref="Q34:S34"/>
    <mergeCell ref="AD34:AF34"/>
    <mergeCell ref="AQ34:AS34"/>
    <mergeCell ref="A37:B37"/>
  </mergeCells>
  <printOptions verticalCentered="1"/>
  <pageMargins left="0.25" right="0" top="0.75" bottom="0.75" header="0" footer="0"/>
  <pageSetup paperSize="9" orientation="landscape"/>
  <headerFooter/>
  <colBreaks count="1" manualBreakCount="1">
    <brk id="52" max="0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Z1000"/>
  <sheetViews>
    <sheetView showGridLines="0" workbookViewId="0">
      <selection activeCell="A1" sqref="A1"/>
    </sheetView>
  </sheetViews>
  <sheetFormatPr defaultColWidth="12.6271186440678" defaultRowHeight="15" customHeight="1"/>
  <cols>
    <col min="1" max="1" width="1.88135593220339" customWidth="1"/>
    <col min="2" max="2" width="10.3813559322034" customWidth="1"/>
    <col min="3" max="3" width="11.1271186440678" customWidth="1"/>
    <col min="4" max="4" width="9" customWidth="1"/>
    <col min="5" max="5" width="10.5" customWidth="1"/>
    <col min="6" max="6" width="17.1271186440678" customWidth="1"/>
    <col min="7" max="7" width="8.25423728813559" customWidth="1"/>
    <col min="8" max="8" width="11.5" customWidth="1"/>
    <col min="9" max="9" width="7" customWidth="1"/>
    <col min="10" max="10" width="8.75423728813559" customWidth="1"/>
    <col min="11" max="12" width="9.5" customWidth="1"/>
    <col min="13" max="13" width="10.2542372881356" customWidth="1"/>
    <col min="14" max="14" width="8.38135593220339" customWidth="1"/>
    <col min="15" max="15" width="11.1271186440678" customWidth="1"/>
    <col min="16" max="16" width="13.1271186440678" customWidth="1"/>
    <col min="17" max="17" width="2.5" customWidth="1"/>
    <col min="18" max="18" width="11.1271186440678" customWidth="1"/>
    <col min="19" max="19" width="4.25423728813559" customWidth="1"/>
    <col min="20" max="20" width="2.25423728813559" customWidth="1"/>
    <col min="21" max="26" width="11.5" customWidth="1"/>
  </cols>
  <sheetData>
    <row r="1" ht="15.75" customHeight="1" spans="1:26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67.5" customHeight="1" spans="1:26">
      <c r="A2" s="63"/>
      <c r="B2" s="64" t="s">
        <v>28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  <c r="T2" s="63" t="s">
        <v>29</v>
      </c>
      <c r="U2" s="63"/>
      <c r="V2" s="63"/>
      <c r="W2" s="63"/>
      <c r="X2" s="63"/>
      <c r="Y2" s="63"/>
      <c r="Z2" s="63"/>
    </row>
    <row r="3" ht="22.5" customHeight="1" spans="1:26">
      <c r="A3" s="63"/>
      <c r="B3" s="67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8"/>
      <c r="T3" s="63"/>
      <c r="U3" s="63"/>
      <c r="V3" s="63"/>
      <c r="W3" s="63"/>
      <c r="X3" s="63"/>
      <c r="Y3" s="63"/>
      <c r="Z3" s="63"/>
    </row>
    <row r="4" ht="18.75" customHeight="1" spans="1:26">
      <c r="A4" s="63"/>
      <c r="B4" s="511" t="s">
        <v>30</v>
      </c>
      <c r="C4" s="70" t="s">
        <v>151</v>
      </c>
      <c r="D4" s="71"/>
      <c r="E4" s="72"/>
      <c r="F4" s="349" t="s">
        <v>32</v>
      </c>
      <c r="G4" s="350" t="s">
        <v>33</v>
      </c>
      <c r="H4" s="351"/>
      <c r="I4" s="73" t="s">
        <v>34</v>
      </c>
      <c r="J4" s="350" t="s">
        <v>152</v>
      </c>
      <c r="K4" s="76"/>
      <c r="L4" s="76"/>
      <c r="M4" s="349" t="s">
        <v>36</v>
      </c>
      <c r="N4" s="350" t="str">
        <f>'860'!BH11</f>
        <v>WADL</v>
      </c>
      <c r="O4" s="76"/>
      <c r="P4" s="352" t="s">
        <v>37</v>
      </c>
      <c r="Q4" s="353"/>
      <c r="R4" s="350">
        <f>'860'!BC19</f>
        <v>71080</v>
      </c>
      <c r="S4" s="68"/>
      <c r="T4" s="63"/>
      <c r="U4" s="63"/>
      <c r="V4" s="63"/>
      <c r="W4" s="63"/>
      <c r="X4" s="63"/>
      <c r="Y4" s="63"/>
      <c r="Z4" s="63"/>
    </row>
    <row r="5" ht="6" customHeight="1" spans="1:26">
      <c r="A5" s="63"/>
      <c r="B5" s="512"/>
      <c r="C5" s="78"/>
      <c r="D5" s="78"/>
      <c r="E5" s="78"/>
      <c r="F5" s="76"/>
      <c r="G5" s="79"/>
      <c r="H5" s="76"/>
      <c r="I5" s="76"/>
      <c r="J5" s="79"/>
      <c r="K5" s="76"/>
      <c r="L5" s="76"/>
      <c r="M5" s="349"/>
      <c r="N5" s="79"/>
      <c r="O5" s="76"/>
      <c r="P5" s="77"/>
      <c r="Q5" s="76"/>
      <c r="R5" s="78"/>
      <c r="S5" s="68"/>
      <c r="T5" s="63"/>
      <c r="U5" s="63"/>
      <c r="V5" s="63"/>
      <c r="W5" s="63"/>
      <c r="X5" s="63"/>
      <c r="Y5" s="63"/>
      <c r="Z5" s="63"/>
    </row>
    <row r="6" ht="18.75" customHeight="1" spans="1:26">
      <c r="A6" s="63"/>
      <c r="B6" s="511" t="s">
        <v>38</v>
      </c>
      <c r="C6" s="80">
        <f ca="1">'860'!BB2</f>
        <v>46283</v>
      </c>
      <c r="D6" s="71"/>
      <c r="E6" s="72"/>
      <c r="F6" s="349" t="s">
        <v>39</v>
      </c>
      <c r="G6" s="350" t="str">
        <f>J4</f>
        <v>WATO</v>
      </c>
      <c r="H6" s="351"/>
      <c r="I6" s="73" t="s">
        <v>40</v>
      </c>
      <c r="J6" s="350" t="s">
        <v>33</v>
      </c>
      <c r="K6" s="76"/>
      <c r="L6" s="76"/>
      <c r="M6" s="349" t="s">
        <v>36</v>
      </c>
      <c r="N6" s="350" t="str">
        <f>'860'!BH12</f>
        <v>WIPP</v>
      </c>
      <c r="O6" s="76"/>
      <c r="P6" s="352" t="s">
        <v>37</v>
      </c>
      <c r="Q6" s="353"/>
      <c r="R6" s="350">
        <f>'860'!BC20</f>
        <v>71082</v>
      </c>
      <c r="S6" s="68"/>
      <c r="T6" s="63"/>
      <c r="U6" s="63"/>
      <c r="V6" s="63"/>
      <c r="W6" s="63"/>
      <c r="X6" s="63"/>
      <c r="Y6" s="63"/>
      <c r="Z6" s="63"/>
    </row>
    <row r="7" ht="6" customHeight="1" spans="1:26">
      <c r="A7" s="63"/>
      <c r="B7" s="512"/>
      <c r="C7" s="81"/>
      <c r="D7" s="78"/>
      <c r="E7" s="78"/>
      <c r="F7" s="76"/>
      <c r="G7" s="79"/>
      <c r="H7" s="76"/>
      <c r="I7" s="76"/>
      <c r="J7" s="79"/>
      <c r="K7" s="76"/>
      <c r="L7" s="76"/>
      <c r="M7" s="76"/>
      <c r="N7" s="79"/>
      <c r="O7" s="76"/>
      <c r="P7" s="77"/>
      <c r="Q7" s="76"/>
      <c r="R7" s="78"/>
      <c r="S7" s="68"/>
      <c r="T7" s="63"/>
      <c r="U7" s="63"/>
      <c r="V7" s="63"/>
      <c r="W7" s="63"/>
      <c r="X7" s="63"/>
      <c r="Y7" s="63"/>
      <c r="Z7" s="63"/>
    </row>
    <row r="8" ht="18.75" customHeight="1" spans="1:26">
      <c r="A8" s="63"/>
      <c r="B8" s="511" t="s">
        <v>41</v>
      </c>
      <c r="C8" s="83" t="str">
        <f>'860'!BB3</f>
        <v>PKAZJ</v>
      </c>
      <c r="D8" s="84"/>
      <c r="E8" s="78"/>
      <c r="F8" s="85" t="s">
        <v>42</v>
      </c>
      <c r="G8" s="513" t="s">
        <v>33</v>
      </c>
      <c r="H8" s="87"/>
      <c r="I8" s="85" t="s">
        <v>43</v>
      </c>
      <c r="J8" s="513" t="s">
        <v>153</v>
      </c>
      <c r="K8" s="88"/>
      <c r="L8" s="88"/>
      <c r="M8" s="85" t="s">
        <v>36</v>
      </c>
      <c r="N8" s="513">
        <f>'860'!BH13</f>
        <v>0</v>
      </c>
      <c r="O8" s="88"/>
      <c r="P8" s="89" t="s">
        <v>37</v>
      </c>
      <c r="Q8" s="88"/>
      <c r="R8" s="513">
        <f>'860'!BC21</f>
        <v>0</v>
      </c>
      <c r="S8" s="68"/>
      <c r="T8" s="63"/>
      <c r="U8" s="63"/>
      <c r="V8" s="63"/>
      <c r="W8" s="63"/>
      <c r="X8" s="63"/>
      <c r="Y8" s="63"/>
      <c r="Z8" s="63"/>
    </row>
    <row r="9" ht="5.25" customHeight="1" spans="1:26">
      <c r="A9" s="63"/>
      <c r="B9" s="514"/>
      <c r="C9" s="82"/>
      <c r="D9" s="82"/>
      <c r="E9" s="82"/>
      <c r="F9" s="91"/>
      <c r="G9" s="141"/>
      <c r="H9" s="88"/>
      <c r="I9" s="91"/>
      <c r="J9" s="515"/>
      <c r="K9" s="91"/>
      <c r="L9" s="91"/>
      <c r="M9" s="88"/>
      <c r="N9" s="515"/>
      <c r="O9" s="88"/>
      <c r="P9" s="89"/>
      <c r="Q9" s="88"/>
      <c r="R9" s="516"/>
      <c r="S9" s="68"/>
      <c r="T9" s="63"/>
      <c r="U9" s="63"/>
      <c r="V9" s="63"/>
      <c r="W9" s="63"/>
      <c r="X9" s="63"/>
      <c r="Y9" s="63"/>
      <c r="Z9" s="63"/>
    </row>
    <row r="10" ht="15.75" customHeight="1" spans="1:26">
      <c r="A10" s="63"/>
      <c r="B10" s="67"/>
      <c r="C10" s="82"/>
      <c r="D10" s="82"/>
      <c r="E10" s="82"/>
      <c r="F10" s="85" t="s">
        <v>46</v>
      </c>
      <c r="G10" s="513" t="str">
        <f>J8</f>
        <v>WADD</v>
      </c>
      <c r="H10" s="87"/>
      <c r="I10" s="85" t="s">
        <v>47</v>
      </c>
      <c r="J10" s="513" t="s">
        <v>33</v>
      </c>
      <c r="K10" s="88"/>
      <c r="L10" s="88"/>
      <c r="M10" s="85" t="s">
        <v>36</v>
      </c>
      <c r="N10" s="513">
        <f>'860'!BH14</f>
        <v>0</v>
      </c>
      <c r="O10" s="88"/>
      <c r="P10" s="89" t="s">
        <v>37</v>
      </c>
      <c r="Q10" s="88"/>
      <c r="R10" s="513">
        <f>'860'!BC22</f>
        <v>0</v>
      </c>
      <c r="S10" s="68"/>
      <c r="T10" s="63"/>
      <c r="U10" s="63"/>
      <c r="V10" s="63"/>
      <c r="W10" s="63"/>
      <c r="X10" s="63"/>
      <c r="Y10" s="63"/>
      <c r="Z10" s="63"/>
    </row>
    <row r="11" ht="6" customHeight="1" spans="1:26">
      <c r="A11" s="63"/>
      <c r="B11" s="67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8"/>
      <c r="T11" s="63"/>
      <c r="U11" s="63"/>
      <c r="V11" s="63"/>
      <c r="W11" s="63"/>
      <c r="X11" s="63"/>
      <c r="Y11" s="63"/>
      <c r="Z11" s="63"/>
    </row>
    <row r="12" ht="18.75" customHeight="1" spans="1:26">
      <c r="A12" s="63"/>
      <c r="B12" s="67"/>
      <c r="C12" s="82" t="s">
        <v>48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517"/>
      <c r="S12" s="68"/>
      <c r="T12" s="63"/>
      <c r="U12" s="63"/>
      <c r="V12" s="63"/>
      <c r="W12" s="63"/>
      <c r="X12" s="63"/>
      <c r="Y12" s="63"/>
      <c r="Z12" s="63"/>
    </row>
    <row r="13" ht="93.75" customHeight="1" spans="1:26">
      <c r="A13" s="63"/>
      <c r="B13" s="67"/>
      <c r="C13" s="95" t="s">
        <v>33</v>
      </c>
      <c r="D13" s="96" t="str">
        <f>'526CBR'!D13</f>
        <v>TAF WIII 202300Z 2100/2206 VRB02KT 8000 FEW020 
  BECMG 2102/2104 36010KT 
  BECMG 2114/2116 22005KT 5000 HZ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8"/>
      <c r="S13" s="99"/>
      <c r="T13" s="63"/>
      <c r="U13" s="63"/>
      <c r="V13" s="63"/>
      <c r="W13" s="63"/>
      <c r="X13" s="63"/>
      <c r="Y13" s="63"/>
      <c r="Z13" s="63"/>
    </row>
    <row r="14" ht="61.5" customHeight="1" spans="1:26">
      <c r="A14" s="63"/>
      <c r="B14" s="67"/>
      <c r="C14" s="95" t="s">
        <v>152</v>
      </c>
      <c r="D14" s="96" t="s">
        <v>154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8"/>
      <c r="S14" s="99"/>
      <c r="T14" s="63"/>
      <c r="U14" s="63"/>
      <c r="V14" s="63"/>
      <c r="W14" s="63"/>
      <c r="X14" s="63"/>
      <c r="Y14" s="63"/>
      <c r="Z14" s="63"/>
    </row>
    <row r="15" ht="61.5" customHeight="1" spans="1:26">
      <c r="A15" s="63"/>
      <c r="B15" s="67"/>
      <c r="C15" s="95" t="s">
        <v>149</v>
      </c>
      <c r="D15" s="96" t="e">
        <f>[1]INPUT!D15</f>
        <v>#REF!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  <c r="S15" s="100"/>
      <c r="T15" s="63"/>
      <c r="U15" s="63"/>
      <c r="V15" s="63"/>
      <c r="W15" s="63"/>
      <c r="X15" s="63"/>
      <c r="Y15" s="63"/>
      <c r="Z15" s="63"/>
    </row>
    <row r="16" ht="61.5" customHeight="1" spans="1:26">
      <c r="A16" s="63"/>
      <c r="B16" s="67"/>
      <c r="C16" s="95" t="s">
        <v>18</v>
      </c>
      <c r="D16" s="96" t="str">
        <f>'526CBR'!D17</f>
        <v>TAF WILL 202300Z 2100/2124 12007KT 9999 FEW015 BECMG 2114/2116 00000KT=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8"/>
      <c r="S16" s="99"/>
      <c r="T16" s="63"/>
      <c r="U16" s="63"/>
      <c r="V16" s="63"/>
      <c r="W16" s="63"/>
      <c r="X16" s="63"/>
      <c r="Y16" s="63"/>
      <c r="Z16" s="63"/>
    </row>
    <row r="17" ht="75" customHeight="1" spans="1:26">
      <c r="A17" s="63"/>
      <c r="B17" s="67"/>
      <c r="C17" s="95" t="s">
        <v>55</v>
      </c>
      <c r="D17" s="96" t="str">
        <f>'526CBR'!D16</f>
        <v>TAF WIPP 202300Z 2100/2124 09008KT 9999 SCT015 
  TEMPO 2121/2124 5000 HZ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8"/>
      <c r="S17" s="99"/>
      <c r="T17" s="63"/>
      <c r="U17" s="63"/>
      <c r="V17" s="63"/>
      <c r="W17" s="63"/>
      <c r="X17" s="63"/>
      <c r="Y17" s="63"/>
      <c r="Z17" s="63"/>
    </row>
    <row r="18" ht="15.75" customHeight="1" spans="1:26">
      <c r="A18" s="63"/>
      <c r="B18" s="67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101"/>
      <c r="S18" s="68"/>
      <c r="T18" s="63"/>
      <c r="U18" s="63"/>
      <c r="V18" s="63"/>
      <c r="W18" s="63"/>
      <c r="X18" s="63"/>
      <c r="Y18" s="63"/>
      <c r="Z18" s="63"/>
    </row>
    <row r="19" ht="15.75" customHeight="1" spans="1:26">
      <c r="A19" s="63"/>
      <c r="B19" s="67"/>
      <c r="C19" s="102"/>
      <c r="D19" s="102" t="s">
        <v>57</v>
      </c>
      <c r="E19" s="102" t="s">
        <v>58</v>
      </c>
      <c r="F19" s="103" t="s">
        <v>59</v>
      </c>
      <c r="G19" s="104"/>
      <c r="H19" s="104"/>
      <c r="I19" s="104"/>
      <c r="J19" s="105"/>
      <c r="K19" s="102" t="s">
        <v>57</v>
      </c>
      <c r="L19" s="102" t="s">
        <v>57</v>
      </c>
      <c r="M19" s="102" t="s">
        <v>58</v>
      </c>
      <c r="N19" s="103" t="s">
        <v>59</v>
      </c>
      <c r="O19" s="104"/>
      <c r="P19" s="104"/>
      <c r="Q19" s="104"/>
      <c r="R19" s="105"/>
      <c r="S19" s="106"/>
      <c r="T19" s="63"/>
      <c r="U19" s="63"/>
      <c r="V19" s="63"/>
      <c r="W19" s="63"/>
      <c r="X19" s="63"/>
      <c r="Y19" s="63"/>
      <c r="Z19" s="63"/>
    </row>
    <row r="20" ht="15.75" customHeight="1" spans="1:26">
      <c r="A20" s="63"/>
      <c r="B20" s="67"/>
      <c r="C20" s="107"/>
      <c r="D20" s="108" t="s">
        <v>60</v>
      </c>
      <c r="E20" s="107"/>
      <c r="F20" s="109"/>
      <c r="G20" s="20"/>
      <c r="H20" s="20"/>
      <c r="I20" s="20"/>
      <c r="J20" s="110"/>
      <c r="K20" s="108" t="s">
        <v>60</v>
      </c>
      <c r="L20" s="108" t="s">
        <v>60</v>
      </c>
      <c r="M20" s="107"/>
      <c r="N20" s="109"/>
      <c r="O20" s="20"/>
      <c r="P20" s="20"/>
      <c r="Q20" s="20"/>
      <c r="R20" s="110"/>
      <c r="S20" s="106"/>
      <c r="T20" s="63"/>
      <c r="U20" s="63"/>
      <c r="V20" s="63"/>
      <c r="W20" s="63"/>
      <c r="X20" s="63"/>
      <c r="Y20" s="63"/>
      <c r="Z20" s="63"/>
    </row>
    <row r="21" ht="48" customHeight="1" spans="1:26">
      <c r="A21" s="63"/>
      <c r="B21" s="67"/>
      <c r="C21" s="38" t="s">
        <v>32</v>
      </c>
      <c r="D21" s="95" t="str">
        <f>G4</f>
        <v>WIII</v>
      </c>
      <c r="E21" s="117">
        <f>'860'!BE4</f>
        <v>1.23611111111111</v>
      </c>
      <c r="F21" s="518" t="s">
        <v>124</v>
      </c>
      <c r="G21" s="97"/>
      <c r="H21" s="97"/>
      <c r="I21" s="97"/>
      <c r="J21" s="98"/>
      <c r="K21" s="113" t="s">
        <v>42</v>
      </c>
      <c r="L21" s="477" t="str">
        <f>G8</f>
        <v>WIII</v>
      </c>
      <c r="M21" s="118">
        <f>'860'!BE6</f>
        <v>0.138888888888889</v>
      </c>
      <c r="N21" s="115"/>
      <c r="O21" s="97"/>
      <c r="P21" s="97"/>
      <c r="Q21" s="97"/>
      <c r="R21" s="98"/>
      <c r="S21" s="106"/>
      <c r="T21" s="63"/>
      <c r="U21" s="63"/>
      <c r="V21" s="63"/>
      <c r="W21" s="63"/>
      <c r="X21" s="63"/>
      <c r="Y21" s="63"/>
      <c r="Z21" s="63"/>
    </row>
    <row r="22" ht="48" customHeight="1" spans="1:26">
      <c r="A22" s="63"/>
      <c r="B22" s="67"/>
      <c r="C22" s="38" t="s">
        <v>34</v>
      </c>
      <c r="D22" s="95" t="str">
        <f>J4</f>
        <v>WATO</v>
      </c>
      <c r="E22" s="117">
        <f>'860'!BF4</f>
        <v>0.336805555555556</v>
      </c>
      <c r="F22" s="112" t="s">
        <v>155</v>
      </c>
      <c r="G22" s="97"/>
      <c r="H22" s="97"/>
      <c r="I22" s="97"/>
      <c r="J22" s="98"/>
      <c r="K22" s="113" t="s">
        <v>43</v>
      </c>
      <c r="L22" s="477" t="str">
        <f>J8</f>
        <v>WADD</v>
      </c>
      <c r="M22" s="118">
        <f>'860'!BF6</f>
        <v>0.215277777777778</v>
      </c>
      <c r="N22" s="519"/>
      <c r="O22" s="97"/>
      <c r="P22" s="97"/>
      <c r="Q22" s="97"/>
      <c r="R22" s="98"/>
      <c r="S22" s="106"/>
      <c r="T22" s="63"/>
      <c r="U22" s="63"/>
      <c r="V22" s="63"/>
      <c r="W22" s="63"/>
      <c r="X22" s="63"/>
      <c r="Y22" s="63"/>
      <c r="Z22" s="63"/>
    </row>
    <row r="23" ht="48" customHeight="1" spans="1:26">
      <c r="A23" s="63"/>
      <c r="B23" s="67"/>
      <c r="C23" s="38" t="s">
        <v>39</v>
      </c>
      <c r="D23" s="111" t="str">
        <f>G6</f>
        <v>WATO</v>
      </c>
      <c r="E23" s="117">
        <f>'860'!BE5</f>
        <v>0.357638888888889</v>
      </c>
      <c r="F23" s="112" t="s">
        <v>155</v>
      </c>
      <c r="G23" s="97"/>
      <c r="H23" s="97"/>
      <c r="I23" s="97"/>
      <c r="J23" s="98"/>
      <c r="K23" s="113" t="s">
        <v>46</v>
      </c>
      <c r="L23" s="114" t="str">
        <f>G10</f>
        <v>WADD</v>
      </c>
      <c r="M23" s="118">
        <f>'860'!BE7</f>
        <v>0.232638888888889</v>
      </c>
      <c r="N23" s="519"/>
      <c r="O23" s="97"/>
      <c r="P23" s="97"/>
      <c r="Q23" s="97"/>
      <c r="R23" s="98"/>
      <c r="S23" s="106"/>
      <c r="T23" s="63"/>
      <c r="U23" s="63"/>
      <c r="V23" s="63"/>
      <c r="W23" s="63"/>
      <c r="X23" s="63"/>
      <c r="Y23" s="63"/>
      <c r="Z23" s="63"/>
    </row>
    <row r="24" ht="48" customHeight="1" spans="1:26">
      <c r="A24" s="63"/>
      <c r="B24" s="67"/>
      <c r="C24" s="38" t="s">
        <v>40</v>
      </c>
      <c r="D24" s="95" t="str">
        <f>J6</f>
        <v>WIII</v>
      </c>
      <c r="E24" s="117">
        <f>'860'!BF5</f>
        <v>0.454861111111111</v>
      </c>
      <c r="F24" s="518" t="s">
        <v>124</v>
      </c>
      <c r="G24" s="97"/>
      <c r="H24" s="97"/>
      <c r="I24" s="97"/>
      <c r="J24" s="98"/>
      <c r="K24" s="113" t="s">
        <v>47</v>
      </c>
      <c r="L24" s="477" t="str">
        <f>J10</f>
        <v>WIII</v>
      </c>
      <c r="M24" s="118">
        <f>'860'!BF7</f>
        <v>0.309027777777778</v>
      </c>
      <c r="N24" s="115"/>
      <c r="O24" s="97"/>
      <c r="P24" s="97"/>
      <c r="Q24" s="97"/>
      <c r="R24" s="98"/>
      <c r="S24" s="106"/>
      <c r="T24" s="63"/>
      <c r="U24" s="63"/>
      <c r="V24" s="63"/>
      <c r="W24" s="63"/>
      <c r="X24" s="63"/>
      <c r="Y24" s="63"/>
      <c r="Z24" s="63"/>
    </row>
    <row r="25" ht="18.75" customHeight="1" spans="1:26">
      <c r="A25" s="63"/>
      <c r="B25" s="67"/>
      <c r="C25" s="38"/>
      <c r="D25" s="38"/>
      <c r="E25" s="117"/>
      <c r="F25" s="520"/>
      <c r="G25" s="97"/>
      <c r="H25" s="97"/>
      <c r="I25" s="97"/>
      <c r="J25" s="98"/>
      <c r="K25" s="38"/>
      <c r="L25" s="38"/>
      <c r="M25" s="117"/>
      <c r="N25" s="521"/>
      <c r="O25" s="521"/>
      <c r="P25" s="521"/>
      <c r="Q25" s="521"/>
      <c r="R25" s="522"/>
      <c r="S25" s="68"/>
      <c r="T25" s="63"/>
      <c r="U25" s="63"/>
      <c r="V25" s="63"/>
      <c r="W25" s="63"/>
      <c r="X25" s="63"/>
      <c r="Y25" s="63"/>
      <c r="Z25" s="63"/>
    </row>
    <row r="26" ht="15.75" customHeight="1" spans="1:26">
      <c r="A26" s="63"/>
      <c r="B26" s="67"/>
      <c r="C26" s="58"/>
      <c r="D26" s="58"/>
      <c r="E26" s="119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120"/>
      <c r="S26" s="106"/>
      <c r="T26" s="63"/>
      <c r="U26" s="63"/>
      <c r="V26" s="63"/>
      <c r="W26" s="63"/>
      <c r="X26" s="63"/>
      <c r="Y26" s="63"/>
      <c r="Z26" s="63"/>
    </row>
    <row r="27" ht="15.75" customHeight="1" spans="1:26">
      <c r="A27" s="63"/>
      <c r="B27" s="67"/>
      <c r="C27" s="102"/>
      <c r="D27" s="121" t="s">
        <v>57</v>
      </c>
      <c r="E27" s="103" t="s">
        <v>63</v>
      </c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5"/>
      <c r="S27" s="106"/>
      <c r="T27" s="63"/>
      <c r="U27" s="63"/>
      <c r="V27" s="63"/>
      <c r="W27" s="63"/>
      <c r="X27" s="63"/>
      <c r="Y27" s="63"/>
      <c r="Z27" s="63"/>
    </row>
    <row r="28" ht="15.75" customHeight="1" spans="1:26">
      <c r="A28" s="63"/>
      <c r="B28" s="67"/>
      <c r="C28" s="107"/>
      <c r="D28" s="122" t="s">
        <v>60</v>
      </c>
      <c r="E28" s="10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10"/>
      <c r="S28" s="106"/>
      <c r="T28" s="63"/>
      <c r="U28" s="63"/>
      <c r="V28" s="63"/>
      <c r="W28" s="63"/>
      <c r="X28" s="63"/>
      <c r="Y28" s="63"/>
      <c r="Z28" s="63"/>
    </row>
    <row r="29" ht="3" customHeight="1" spans="1:26">
      <c r="A29" s="63"/>
      <c r="B29" s="67"/>
      <c r="C29" s="123"/>
      <c r="D29" s="123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6"/>
      <c r="S29" s="127"/>
      <c r="T29" s="63"/>
      <c r="U29" s="63"/>
      <c r="V29" s="63"/>
      <c r="W29" s="63"/>
      <c r="X29" s="63"/>
      <c r="Y29" s="63"/>
      <c r="Z29" s="63"/>
    </row>
    <row r="30" ht="256.5" customHeight="1" spans="1:26">
      <c r="A30" s="63"/>
      <c r="B30" s="67"/>
      <c r="C30" s="383"/>
      <c r="D30" s="129" t="s">
        <v>33</v>
      </c>
      <c r="E30" s="130" t="e">
        <f>#REF!</f>
        <v>#REF!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8"/>
      <c r="S30" s="127"/>
      <c r="T30" s="63"/>
      <c r="U30" s="63"/>
      <c r="V30" s="63"/>
      <c r="W30" s="63"/>
      <c r="X30" s="63"/>
      <c r="Y30" s="63"/>
      <c r="Z30" s="63"/>
    </row>
    <row r="31" ht="51.75" customHeight="1" spans="1:26">
      <c r="A31" s="63"/>
      <c r="B31" s="67"/>
      <c r="C31" s="384"/>
      <c r="D31" s="95" t="s">
        <v>152</v>
      </c>
      <c r="E31" s="130" t="s">
        <v>156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127"/>
      <c r="T31" s="63"/>
      <c r="U31" s="63"/>
      <c r="V31" s="63"/>
      <c r="W31" s="63"/>
      <c r="X31" s="63"/>
      <c r="Y31" s="63"/>
      <c r="Z31" s="63"/>
    </row>
    <row r="32" ht="129.75" customHeight="1" spans="1:26">
      <c r="A32" s="63"/>
      <c r="B32" s="67"/>
      <c r="C32" s="95"/>
      <c r="D32" s="131" t="s">
        <v>149</v>
      </c>
      <c r="E32" s="130" t="e">
        <f>#REF!</f>
        <v>#REF!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8"/>
      <c r="S32" s="127"/>
      <c r="T32" s="63"/>
      <c r="U32" s="63"/>
      <c r="V32" s="63"/>
      <c r="W32" s="63"/>
      <c r="X32" s="63"/>
      <c r="Y32" s="63"/>
      <c r="Z32" s="63"/>
    </row>
    <row r="33" ht="54.75" customHeight="1" spans="1:26">
      <c r="A33" s="63"/>
      <c r="B33" s="67"/>
      <c r="C33" s="384"/>
      <c r="D33" s="131" t="s">
        <v>18</v>
      </c>
      <c r="E33" s="130" t="e">
        <f>#REF!</f>
        <v>#REF!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8"/>
      <c r="S33" s="523"/>
      <c r="T33" s="63"/>
      <c r="U33" s="63"/>
      <c r="V33" s="63"/>
      <c r="W33" s="63"/>
      <c r="X33" s="63"/>
      <c r="Y33" s="63"/>
      <c r="Z33" s="63"/>
    </row>
    <row r="34" ht="135.75" customHeight="1" spans="1:26">
      <c r="A34" s="63"/>
      <c r="B34" s="67"/>
      <c r="C34" s="524"/>
      <c r="D34" s="133" t="s">
        <v>55</v>
      </c>
      <c r="E34" s="134" t="e">
        <f>#REF!</f>
        <v>#REF!</v>
      </c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5"/>
      <c r="S34" s="523"/>
      <c r="T34" s="63"/>
      <c r="U34" s="63"/>
      <c r="V34" s="63"/>
      <c r="W34" s="63"/>
      <c r="X34" s="63"/>
      <c r="Y34" s="63"/>
      <c r="Z34" s="63"/>
    </row>
    <row r="35" ht="21" customHeight="1" spans="1:26">
      <c r="A35" s="63"/>
      <c r="B35" s="67"/>
      <c r="C35" s="135" t="s">
        <v>64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8"/>
      <c r="S35" s="68"/>
      <c r="T35" s="63"/>
      <c r="U35" s="63"/>
      <c r="V35" s="63"/>
      <c r="W35" s="63"/>
      <c r="X35" s="63"/>
      <c r="Y35" s="63"/>
      <c r="Z35" s="63"/>
    </row>
    <row r="36" ht="15.75" customHeight="1" spans="1:26">
      <c r="A36" s="63"/>
      <c r="B36" s="67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68"/>
      <c r="T36" s="63"/>
      <c r="U36" s="63"/>
      <c r="V36" s="63"/>
      <c r="W36" s="63"/>
      <c r="X36" s="63"/>
      <c r="Y36" s="63"/>
      <c r="Z36" s="63"/>
    </row>
    <row r="37" ht="15.75" customHeight="1" spans="1:26">
      <c r="A37" s="63"/>
      <c r="B37" s="67"/>
      <c r="C37" s="82"/>
      <c r="D37" s="82"/>
      <c r="E37" s="82"/>
      <c r="F37" s="82"/>
      <c r="G37" s="82"/>
      <c r="H37" s="58" t="s">
        <v>65</v>
      </c>
      <c r="I37" s="82"/>
      <c r="J37" s="82"/>
      <c r="K37" s="82"/>
      <c r="L37" s="82"/>
      <c r="M37" s="82"/>
      <c r="N37" s="82"/>
      <c r="O37" s="82"/>
      <c r="P37" s="58" t="s">
        <v>66</v>
      </c>
      <c r="Q37" s="82"/>
      <c r="R37" s="82"/>
      <c r="S37" s="68"/>
      <c r="T37" s="63"/>
      <c r="U37" s="63"/>
      <c r="V37" s="63"/>
      <c r="W37" s="63"/>
      <c r="X37" s="63"/>
      <c r="Y37" s="63"/>
      <c r="Z37" s="63"/>
    </row>
    <row r="38" ht="15.75" customHeight="1" spans="1:26">
      <c r="A38" s="63"/>
      <c r="B38" s="67"/>
      <c r="C38" s="82"/>
      <c r="D38" s="82"/>
      <c r="E38" s="82"/>
      <c r="F38" s="82"/>
      <c r="G38" s="82"/>
      <c r="H38" s="58" t="s">
        <v>67</v>
      </c>
      <c r="I38" s="82"/>
      <c r="J38" s="82"/>
      <c r="K38" s="82"/>
      <c r="L38" s="82"/>
      <c r="M38" s="82"/>
      <c r="N38" s="82"/>
      <c r="O38" s="82"/>
      <c r="P38" s="58" t="s">
        <v>67</v>
      </c>
      <c r="Q38" s="82"/>
      <c r="R38" s="82"/>
      <c r="S38" s="68"/>
      <c r="T38" s="63"/>
      <c r="U38" s="63"/>
      <c r="V38" s="63"/>
      <c r="W38" s="63"/>
      <c r="X38" s="63"/>
      <c r="Y38" s="63"/>
      <c r="Z38" s="63"/>
    </row>
    <row r="39" ht="19.5" customHeight="1" spans="1:26">
      <c r="A39" s="63"/>
      <c r="B39" s="67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68"/>
      <c r="T39" s="63"/>
      <c r="U39" s="63"/>
      <c r="V39" s="63"/>
      <c r="W39" s="63"/>
      <c r="X39" s="63"/>
      <c r="Y39" s="63"/>
      <c r="Z39" s="63"/>
    </row>
    <row r="40" ht="19.5" customHeight="1" spans="1:26">
      <c r="A40" s="63"/>
      <c r="B40" s="67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68"/>
      <c r="T40" s="63"/>
      <c r="U40" s="63"/>
      <c r="V40" s="63"/>
      <c r="W40" s="63"/>
      <c r="X40" s="63"/>
      <c r="Y40" s="63"/>
      <c r="Z40" s="63"/>
    </row>
    <row r="41" ht="15.75" customHeight="1" spans="1:26">
      <c r="A41" s="63"/>
      <c r="B41" s="67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68"/>
      <c r="T41" s="63"/>
      <c r="U41" s="63"/>
      <c r="V41" s="63"/>
      <c r="W41" s="63"/>
      <c r="X41" s="63"/>
      <c r="Y41" s="63"/>
      <c r="Z41" s="63"/>
    </row>
    <row r="42" ht="15.75" customHeight="1" spans="1:26">
      <c r="A42" s="63"/>
      <c r="B42" s="67"/>
      <c r="C42" s="82"/>
      <c r="D42" s="82"/>
      <c r="E42" s="82"/>
      <c r="F42" s="82"/>
      <c r="G42" s="78" t="s">
        <v>68</v>
      </c>
      <c r="H42" s="78"/>
      <c r="I42" s="82"/>
      <c r="J42" s="82"/>
      <c r="K42" s="82"/>
      <c r="L42" s="82"/>
      <c r="M42" s="82"/>
      <c r="N42" s="82"/>
      <c r="O42" s="136" t="str">
        <f>'860'!BC17</f>
        <v>CAPT. AFNER SYAFRIL</v>
      </c>
      <c r="S42" s="68"/>
      <c r="T42" s="63"/>
      <c r="U42" s="63"/>
      <c r="V42" s="63"/>
      <c r="W42" s="63"/>
      <c r="X42" s="63"/>
      <c r="Y42" s="63"/>
      <c r="Z42" s="63"/>
    </row>
    <row r="43" ht="15.75" customHeight="1" spans="1:26">
      <c r="A43" s="63"/>
      <c r="B43" s="67"/>
      <c r="C43" s="82"/>
      <c r="D43" s="82"/>
      <c r="E43" s="82"/>
      <c r="F43" s="82"/>
      <c r="G43" s="82"/>
      <c r="H43" s="82" t="s">
        <v>69</v>
      </c>
      <c r="I43" s="82"/>
      <c r="J43" s="82"/>
      <c r="K43" s="82"/>
      <c r="L43" s="82"/>
      <c r="M43" s="82"/>
      <c r="N43" s="82"/>
      <c r="O43" s="82"/>
      <c r="P43" s="82" t="s">
        <v>70</v>
      </c>
      <c r="Q43" s="82"/>
      <c r="R43" s="82"/>
      <c r="S43" s="68"/>
      <c r="T43" s="63"/>
      <c r="U43" s="63"/>
      <c r="V43" s="63"/>
      <c r="W43" s="63"/>
      <c r="X43" s="63"/>
      <c r="Y43" s="63"/>
      <c r="Z43" s="63"/>
    </row>
    <row r="44" ht="1.5" customHeight="1" spans="1:26">
      <c r="A44" s="63"/>
      <c r="B44" s="137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63"/>
      <c r="U44" s="63"/>
      <c r="V44" s="63"/>
      <c r="W44" s="63"/>
      <c r="X44" s="63"/>
      <c r="Y44" s="63"/>
      <c r="Z44" s="63"/>
    </row>
    <row r="45" ht="15.75" customHeight="1" spans="1:26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 spans="1:2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 spans="1:26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 spans="1:26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 spans="1:26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 spans="1:26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 spans="1:26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 spans="1:26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 spans="1:26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 spans="1:26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 spans="1:26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 spans="1:2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 spans="1:26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 spans="1:26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 spans="1:26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 spans="1:26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 spans="1:26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 spans="1:26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 spans="1:26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 spans="1:26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 spans="1:26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 spans="1:2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 spans="1:26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 spans="1:26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 spans="1:26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 spans="1:26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 spans="1:26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 spans="1:26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 spans="1:26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 spans="1:26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 spans="1:26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 spans="1:2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 spans="1:26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 spans="1:26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 spans="1:26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 spans="1:26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 spans="1:26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 spans="1:26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 spans="1:26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 spans="1:26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 spans="1:26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 spans="1:2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 spans="1:26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 spans="1:26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 spans="1:26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 spans="1:26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 spans="1:26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 spans="1:26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 spans="1:26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 spans="1:26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 spans="1:26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 spans="1:2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 spans="1:26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 spans="1:26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 spans="1:26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 spans="1:26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 spans="1:26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 spans="1:26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 spans="1:26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 spans="1:26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 spans="1:26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 spans="1:2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 spans="1:26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 spans="1:26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 spans="1:26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 spans="1:26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 spans="1:26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 spans="1:26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 spans="1:26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 spans="1:26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 spans="1:26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 spans="1:2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 spans="1:26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 spans="1:26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 spans="1:26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 spans="1:26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 spans="1:26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 spans="1:26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 spans="1:26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 spans="1:26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 spans="1:26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 spans="1: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 spans="1:26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 spans="1:26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 spans="1:26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 spans="1:26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 spans="1:26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 spans="1:26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 spans="1:26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 spans="1:26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 spans="1:26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 spans="1:2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 spans="1:26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 spans="1:26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 spans="1:26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 spans="1:26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 spans="1:26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 spans="1:26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 spans="1:26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 spans="1:26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 spans="1:26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 spans="1:2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 spans="1:26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 spans="1:26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 spans="1:26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 spans="1:26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 spans="1:26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 spans="1:26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 spans="1:26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 spans="1:26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 spans="1:26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 spans="1:2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 spans="1:26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 spans="1:26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 spans="1:26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 spans="1:26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 spans="1:26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 spans="1:26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 spans="1:26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 spans="1:26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 spans="1:26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 spans="1:2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 spans="1:26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 spans="1:26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 spans="1:26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 spans="1:26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 spans="1:26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 spans="1:26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 spans="1:26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 spans="1:26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 spans="1:26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 spans="1:2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 spans="1:26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 spans="1:26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 spans="1:26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 spans="1:26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 spans="1:26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 spans="1:26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 spans="1:26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 spans="1:26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 spans="1:26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 spans="1:2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 spans="1:26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 spans="1:26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 spans="1:26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 spans="1:26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 spans="1:26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 spans="1:26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 spans="1:26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 spans="1:26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 spans="1:26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 spans="1:2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 spans="1:26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 spans="1:26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 spans="1:26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 spans="1:26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 spans="1:26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 spans="1:26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 spans="1:26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 spans="1:26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 spans="1:26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 spans="1:2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 spans="1:26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 spans="1:26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 spans="1:26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 spans="1:26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 spans="1:26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 spans="1:26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 spans="1:26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 spans="1:26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 spans="1:26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 spans="1:2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 spans="1:26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 spans="1:26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 spans="1:26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 spans="1:26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 spans="1:26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 spans="1:26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 spans="1:26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 spans="1:26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 spans="1:26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 spans="1: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 spans="1:26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 spans="1:26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 spans="1:26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 spans="1:26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 spans="1:26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 spans="1:26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 spans="1:26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 spans="1:26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 spans="1:26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 spans="1:2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 spans="1:26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 spans="1:26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 spans="1:26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 spans="1:26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 spans="1:26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 spans="1:26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 spans="1:26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2:S2"/>
    <mergeCell ref="C4:E4"/>
    <mergeCell ref="C6:E6"/>
    <mergeCell ref="D13:R13"/>
    <mergeCell ref="D14:R14"/>
    <mergeCell ref="D15:R15"/>
    <mergeCell ref="D16:R16"/>
    <mergeCell ref="D17:R17"/>
    <mergeCell ref="F21:J21"/>
    <mergeCell ref="N21:R21"/>
    <mergeCell ref="F22:J22"/>
    <mergeCell ref="N22:R22"/>
    <mergeCell ref="F23:J23"/>
    <mergeCell ref="N23:R23"/>
    <mergeCell ref="F24:J24"/>
    <mergeCell ref="N24:R24"/>
    <mergeCell ref="F25:J25"/>
    <mergeCell ref="E30:R30"/>
    <mergeCell ref="E31:R31"/>
    <mergeCell ref="E32:R32"/>
    <mergeCell ref="E33:R33"/>
    <mergeCell ref="E34:R34"/>
    <mergeCell ref="C35:R35"/>
    <mergeCell ref="O42:R42"/>
    <mergeCell ref="C19:C20"/>
    <mergeCell ref="C27:C28"/>
    <mergeCell ref="E19:E20"/>
    <mergeCell ref="M19:M20"/>
    <mergeCell ref="F19:J20"/>
    <mergeCell ref="N19:R20"/>
    <mergeCell ref="E27:R28"/>
  </mergeCells>
  <printOptions horizontalCentered="1" verticalCentered="1"/>
  <pageMargins left="0.25" right="0.25" top="0" bottom="0" header="0" footer="0"/>
  <pageSetup paperSize="9" scale="50" orientation="portrait"/>
  <headerFooter>
    <oddFooter>&amp;CPage &amp;P of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2:BL1000"/>
  <sheetViews>
    <sheetView workbookViewId="0">
      <selection activeCell="A1" sqref="A1"/>
    </sheetView>
  </sheetViews>
  <sheetFormatPr defaultColWidth="12.6271186440678" defaultRowHeight="15" customHeight="1"/>
  <cols>
    <col min="1" max="1" width="3.5" customWidth="1"/>
    <col min="2" max="2" width="3" customWidth="1"/>
    <col min="3" max="3" width="7.88135593220339" customWidth="1"/>
    <col min="4" max="4" width="1.6271186440678" customWidth="1"/>
    <col min="5" max="5" width="4.5" customWidth="1"/>
    <col min="6" max="6" width="5.6271186440678" customWidth="1"/>
    <col min="7" max="7" width="8.25423728813559" customWidth="1"/>
    <col min="8" max="8" width="2.38135593220339" customWidth="1"/>
    <col min="9" max="10" width="2.1271186440678" customWidth="1"/>
    <col min="11" max="11" width="2" customWidth="1"/>
    <col min="12" max="12" width="4.5" customWidth="1"/>
    <col min="13" max="13" width="4.6271186440678" customWidth="1"/>
    <col min="14" max="14" width="4.75423728813559" customWidth="1"/>
    <col min="15" max="15" width="3" customWidth="1"/>
    <col min="16" max="16" width="7.88135593220339" customWidth="1"/>
    <col min="17" max="17" width="1.6271186440678" customWidth="1"/>
    <col min="18" max="18" width="4.5" customWidth="1"/>
    <col min="19" max="19" width="5.38135593220339" customWidth="1"/>
    <col min="20" max="20" width="8.25423728813559" customWidth="1"/>
    <col min="21" max="21" width="2.38135593220339" customWidth="1"/>
    <col min="22" max="23" width="2.1271186440678" customWidth="1"/>
    <col min="24" max="24" width="2" customWidth="1"/>
    <col min="25" max="25" width="4.5" customWidth="1"/>
    <col min="26" max="26" width="5.1271186440678" customWidth="1"/>
    <col min="27" max="27" width="4.75423728813559" customWidth="1"/>
    <col min="28" max="28" width="3" customWidth="1"/>
    <col min="29" max="29" width="7.88135593220339" customWidth="1"/>
    <col min="30" max="30" width="1.6271186440678" customWidth="1"/>
    <col min="31" max="31" width="4.5" customWidth="1"/>
    <col min="32" max="32" width="5.38135593220339" customWidth="1"/>
    <col min="33" max="33" width="8.25423728813559" customWidth="1"/>
    <col min="34" max="34" width="2.38135593220339" customWidth="1"/>
    <col min="35" max="36" width="2.1271186440678" customWidth="1"/>
    <col min="37" max="37" width="2" customWidth="1"/>
    <col min="38" max="38" width="4.5" customWidth="1"/>
    <col min="39" max="39" width="5.6271186440678" customWidth="1"/>
    <col min="40" max="40" width="3.5" customWidth="1"/>
    <col min="41" max="41" width="3" customWidth="1"/>
    <col min="42" max="42" width="7.88135593220339" customWidth="1"/>
    <col min="43" max="43" width="1.6271186440678" customWidth="1"/>
    <col min="44" max="44" width="4.5" customWidth="1"/>
    <col min="45" max="45" width="5.88135593220339" customWidth="1"/>
    <col min="46" max="46" width="8.25423728813559" customWidth="1"/>
    <col min="47" max="47" width="2.38135593220339" customWidth="1"/>
    <col min="48" max="49" width="2.1271186440678" customWidth="1"/>
    <col min="50" max="50" width="2" customWidth="1"/>
    <col min="51" max="51" width="4.5" customWidth="1"/>
    <col min="52" max="52" width="4.6271186440678" customWidth="1"/>
    <col min="53" max="53" width="2" customWidth="1"/>
    <col min="54" max="54" width="12.3813559322034" customWidth="1"/>
    <col min="55" max="57" width="7.88135593220339" customWidth="1"/>
    <col min="58" max="58" width="9.6271186440678" customWidth="1"/>
    <col min="59" max="62" width="7.88135593220339" customWidth="1"/>
    <col min="63" max="64" width="12" customWidth="1"/>
  </cols>
  <sheetData>
    <row r="2" ht="19.05" spans="1:64">
      <c r="A2" s="140" t="str">
        <f>BB3</f>
        <v>PK-AZD</v>
      </c>
      <c r="B2" s="65"/>
      <c r="C2" s="65"/>
      <c r="D2" s="65"/>
      <c r="E2" s="65"/>
      <c r="F2" s="66"/>
      <c r="N2" s="141"/>
      <c r="AA2" s="141"/>
      <c r="AN2" s="141"/>
      <c r="BB2" s="482">
        <f ca="1">TODAY()</f>
        <v>46283</v>
      </c>
      <c r="BC2" s="358"/>
      <c r="BD2" s="358"/>
      <c r="BE2" s="358"/>
      <c r="BF2" s="358"/>
      <c r="BG2" s="358"/>
      <c r="BH2" s="483" t="s">
        <v>0</v>
      </c>
      <c r="BI2" s="15"/>
      <c r="BJ2" s="358"/>
      <c r="BK2" s="358"/>
      <c r="BL2" s="358"/>
    </row>
    <row r="3" ht="19.05" spans="1:64">
      <c r="A3" s="145" t="s">
        <v>71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7"/>
      <c r="N3" s="145" t="s">
        <v>71</v>
      </c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7"/>
      <c r="AA3" s="145" t="s">
        <v>71</v>
      </c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7"/>
      <c r="AN3" s="145" t="s">
        <v>71</v>
      </c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7"/>
      <c r="BB3" s="392" t="s">
        <v>157</v>
      </c>
      <c r="BC3" s="358"/>
      <c r="BD3" s="358"/>
      <c r="BE3" s="358"/>
      <c r="BF3" s="358"/>
      <c r="BG3" s="358"/>
      <c r="BH3" s="484">
        <f>BE4-BJ3</f>
        <v>0.159722222222222</v>
      </c>
      <c r="BI3" s="150"/>
      <c r="BJ3" s="485">
        <v>0.25</v>
      </c>
      <c r="BK3" s="358"/>
      <c r="BL3" s="358"/>
    </row>
    <row r="4" ht="19.05" spans="1:64">
      <c r="A4" s="152"/>
      <c r="B4" s="153" t="s">
        <v>73</v>
      </c>
      <c r="C4" s="154"/>
      <c r="D4" s="154"/>
      <c r="E4" s="154"/>
      <c r="F4" s="154"/>
      <c r="G4" s="153"/>
      <c r="H4" s="153"/>
      <c r="I4" s="153"/>
      <c r="J4" s="155">
        <v>1</v>
      </c>
      <c r="K4" s="65"/>
      <c r="L4" s="66"/>
      <c r="M4" s="156"/>
      <c r="N4" s="157"/>
      <c r="O4" s="153" t="s">
        <v>73</v>
      </c>
      <c r="P4" s="154"/>
      <c r="Q4" s="154"/>
      <c r="R4" s="154"/>
      <c r="S4" s="154"/>
      <c r="T4" s="153"/>
      <c r="U4" s="153"/>
      <c r="V4" s="153"/>
      <c r="W4" s="155">
        <v>2</v>
      </c>
      <c r="X4" s="65"/>
      <c r="Y4" s="66"/>
      <c r="Z4" s="156"/>
      <c r="AA4" s="157"/>
      <c r="AB4" s="153" t="s">
        <v>73</v>
      </c>
      <c r="AC4" s="154"/>
      <c r="AD4" s="154"/>
      <c r="AE4" s="154"/>
      <c r="AF4" s="154"/>
      <c r="AG4" s="153"/>
      <c r="AH4" s="153"/>
      <c r="AI4" s="153"/>
      <c r="AJ4" s="155">
        <v>3</v>
      </c>
      <c r="AK4" s="65"/>
      <c r="AL4" s="66"/>
      <c r="AM4" s="156"/>
      <c r="AN4" s="157"/>
      <c r="AO4" s="153" t="s">
        <v>73</v>
      </c>
      <c r="AP4" s="154"/>
      <c r="AQ4" s="154"/>
      <c r="AR4" s="154"/>
      <c r="AS4" s="154"/>
      <c r="AT4" s="153"/>
      <c r="AU4" s="153"/>
      <c r="AV4" s="153"/>
      <c r="AW4" s="155">
        <v>4</v>
      </c>
      <c r="AX4" s="65"/>
      <c r="AY4" s="66"/>
      <c r="AZ4" s="156"/>
      <c r="BB4" s="486" t="s">
        <v>158</v>
      </c>
      <c r="BC4" s="487" t="s">
        <v>159</v>
      </c>
      <c r="BD4" s="487" t="s">
        <v>3</v>
      </c>
      <c r="BE4" s="488">
        <v>0.409722222222222</v>
      </c>
      <c r="BF4" s="488">
        <v>0.607638888888889</v>
      </c>
      <c r="BG4" s="358"/>
      <c r="BH4" s="358"/>
      <c r="BI4" s="358"/>
      <c r="BJ4" s="358"/>
      <c r="BK4" s="358"/>
      <c r="BL4" s="358"/>
    </row>
    <row r="5" ht="18.3" spans="1:64">
      <c r="A5" s="152"/>
      <c r="B5" s="163"/>
      <c r="C5" s="163"/>
      <c r="D5" s="164"/>
      <c r="E5" s="165"/>
      <c r="F5" s="165"/>
      <c r="G5" s="165"/>
      <c r="H5" s="165"/>
      <c r="I5" s="165"/>
      <c r="J5" s="164"/>
      <c r="K5" s="164"/>
      <c r="L5" s="166"/>
      <c r="M5" s="156"/>
      <c r="N5" s="157"/>
      <c r="O5" s="163"/>
      <c r="P5" s="163"/>
      <c r="Q5" s="164"/>
      <c r="R5" s="165"/>
      <c r="S5" s="165"/>
      <c r="T5" s="165"/>
      <c r="U5" s="165"/>
      <c r="V5" s="165"/>
      <c r="W5" s="164"/>
      <c r="X5" s="164"/>
      <c r="Y5" s="166"/>
      <c r="Z5" s="156"/>
      <c r="AA5" s="157"/>
      <c r="AB5" s="163"/>
      <c r="AC5" s="163"/>
      <c r="AD5" s="164"/>
      <c r="AE5" s="165"/>
      <c r="AF5" s="165"/>
      <c r="AG5" s="165"/>
      <c r="AH5" s="165"/>
      <c r="AI5" s="165"/>
      <c r="AJ5" s="164"/>
      <c r="AK5" s="164"/>
      <c r="AL5" s="166"/>
      <c r="AM5" s="156"/>
      <c r="AN5" s="157"/>
      <c r="AO5" s="163"/>
      <c r="AP5" s="163"/>
      <c r="AQ5" s="164"/>
      <c r="AR5" s="165"/>
      <c r="AS5" s="165"/>
      <c r="AT5" s="165"/>
      <c r="AU5" s="165"/>
      <c r="AV5" s="165"/>
      <c r="AW5" s="164"/>
      <c r="AX5" s="164"/>
      <c r="AY5" s="166"/>
      <c r="AZ5" s="156"/>
      <c r="BB5" s="489" t="s">
        <v>160</v>
      </c>
      <c r="BC5" s="489" t="str">
        <f>BD4</f>
        <v>CGK</v>
      </c>
      <c r="BD5" s="489" t="s">
        <v>3</v>
      </c>
      <c r="BE5" s="490">
        <v>0.659722222222222</v>
      </c>
      <c r="BF5" s="490">
        <v>0.736111111111111</v>
      </c>
      <c r="BG5" s="358"/>
      <c r="BH5" s="358"/>
      <c r="BI5" s="358"/>
      <c r="BJ5" s="358"/>
      <c r="BK5" s="358"/>
      <c r="BL5" s="358"/>
    </row>
    <row r="6" ht="18" customHeight="1" spans="1:64">
      <c r="A6" s="152"/>
      <c r="B6" s="172" t="s">
        <v>77</v>
      </c>
      <c r="C6" s="97"/>
      <c r="D6" s="98"/>
      <c r="E6" s="491" t="str">
        <f>BB4</f>
        <v>AWQ 533</v>
      </c>
      <c r="F6" s="98"/>
      <c r="G6" s="174" t="s">
        <v>78</v>
      </c>
      <c r="H6" s="173"/>
      <c r="I6" s="97"/>
      <c r="J6" s="97"/>
      <c r="K6" s="97"/>
      <c r="L6" s="98"/>
      <c r="M6" s="156"/>
      <c r="N6" s="157"/>
      <c r="O6" s="172" t="s">
        <v>77</v>
      </c>
      <c r="P6" s="97"/>
      <c r="Q6" s="98"/>
      <c r="R6" s="173" t="str">
        <f>BB5</f>
        <v>AWQ 7533</v>
      </c>
      <c r="S6" s="98"/>
      <c r="T6" s="174" t="s">
        <v>78</v>
      </c>
      <c r="U6" s="173"/>
      <c r="V6" s="97"/>
      <c r="W6" s="97"/>
      <c r="X6" s="97"/>
      <c r="Y6" s="98"/>
      <c r="Z6" s="156"/>
      <c r="AA6" s="157"/>
      <c r="AB6" s="172" t="s">
        <v>77</v>
      </c>
      <c r="AC6" s="97"/>
      <c r="AD6" s="98"/>
      <c r="AE6" s="173" t="str">
        <f>BB6</f>
        <v>AWQ 802</v>
      </c>
      <c r="AF6" s="98"/>
      <c r="AG6" s="174" t="s">
        <v>78</v>
      </c>
      <c r="AH6" s="173"/>
      <c r="AI6" s="97"/>
      <c r="AJ6" s="97"/>
      <c r="AK6" s="97"/>
      <c r="AL6" s="98"/>
      <c r="AM6" s="156"/>
      <c r="AN6" s="157"/>
      <c r="AO6" s="172" t="s">
        <v>77</v>
      </c>
      <c r="AP6" s="97"/>
      <c r="AQ6" s="98"/>
      <c r="AR6" s="173" t="str">
        <f>BB7</f>
        <v>AWQ 803</v>
      </c>
      <c r="AS6" s="98"/>
      <c r="AT6" s="174" t="s">
        <v>78</v>
      </c>
      <c r="AU6" s="173"/>
      <c r="AV6" s="97"/>
      <c r="AW6" s="97"/>
      <c r="AX6" s="97"/>
      <c r="AY6" s="98"/>
      <c r="AZ6" s="156"/>
      <c r="BB6" s="492" t="s">
        <v>161</v>
      </c>
      <c r="BC6" s="492" t="s">
        <v>3</v>
      </c>
      <c r="BD6" s="492" t="s">
        <v>162</v>
      </c>
      <c r="BE6" s="493">
        <v>0.4375</v>
      </c>
      <c r="BF6" s="493">
        <v>0.510416666666667</v>
      </c>
      <c r="BG6" s="358"/>
      <c r="BH6" s="358"/>
      <c r="BI6" s="358"/>
      <c r="BJ6" s="358"/>
      <c r="BK6" s="358"/>
      <c r="BL6" s="358"/>
    </row>
    <row r="7" ht="18" customHeight="1" spans="1:64">
      <c r="A7" s="152"/>
      <c r="B7" s="172" t="s">
        <v>81</v>
      </c>
      <c r="C7" s="97"/>
      <c r="D7" s="98"/>
      <c r="E7" s="494" t="str">
        <f>BB3</f>
        <v>PK-AZD</v>
      </c>
      <c r="F7" s="98"/>
      <c r="G7" s="174" t="s">
        <v>82</v>
      </c>
      <c r="H7" s="183">
        <f>BE4</f>
        <v>0.409722222222222</v>
      </c>
      <c r="I7" s="97"/>
      <c r="J7" s="97"/>
      <c r="K7" s="97"/>
      <c r="L7" s="98"/>
      <c r="M7" s="184"/>
      <c r="N7" s="157"/>
      <c r="O7" s="172" t="s">
        <v>81</v>
      </c>
      <c r="P7" s="97"/>
      <c r="Q7" s="98"/>
      <c r="R7" s="182" t="str">
        <f>E7</f>
        <v>PK-AZD</v>
      </c>
      <c r="S7" s="98"/>
      <c r="T7" s="174" t="s">
        <v>82</v>
      </c>
      <c r="U7" s="183">
        <f>BE5</f>
        <v>0.659722222222222</v>
      </c>
      <c r="V7" s="97"/>
      <c r="W7" s="97"/>
      <c r="X7" s="97"/>
      <c r="Y7" s="98"/>
      <c r="Z7" s="184"/>
      <c r="AA7" s="157"/>
      <c r="AB7" s="172" t="s">
        <v>81</v>
      </c>
      <c r="AC7" s="97"/>
      <c r="AD7" s="98"/>
      <c r="AE7" s="182" t="str">
        <f>R7</f>
        <v>PK-AZD</v>
      </c>
      <c r="AF7" s="98"/>
      <c r="AG7" s="174" t="s">
        <v>82</v>
      </c>
      <c r="AH7" s="183">
        <f>BE6</f>
        <v>0.4375</v>
      </c>
      <c r="AI7" s="97"/>
      <c r="AJ7" s="97"/>
      <c r="AK7" s="97"/>
      <c r="AL7" s="98"/>
      <c r="AM7" s="184"/>
      <c r="AN7" s="157"/>
      <c r="AO7" s="172" t="s">
        <v>81</v>
      </c>
      <c r="AP7" s="97"/>
      <c r="AQ7" s="98"/>
      <c r="AR7" s="182" t="str">
        <f>AE7</f>
        <v>PK-AZD</v>
      </c>
      <c r="AS7" s="98"/>
      <c r="AT7" s="174" t="s">
        <v>82</v>
      </c>
      <c r="AU7" s="183">
        <f>BE7</f>
        <v>0.527777777777778</v>
      </c>
      <c r="AV7" s="97"/>
      <c r="AW7" s="97"/>
      <c r="AX7" s="97"/>
      <c r="AY7" s="98"/>
      <c r="AZ7" s="184"/>
      <c r="BB7" s="492" t="s">
        <v>163</v>
      </c>
      <c r="BC7" s="492" t="s">
        <v>162</v>
      </c>
      <c r="BD7" s="492" t="s">
        <v>3</v>
      </c>
      <c r="BE7" s="493">
        <v>0.527777777777778</v>
      </c>
      <c r="BF7" s="493">
        <v>0.600694444444444</v>
      </c>
      <c r="BG7" s="358"/>
      <c r="BH7" s="358"/>
      <c r="BI7" s="358"/>
      <c r="BJ7" s="358"/>
      <c r="BK7" s="358"/>
      <c r="BL7" s="358"/>
    </row>
    <row r="8" ht="18" customHeight="1" spans="1:64">
      <c r="A8" s="152"/>
      <c r="B8" s="172" t="s">
        <v>84</v>
      </c>
      <c r="C8" s="97"/>
      <c r="D8" s="98"/>
      <c r="E8" s="491" t="str">
        <f>BC4</f>
        <v>PER</v>
      </c>
      <c r="F8" s="98"/>
      <c r="G8" s="174" t="s">
        <v>85</v>
      </c>
      <c r="H8" s="192">
        <f>BD11</f>
        <v>0</v>
      </c>
      <c r="I8" s="97"/>
      <c r="J8" s="97"/>
      <c r="K8" s="97"/>
      <c r="L8" s="98"/>
      <c r="M8" s="184"/>
      <c r="N8" s="157"/>
      <c r="O8" s="172" t="s">
        <v>84</v>
      </c>
      <c r="P8" s="97"/>
      <c r="Q8" s="98"/>
      <c r="R8" s="173" t="str">
        <f>BC5</f>
        <v>CGK</v>
      </c>
      <c r="S8" s="98"/>
      <c r="T8" s="174" t="s">
        <v>85</v>
      </c>
      <c r="U8" s="192">
        <f>BD12</f>
        <v>0</v>
      </c>
      <c r="V8" s="97"/>
      <c r="W8" s="97"/>
      <c r="X8" s="97"/>
      <c r="Y8" s="98"/>
      <c r="Z8" s="184"/>
      <c r="AA8" s="157"/>
      <c r="AB8" s="172" t="s">
        <v>84</v>
      </c>
      <c r="AC8" s="97"/>
      <c r="AD8" s="98"/>
      <c r="AE8" s="173" t="str">
        <f>BC6</f>
        <v>CGK</v>
      </c>
      <c r="AF8" s="98"/>
      <c r="AG8" s="174" t="s">
        <v>85</v>
      </c>
      <c r="AH8" s="192">
        <f>BD13</f>
        <v>0</v>
      </c>
      <c r="AI8" s="97"/>
      <c r="AJ8" s="97"/>
      <c r="AK8" s="97"/>
      <c r="AL8" s="98"/>
      <c r="AM8" s="184"/>
      <c r="AN8" s="157"/>
      <c r="AO8" s="172" t="s">
        <v>84</v>
      </c>
      <c r="AP8" s="97"/>
      <c r="AQ8" s="98"/>
      <c r="AR8" s="173" t="str">
        <f>BC7</f>
        <v>PKU</v>
      </c>
      <c r="AS8" s="98"/>
      <c r="AT8" s="174" t="s">
        <v>85</v>
      </c>
      <c r="AU8" s="192">
        <f>BD14</f>
        <v>0</v>
      </c>
      <c r="AV8" s="97"/>
      <c r="AW8" s="97"/>
      <c r="AX8" s="97"/>
      <c r="AY8" s="98"/>
      <c r="AZ8" s="184"/>
      <c r="BB8" s="358"/>
      <c r="BC8" s="358"/>
      <c r="BD8" s="358"/>
      <c r="BE8" s="358"/>
      <c r="BF8" s="358"/>
      <c r="BG8" s="358"/>
      <c r="BH8" s="358"/>
      <c r="BI8" s="358"/>
      <c r="BJ8" s="358"/>
      <c r="BK8" s="358"/>
      <c r="BL8" s="358"/>
    </row>
    <row r="9" ht="18" customHeight="1" spans="1:64">
      <c r="A9" s="152"/>
      <c r="B9" s="172" t="s">
        <v>86</v>
      </c>
      <c r="C9" s="97"/>
      <c r="D9" s="98"/>
      <c r="E9" s="495">
        <f ca="1">BB2-1</f>
        <v>46282</v>
      </c>
      <c r="F9" s="98"/>
      <c r="G9" s="174" t="s">
        <v>87</v>
      </c>
      <c r="H9" s="192">
        <f>BB11</f>
        <v>0</v>
      </c>
      <c r="I9" s="97"/>
      <c r="J9" s="97"/>
      <c r="K9" s="97"/>
      <c r="L9" s="98"/>
      <c r="M9" s="184"/>
      <c r="N9" s="157"/>
      <c r="O9" s="172" t="s">
        <v>86</v>
      </c>
      <c r="P9" s="97"/>
      <c r="Q9" s="98"/>
      <c r="R9" s="195">
        <f ca="1">E9+1</f>
        <v>46283</v>
      </c>
      <c r="S9" s="98"/>
      <c r="T9" s="174" t="s">
        <v>87</v>
      </c>
      <c r="U9" s="192">
        <f>BB12</f>
        <v>0</v>
      </c>
      <c r="V9" s="97"/>
      <c r="W9" s="97"/>
      <c r="X9" s="97"/>
      <c r="Y9" s="98"/>
      <c r="Z9" s="184"/>
      <c r="AA9" s="157"/>
      <c r="AB9" s="172" t="s">
        <v>86</v>
      </c>
      <c r="AC9" s="97"/>
      <c r="AD9" s="98"/>
      <c r="AE9" s="195">
        <f ca="1">R9</f>
        <v>46283</v>
      </c>
      <c r="AF9" s="98"/>
      <c r="AG9" s="174" t="s">
        <v>87</v>
      </c>
      <c r="AH9" s="192">
        <f>BB13</f>
        <v>0</v>
      </c>
      <c r="AI9" s="97"/>
      <c r="AJ9" s="97"/>
      <c r="AK9" s="97"/>
      <c r="AL9" s="98"/>
      <c r="AM9" s="184"/>
      <c r="AN9" s="157"/>
      <c r="AO9" s="172" t="s">
        <v>86</v>
      </c>
      <c r="AP9" s="97"/>
      <c r="AQ9" s="98"/>
      <c r="AR9" s="195">
        <f ca="1">AE9</f>
        <v>46283</v>
      </c>
      <c r="AS9" s="98"/>
      <c r="AT9" s="174" t="s">
        <v>87</v>
      </c>
      <c r="AU9" s="192">
        <f>BB14</f>
        <v>0</v>
      </c>
      <c r="AV9" s="97"/>
      <c r="AW9" s="97"/>
      <c r="AX9" s="97"/>
      <c r="AY9" s="98"/>
      <c r="AZ9" s="184"/>
      <c r="BB9" s="358"/>
      <c r="BC9" s="358"/>
      <c r="BD9" s="358"/>
      <c r="BE9" s="358"/>
      <c r="BF9" s="358"/>
      <c r="BG9" s="358"/>
      <c r="BH9" s="358"/>
      <c r="BI9" s="358"/>
      <c r="BJ9" s="358"/>
      <c r="BK9" s="358"/>
      <c r="BL9" s="358"/>
    </row>
    <row r="10" ht="23.25" customHeight="1" spans="1:64">
      <c r="A10" s="152"/>
      <c r="B10" s="197"/>
      <c r="C10" s="197"/>
      <c r="D10" s="198"/>
      <c r="E10" s="202"/>
      <c r="F10" s="203"/>
      <c r="G10" s="203"/>
      <c r="H10" s="204"/>
      <c r="I10" s="203"/>
      <c r="J10" s="203"/>
      <c r="K10" s="203"/>
      <c r="L10" s="203"/>
      <c r="M10" s="201"/>
      <c r="N10" s="157"/>
      <c r="O10" s="197"/>
      <c r="P10" s="197"/>
      <c r="Q10" s="198"/>
      <c r="R10" s="202"/>
      <c r="S10" s="203"/>
      <c r="T10" s="203"/>
      <c r="U10" s="204"/>
      <c r="V10" s="203"/>
      <c r="W10" s="203"/>
      <c r="X10" s="203"/>
      <c r="Y10" s="203"/>
      <c r="Z10" s="201"/>
      <c r="AA10" s="157"/>
      <c r="AB10" s="197"/>
      <c r="AC10" s="197"/>
      <c r="AD10" s="198"/>
      <c r="AE10" s="202"/>
      <c r="AF10" s="203"/>
      <c r="AG10" s="203"/>
      <c r="AH10" s="204"/>
      <c r="AI10" s="203"/>
      <c r="AJ10" s="203"/>
      <c r="AK10" s="203"/>
      <c r="AL10" s="203"/>
      <c r="AM10" s="201"/>
      <c r="AN10" s="157"/>
      <c r="AO10" s="197"/>
      <c r="AP10" s="197"/>
      <c r="AQ10" s="198"/>
      <c r="AR10" s="202"/>
      <c r="AS10" s="203"/>
      <c r="AT10" s="203"/>
      <c r="AU10" s="204"/>
      <c r="AV10" s="203"/>
      <c r="AW10" s="203"/>
      <c r="AX10" s="203"/>
      <c r="AY10" s="203"/>
      <c r="AZ10" s="201"/>
      <c r="BB10" s="496" t="s">
        <v>9</v>
      </c>
      <c r="BC10" s="496" t="s">
        <v>10</v>
      </c>
      <c r="BD10" s="496" t="s">
        <v>148</v>
      </c>
      <c r="BE10" s="496" t="s">
        <v>12</v>
      </c>
      <c r="BF10" s="496" t="s">
        <v>13</v>
      </c>
      <c r="BG10" s="496" t="s">
        <v>89</v>
      </c>
      <c r="BH10" s="496" t="s">
        <v>14</v>
      </c>
      <c r="BI10" s="496" t="s">
        <v>15</v>
      </c>
      <c r="BJ10" s="496" t="s">
        <v>16</v>
      </c>
      <c r="BK10" s="358"/>
      <c r="BL10" s="358"/>
    </row>
    <row r="11" ht="18" customHeight="1" spans="1:64">
      <c r="A11" s="152"/>
      <c r="B11" s="212" t="s">
        <v>91</v>
      </c>
      <c r="C11" s="212"/>
      <c r="D11" s="212"/>
      <c r="E11" s="164"/>
      <c r="F11" s="164"/>
      <c r="G11" s="214">
        <v>66000</v>
      </c>
      <c r="H11" s="97"/>
      <c r="I11" s="97"/>
      <c r="J11" s="97"/>
      <c r="K11" s="97"/>
      <c r="L11" s="98"/>
      <c r="M11" s="215"/>
      <c r="N11" s="157"/>
      <c r="O11" s="212" t="s">
        <v>91</v>
      </c>
      <c r="P11" s="212"/>
      <c r="Q11" s="212"/>
      <c r="R11" s="213"/>
      <c r="S11" s="213"/>
      <c r="T11" s="214">
        <v>66000</v>
      </c>
      <c r="U11" s="97"/>
      <c r="V11" s="97"/>
      <c r="W11" s="97"/>
      <c r="X11" s="97"/>
      <c r="Y11" s="98"/>
      <c r="Z11" s="215"/>
      <c r="AA11" s="157"/>
      <c r="AB11" s="212" t="s">
        <v>91</v>
      </c>
      <c r="AC11" s="212"/>
      <c r="AD11" s="212"/>
      <c r="AE11" s="213"/>
      <c r="AF11" s="213"/>
      <c r="AG11" s="214">
        <v>66000</v>
      </c>
      <c r="AH11" s="97"/>
      <c r="AI11" s="97"/>
      <c r="AJ11" s="97"/>
      <c r="AK11" s="97"/>
      <c r="AL11" s="98"/>
      <c r="AM11" s="215"/>
      <c r="AN11" s="157"/>
      <c r="AO11" s="212" t="s">
        <v>91</v>
      </c>
      <c r="AP11" s="212"/>
      <c r="AQ11" s="212"/>
      <c r="AR11" s="213"/>
      <c r="AS11" s="213"/>
      <c r="AT11" s="214">
        <v>66000</v>
      </c>
      <c r="AU11" s="97"/>
      <c r="AV11" s="97"/>
      <c r="AW11" s="97"/>
      <c r="AX11" s="97"/>
      <c r="AY11" s="98"/>
      <c r="AZ11" s="215"/>
      <c r="BB11" s="497"/>
      <c r="BC11" s="497">
        <v>500</v>
      </c>
      <c r="BD11" s="497">
        <v>0</v>
      </c>
      <c r="BE11" s="497">
        <v>0</v>
      </c>
      <c r="BF11" s="497">
        <f>96+96</f>
        <v>192</v>
      </c>
      <c r="BG11" s="497"/>
      <c r="BH11" s="497" t="s">
        <v>55</v>
      </c>
      <c r="BI11" s="497">
        <v>1000</v>
      </c>
      <c r="BJ11" s="498">
        <v>27.65</v>
      </c>
      <c r="BK11" s="358"/>
      <c r="BL11" s="358"/>
    </row>
    <row r="12" ht="18" customHeight="1" spans="1:64">
      <c r="A12" s="152"/>
      <c r="B12" s="212" t="s">
        <v>93</v>
      </c>
      <c r="C12" s="212"/>
      <c r="D12" s="212"/>
      <c r="E12" s="164"/>
      <c r="F12" s="164"/>
      <c r="G12" s="221">
        <f>H8</f>
        <v>0</v>
      </c>
      <c r="H12" s="97"/>
      <c r="I12" s="97"/>
      <c r="J12" s="97"/>
      <c r="K12" s="97"/>
      <c r="L12" s="98"/>
      <c r="M12" s="184"/>
      <c r="N12" s="157"/>
      <c r="O12" s="212" t="s">
        <v>93</v>
      </c>
      <c r="P12" s="212"/>
      <c r="Q12" s="212"/>
      <c r="R12" s="213"/>
      <c r="S12" s="213"/>
      <c r="T12" s="221">
        <f>U8</f>
        <v>0</v>
      </c>
      <c r="U12" s="97"/>
      <c r="V12" s="97"/>
      <c r="W12" s="97"/>
      <c r="X12" s="97"/>
      <c r="Y12" s="98"/>
      <c r="Z12" s="184"/>
      <c r="AA12" s="157"/>
      <c r="AB12" s="212" t="s">
        <v>93</v>
      </c>
      <c r="AC12" s="212"/>
      <c r="AD12" s="212"/>
      <c r="AE12" s="213"/>
      <c r="AF12" s="213"/>
      <c r="AG12" s="221">
        <f>AH8</f>
        <v>0</v>
      </c>
      <c r="AH12" s="97"/>
      <c r="AI12" s="97"/>
      <c r="AJ12" s="97"/>
      <c r="AK12" s="97"/>
      <c r="AL12" s="98"/>
      <c r="AM12" s="184"/>
      <c r="AN12" s="157"/>
      <c r="AO12" s="212" t="s">
        <v>93</v>
      </c>
      <c r="AP12" s="212"/>
      <c r="AQ12" s="212"/>
      <c r="AR12" s="213"/>
      <c r="AS12" s="213"/>
      <c r="AT12" s="221">
        <f>AU8</f>
        <v>0</v>
      </c>
      <c r="AU12" s="97"/>
      <c r="AV12" s="97"/>
      <c r="AW12" s="97"/>
      <c r="AX12" s="97"/>
      <c r="AY12" s="98"/>
      <c r="AZ12" s="184"/>
      <c r="BB12" s="499"/>
      <c r="BC12" s="499"/>
      <c r="BD12" s="499"/>
      <c r="BE12" s="499"/>
      <c r="BF12" s="499"/>
      <c r="BG12" s="499"/>
      <c r="BH12" s="499"/>
      <c r="BI12" s="500"/>
      <c r="BJ12" s="501"/>
      <c r="BK12" s="358"/>
      <c r="BL12" s="358"/>
    </row>
    <row r="13" ht="18" customHeight="1" spans="1:64">
      <c r="A13" s="152"/>
      <c r="B13" s="212" t="s">
        <v>94</v>
      </c>
      <c r="C13" s="212"/>
      <c r="D13" s="212"/>
      <c r="E13" s="164"/>
      <c r="F13" s="226" t="s">
        <v>95</v>
      </c>
      <c r="G13" s="225">
        <f>G11+G12</f>
        <v>66000</v>
      </c>
      <c r="H13" s="97"/>
      <c r="I13" s="97"/>
      <c r="J13" s="97"/>
      <c r="K13" s="97"/>
      <c r="L13" s="98"/>
      <c r="M13" s="184"/>
      <c r="N13" s="157"/>
      <c r="O13" s="212" t="s">
        <v>94</v>
      </c>
      <c r="P13" s="212"/>
      <c r="Q13" s="212"/>
      <c r="R13" s="213"/>
      <c r="S13" s="224" t="s">
        <v>95</v>
      </c>
      <c r="T13" s="225">
        <f>T11+T12</f>
        <v>66000</v>
      </c>
      <c r="U13" s="97"/>
      <c r="V13" s="97"/>
      <c r="W13" s="97"/>
      <c r="X13" s="97"/>
      <c r="Y13" s="98"/>
      <c r="Z13" s="184"/>
      <c r="AA13" s="157"/>
      <c r="AB13" s="212" t="s">
        <v>94</v>
      </c>
      <c r="AC13" s="212"/>
      <c r="AD13" s="212"/>
      <c r="AE13" s="213"/>
      <c r="AF13" s="224" t="s">
        <v>95</v>
      </c>
      <c r="AG13" s="225">
        <f>AG11+AG12</f>
        <v>66000</v>
      </c>
      <c r="AH13" s="97"/>
      <c r="AI13" s="97"/>
      <c r="AJ13" s="97"/>
      <c r="AK13" s="97"/>
      <c r="AL13" s="98"/>
      <c r="AM13" s="184"/>
      <c r="AN13" s="157"/>
      <c r="AO13" s="212" t="s">
        <v>94</v>
      </c>
      <c r="AP13" s="212"/>
      <c r="AQ13" s="212"/>
      <c r="AR13" s="213"/>
      <c r="AS13" s="224" t="s">
        <v>95</v>
      </c>
      <c r="AT13" s="225">
        <f>AT11+AT12</f>
        <v>66000</v>
      </c>
      <c r="AU13" s="97"/>
      <c r="AV13" s="97"/>
      <c r="AW13" s="97"/>
      <c r="AX13" s="97"/>
      <c r="AY13" s="98"/>
      <c r="AZ13" s="184"/>
      <c r="BB13" s="499"/>
      <c r="BC13" s="499"/>
      <c r="BD13" s="499"/>
      <c r="BE13" s="499"/>
      <c r="BF13" s="499"/>
      <c r="BG13" s="499"/>
      <c r="BH13" s="499"/>
      <c r="BI13" s="499"/>
      <c r="BJ13" s="502"/>
      <c r="BK13" s="358"/>
      <c r="BL13" s="358"/>
    </row>
    <row r="14" ht="18" customHeight="1" spans="1:64">
      <c r="A14" s="152"/>
      <c r="B14" s="212"/>
      <c r="C14" s="212"/>
      <c r="D14" s="212"/>
      <c r="E14" s="164"/>
      <c r="F14" s="164"/>
      <c r="G14" s="164"/>
      <c r="H14" s="164"/>
      <c r="I14" s="164"/>
      <c r="J14" s="164"/>
      <c r="K14" s="164"/>
      <c r="L14" s="164"/>
      <c r="M14" s="156"/>
      <c r="N14" s="157"/>
      <c r="O14" s="212"/>
      <c r="P14" s="212"/>
      <c r="Q14" s="212"/>
      <c r="R14" s="213"/>
      <c r="S14" s="213"/>
      <c r="T14" s="213"/>
      <c r="U14" s="213"/>
      <c r="V14" s="213"/>
      <c r="W14" s="213"/>
      <c r="X14" s="213"/>
      <c r="Y14" s="213"/>
      <c r="Z14" s="156"/>
      <c r="AA14" s="157"/>
      <c r="AB14" s="212"/>
      <c r="AC14" s="212"/>
      <c r="AD14" s="212"/>
      <c r="AE14" s="213"/>
      <c r="AF14" s="213"/>
      <c r="AG14" s="213"/>
      <c r="AH14" s="213"/>
      <c r="AI14" s="213"/>
      <c r="AJ14" s="213"/>
      <c r="AK14" s="213"/>
      <c r="AL14" s="213"/>
      <c r="AM14" s="156"/>
      <c r="AN14" s="157"/>
      <c r="AO14" s="212"/>
      <c r="AP14" s="212"/>
      <c r="AQ14" s="212"/>
      <c r="AR14" s="213"/>
      <c r="AS14" s="213"/>
      <c r="AT14" s="213"/>
      <c r="AU14" s="213"/>
      <c r="AV14" s="213"/>
      <c r="AW14" s="213"/>
      <c r="AX14" s="213"/>
      <c r="AY14" s="213"/>
      <c r="AZ14" s="156"/>
      <c r="BB14" s="503"/>
      <c r="BC14" s="503"/>
      <c r="BD14" s="503"/>
      <c r="BE14" s="503"/>
      <c r="BF14" s="503"/>
      <c r="BG14" s="503"/>
      <c r="BH14" s="503"/>
      <c r="BI14" s="503"/>
      <c r="BJ14" s="260"/>
      <c r="BK14" s="358"/>
      <c r="BL14" s="358"/>
    </row>
    <row r="15" ht="18" customHeight="1" spans="1:64">
      <c r="A15" s="152"/>
      <c r="B15" s="232" t="s">
        <v>96</v>
      </c>
      <c r="C15" s="233"/>
      <c r="D15" s="233"/>
      <c r="E15" s="234"/>
      <c r="F15" s="234"/>
      <c r="G15" s="234"/>
      <c r="H15" s="235"/>
      <c r="I15" s="236" t="s">
        <v>97</v>
      </c>
      <c r="J15" s="97"/>
      <c r="K15" s="97"/>
      <c r="L15" s="98"/>
      <c r="M15" s="156"/>
      <c r="N15" s="157"/>
      <c r="O15" s="232" t="s">
        <v>96</v>
      </c>
      <c r="P15" s="233"/>
      <c r="Q15" s="233"/>
      <c r="R15" s="234"/>
      <c r="S15" s="234"/>
      <c r="T15" s="234"/>
      <c r="U15" s="235"/>
      <c r="V15" s="236" t="s">
        <v>97</v>
      </c>
      <c r="W15" s="97"/>
      <c r="X15" s="97"/>
      <c r="Y15" s="98"/>
      <c r="Z15" s="156"/>
      <c r="AA15" s="157"/>
      <c r="AB15" s="232" t="s">
        <v>96</v>
      </c>
      <c r="AC15" s="233"/>
      <c r="AD15" s="233"/>
      <c r="AE15" s="234"/>
      <c r="AF15" s="234"/>
      <c r="AG15" s="234"/>
      <c r="AH15" s="235"/>
      <c r="AI15" s="236" t="s">
        <v>97</v>
      </c>
      <c r="AJ15" s="97"/>
      <c r="AK15" s="97"/>
      <c r="AL15" s="98"/>
      <c r="AM15" s="156"/>
      <c r="AN15" s="157"/>
      <c r="AO15" s="232" t="s">
        <v>96</v>
      </c>
      <c r="AP15" s="233"/>
      <c r="AQ15" s="233"/>
      <c r="AR15" s="234"/>
      <c r="AS15" s="234"/>
      <c r="AT15" s="234"/>
      <c r="AU15" s="235"/>
      <c r="AV15" s="236" t="s">
        <v>97</v>
      </c>
      <c r="AW15" s="97"/>
      <c r="AX15" s="97"/>
      <c r="AY15" s="98"/>
      <c r="AZ15" s="156"/>
      <c r="BB15" s="358"/>
      <c r="BC15" s="358"/>
      <c r="BD15" s="358"/>
      <c r="BE15" s="358"/>
      <c r="BF15" s="358"/>
      <c r="BG15" s="358"/>
      <c r="BH15" s="358"/>
      <c r="BI15" s="358"/>
      <c r="BJ15" s="358"/>
      <c r="BK15" s="358"/>
      <c r="BL15" s="358"/>
    </row>
    <row r="16" ht="18" customHeight="1" spans="1:64">
      <c r="A16" s="152"/>
      <c r="B16" s="245" t="s">
        <v>98</v>
      </c>
      <c r="C16" s="246"/>
      <c r="D16" s="246"/>
      <c r="E16" s="236" t="s">
        <v>99</v>
      </c>
      <c r="F16" s="97"/>
      <c r="G16" s="97"/>
      <c r="H16" s="98"/>
      <c r="I16" s="236" t="s">
        <v>100</v>
      </c>
      <c r="J16" s="97"/>
      <c r="K16" s="97"/>
      <c r="L16" s="98"/>
      <c r="M16" s="156"/>
      <c r="N16" s="157"/>
      <c r="O16" s="245" t="s">
        <v>98</v>
      </c>
      <c r="P16" s="246"/>
      <c r="Q16" s="246"/>
      <c r="R16" s="236" t="s">
        <v>99</v>
      </c>
      <c r="S16" s="97"/>
      <c r="T16" s="97"/>
      <c r="U16" s="98"/>
      <c r="V16" s="236" t="s">
        <v>100</v>
      </c>
      <c r="W16" s="97"/>
      <c r="X16" s="97"/>
      <c r="Y16" s="98"/>
      <c r="Z16" s="156"/>
      <c r="AA16" s="157"/>
      <c r="AB16" s="245" t="s">
        <v>98</v>
      </c>
      <c r="AC16" s="246"/>
      <c r="AD16" s="246"/>
      <c r="AE16" s="236" t="s">
        <v>99</v>
      </c>
      <c r="AF16" s="97"/>
      <c r="AG16" s="97"/>
      <c r="AH16" s="98"/>
      <c r="AI16" s="236" t="s">
        <v>100</v>
      </c>
      <c r="AJ16" s="97"/>
      <c r="AK16" s="97"/>
      <c r="AL16" s="98"/>
      <c r="AM16" s="156"/>
      <c r="AN16" s="157"/>
      <c r="AO16" s="245" t="s">
        <v>98</v>
      </c>
      <c r="AP16" s="246"/>
      <c r="AQ16" s="246"/>
      <c r="AR16" s="236" t="s">
        <v>99</v>
      </c>
      <c r="AS16" s="97"/>
      <c r="AT16" s="97"/>
      <c r="AU16" s="98"/>
      <c r="AV16" s="236" t="s">
        <v>100</v>
      </c>
      <c r="AW16" s="97"/>
      <c r="AX16" s="97"/>
      <c r="AY16" s="98"/>
      <c r="AZ16" s="156"/>
      <c r="BB16" s="358"/>
      <c r="BC16" s="358"/>
      <c r="BD16" s="358"/>
      <c r="BE16" s="358"/>
      <c r="BF16" s="358"/>
      <c r="BG16" s="358"/>
      <c r="BH16" s="358"/>
      <c r="BI16" s="358"/>
      <c r="BJ16" s="358"/>
      <c r="BK16" s="358"/>
      <c r="BL16" s="358"/>
    </row>
    <row r="17" ht="18" customHeight="1" spans="1:64">
      <c r="A17" s="152"/>
      <c r="B17" s="232" t="s">
        <v>94</v>
      </c>
      <c r="C17" s="233"/>
      <c r="D17" s="233"/>
      <c r="E17" s="235"/>
      <c r="F17" s="224" t="s">
        <v>101</v>
      </c>
      <c r="G17" s="249">
        <v>73500</v>
      </c>
      <c r="H17" s="97"/>
      <c r="I17" s="97"/>
      <c r="J17" s="97"/>
      <c r="K17" s="97"/>
      <c r="L17" s="98"/>
      <c r="M17" s="156"/>
      <c r="N17" s="157"/>
      <c r="O17" s="232" t="s">
        <v>94</v>
      </c>
      <c r="P17" s="233"/>
      <c r="Q17" s="233"/>
      <c r="R17" s="235"/>
      <c r="S17" s="224" t="s">
        <v>101</v>
      </c>
      <c r="T17" s="249">
        <f>G17</f>
        <v>73500</v>
      </c>
      <c r="U17" s="97"/>
      <c r="V17" s="97"/>
      <c r="W17" s="97"/>
      <c r="X17" s="97"/>
      <c r="Y17" s="98"/>
      <c r="Z17" s="156"/>
      <c r="AA17" s="157"/>
      <c r="AB17" s="232" t="s">
        <v>94</v>
      </c>
      <c r="AC17" s="233"/>
      <c r="AD17" s="233"/>
      <c r="AE17" s="235"/>
      <c r="AF17" s="224" t="s">
        <v>101</v>
      </c>
      <c r="AG17" s="249">
        <f>T17</f>
        <v>73500</v>
      </c>
      <c r="AH17" s="97"/>
      <c r="AI17" s="97"/>
      <c r="AJ17" s="97"/>
      <c r="AK17" s="97"/>
      <c r="AL17" s="98"/>
      <c r="AM17" s="156"/>
      <c r="AN17" s="157"/>
      <c r="AO17" s="232" t="s">
        <v>94</v>
      </c>
      <c r="AP17" s="233"/>
      <c r="AQ17" s="233"/>
      <c r="AR17" s="235"/>
      <c r="AS17" s="224" t="s">
        <v>101</v>
      </c>
      <c r="AT17" s="249">
        <f>AG17</f>
        <v>73500</v>
      </c>
      <c r="AU17" s="97"/>
      <c r="AV17" s="97"/>
      <c r="AW17" s="97"/>
      <c r="AX17" s="97"/>
      <c r="AY17" s="98"/>
      <c r="AZ17" s="156"/>
      <c r="BB17" s="256" t="s">
        <v>19</v>
      </c>
      <c r="BC17" s="299" t="s">
        <v>164</v>
      </c>
      <c r="BD17" s="358"/>
      <c r="BE17" s="358"/>
      <c r="BF17" s="358"/>
      <c r="BG17" s="358"/>
      <c r="BH17" s="358"/>
      <c r="BI17" s="358"/>
      <c r="BJ17" s="358"/>
      <c r="BK17" s="358"/>
      <c r="BL17" s="358"/>
    </row>
    <row r="18" ht="18" customHeight="1" spans="1:64">
      <c r="A18" s="152"/>
      <c r="B18" s="212"/>
      <c r="C18" s="212"/>
      <c r="D18" s="212"/>
      <c r="E18" s="213"/>
      <c r="F18" s="213"/>
      <c r="G18" s="252"/>
      <c r="H18" s="252"/>
      <c r="I18" s="252"/>
      <c r="J18" s="252"/>
      <c r="K18" s="252"/>
      <c r="L18" s="252"/>
      <c r="M18" s="156"/>
      <c r="N18" s="157"/>
      <c r="O18" s="212"/>
      <c r="P18" s="212"/>
      <c r="Q18" s="212"/>
      <c r="R18" s="213"/>
      <c r="S18" s="213"/>
      <c r="T18" s="252"/>
      <c r="U18" s="252"/>
      <c r="V18" s="252"/>
      <c r="W18" s="252"/>
      <c r="X18" s="252"/>
      <c r="Y18" s="252"/>
      <c r="Z18" s="156"/>
      <c r="AA18" s="157"/>
      <c r="AB18" s="212"/>
      <c r="AC18" s="212"/>
      <c r="AD18" s="212"/>
      <c r="AE18" s="213"/>
      <c r="AF18" s="213"/>
      <c r="AG18" s="252"/>
      <c r="AH18" s="252"/>
      <c r="AI18" s="252"/>
      <c r="AJ18" s="252"/>
      <c r="AK18" s="252"/>
      <c r="AL18" s="252"/>
      <c r="AM18" s="156"/>
      <c r="AN18" s="157"/>
      <c r="AO18" s="212"/>
      <c r="AP18" s="212"/>
      <c r="AQ18" s="212"/>
      <c r="AR18" s="213"/>
      <c r="AS18" s="213"/>
      <c r="AT18" s="252"/>
      <c r="AU18" s="252"/>
      <c r="AV18" s="252"/>
      <c r="AW18" s="252"/>
      <c r="AX18" s="252"/>
      <c r="AY18" s="252"/>
      <c r="AZ18" s="156"/>
      <c r="BB18" s="358"/>
      <c r="BC18" s="358"/>
      <c r="BD18" s="358"/>
      <c r="BE18" s="358"/>
      <c r="BF18" s="358"/>
      <c r="BG18" s="358"/>
      <c r="BH18" s="358"/>
      <c r="BI18" s="358"/>
      <c r="BJ18" s="358"/>
      <c r="BK18" s="358"/>
      <c r="BL18" s="358"/>
    </row>
    <row r="19" ht="18" customHeight="1" spans="1:64">
      <c r="A19" s="152"/>
      <c r="B19" s="232" t="s">
        <v>104</v>
      </c>
      <c r="C19" s="233"/>
      <c r="D19" s="233"/>
      <c r="E19" s="234"/>
      <c r="F19" s="235"/>
      <c r="G19" s="254">
        <f>G13</f>
        <v>66000</v>
      </c>
      <c r="H19" s="97"/>
      <c r="I19" s="97"/>
      <c r="J19" s="97"/>
      <c r="K19" s="97"/>
      <c r="L19" s="98"/>
      <c r="M19" s="184"/>
      <c r="N19" s="157"/>
      <c r="O19" s="232" t="s">
        <v>104</v>
      </c>
      <c r="P19" s="233"/>
      <c r="Q19" s="233"/>
      <c r="R19" s="234"/>
      <c r="S19" s="235"/>
      <c r="T19" s="254">
        <f>T13</f>
        <v>66000</v>
      </c>
      <c r="U19" s="97"/>
      <c r="V19" s="97"/>
      <c r="W19" s="97"/>
      <c r="X19" s="97"/>
      <c r="Y19" s="98"/>
      <c r="Z19" s="184"/>
      <c r="AA19" s="157"/>
      <c r="AB19" s="232" t="s">
        <v>104</v>
      </c>
      <c r="AC19" s="233"/>
      <c r="AD19" s="233"/>
      <c r="AE19" s="234"/>
      <c r="AF19" s="235"/>
      <c r="AG19" s="254">
        <f>AG13</f>
        <v>66000</v>
      </c>
      <c r="AH19" s="97"/>
      <c r="AI19" s="97"/>
      <c r="AJ19" s="97"/>
      <c r="AK19" s="97"/>
      <c r="AL19" s="98"/>
      <c r="AM19" s="184"/>
      <c r="AN19" s="157"/>
      <c r="AO19" s="232" t="s">
        <v>104</v>
      </c>
      <c r="AP19" s="233"/>
      <c r="AQ19" s="233"/>
      <c r="AR19" s="234"/>
      <c r="AS19" s="235"/>
      <c r="AT19" s="254">
        <f>AT13</f>
        <v>66000</v>
      </c>
      <c r="AU19" s="97"/>
      <c r="AV19" s="97"/>
      <c r="AW19" s="97"/>
      <c r="AX19" s="97"/>
      <c r="AY19" s="98"/>
      <c r="AZ19" s="184"/>
      <c r="BB19" s="256" t="s">
        <v>21</v>
      </c>
      <c r="BC19" s="504">
        <v>70851</v>
      </c>
      <c r="BD19" s="358"/>
      <c r="BE19" s="358"/>
      <c r="BF19" s="358"/>
      <c r="BG19" s="505" t="s">
        <v>23</v>
      </c>
      <c r="BH19" s="358"/>
      <c r="BI19" s="358"/>
      <c r="BJ19" s="358"/>
      <c r="BK19" s="358"/>
      <c r="BL19" s="358"/>
    </row>
    <row r="20" ht="18" customHeight="1" spans="1:64">
      <c r="A20" s="152"/>
      <c r="B20" s="232" t="s">
        <v>105</v>
      </c>
      <c r="C20" s="233"/>
      <c r="D20" s="233"/>
      <c r="E20" s="234"/>
      <c r="F20" s="235"/>
      <c r="G20" s="257">
        <f>BG11</f>
        <v>0</v>
      </c>
      <c r="H20" s="97"/>
      <c r="I20" s="97"/>
      <c r="J20" s="97"/>
      <c r="K20" s="97"/>
      <c r="L20" s="98"/>
      <c r="M20" s="184"/>
      <c r="N20" s="157"/>
      <c r="O20" s="232" t="s">
        <v>105</v>
      </c>
      <c r="P20" s="233"/>
      <c r="Q20" s="233"/>
      <c r="R20" s="234"/>
      <c r="S20" s="235"/>
      <c r="T20" s="257">
        <f>BG12</f>
        <v>0</v>
      </c>
      <c r="U20" s="97"/>
      <c r="V20" s="97"/>
      <c r="W20" s="97"/>
      <c r="X20" s="97"/>
      <c r="Y20" s="98"/>
      <c r="Z20" s="184"/>
      <c r="AA20" s="157"/>
      <c r="AB20" s="232" t="s">
        <v>105</v>
      </c>
      <c r="AC20" s="233"/>
      <c r="AD20" s="233"/>
      <c r="AE20" s="234"/>
      <c r="AF20" s="235"/>
      <c r="AG20" s="257">
        <f>BG13</f>
        <v>0</v>
      </c>
      <c r="AH20" s="97"/>
      <c r="AI20" s="97"/>
      <c r="AJ20" s="97"/>
      <c r="AK20" s="97"/>
      <c r="AL20" s="98"/>
      <c r="AM20" s="184"/>
      <c r="AN20" s="157"/>
      <c r="AO20" s="232" t="s">
        <v>105</v>
      </c>
      <c r="AP20" s="233"/>
      <c r="AQ20" s="233"/>
      <c r="AR20" s="234"/>
      <c r="AS20" s="235"/>
      <c r="AT20" s="257">
        <f>BG14</f>
        <v>0</v>
      </c>
      <c r="AU20" s="97"/>
      <c r="AV20" s="97"/>
      <c r="AW20" s="97"/>
      <c r="AX20" s="97"/>
      <c r="AY20" s="98"/>
      <c r="AZ20" s="184"/>
      <c r="BB20" s="506" t="s">
        <v>22</v>
      </c>
      <c r="BC20" s="507"/>
      <c r="BD20" s="358"/>
      <c r="BE20" s="358"/>
      <c r="BF20" s="358"/>
      <c r="BG20" s="358"/>
      <c r="BH20" s="358"/>
      <c r="BI20" s="358"/>
      <c r="BJ20" s="358"/>
      <c r="BK20" s="358"/>
      <c r="BL20" s="358"/>
    </row>
    <row r="21" ht="18" customHeight="1" spans="1:64">
      <c r="A21" s="152"/>
      <c r="B21" s="232" t="s">
        <v>106</v>
      </c>
      <c r="C21" s="233"/>
      <c r="D21" s="233"/>
      <c r="E21" s="234"/>
      <c r="F21" s="235"/>
      <c r="G21" s="225">
        <f>G19-G20</f>
        <v>66000</v>
      </c>
      <c r="H21" s="97"/>
      <c r="I21" s="97"/>
      <c r="J21" s="97"/>
      <c r="K21" s="97"/>
      <c r="L21" s="98"/>
      <c r="M21" s="184"/>
      <c r="N21" s="157"/>
      <c r="O21" s="232" t="s">
        <v>106</v>
      </c>
      <c r="P21" s="233"/>
      <c r="Q21" s="233"/>
      <c r="R21" s="234"/>
      <c r="S21" s="235"/>
      <c r="T21" s="225">
        <f>T19-T20</f>
        <v>66000</v>
      </c>
      <c r="U21" s="97"/>
      <c r="V21" s="97"/>
      <c r="W21" s="97"/>
      <c r="X21" s="97"/>
      <c r="Y21" s="98"/>
      <c r="Z21" s="184"/>
      <c r="AA21" s="157"/>
      <c r="AB21" s="232" t="s">
        <v>106</v>
      </c>
      <c r="AC21" s="233"/>
      <c r="AD21" s="233"/>
      <c r="AE21" s="234"/>
      <c r="AF21" s="235"/>
      <c r="AG21" s="225">
        <f>AG19-AG20</f>
        <v>66000</v>
      </c>
      <c r="AH21" s="97"/>
      <c r="AI21" s="97"/>
      <c r="AJ21" s="97"/>
      <c r="AK21" s="97"/>
      <c r="AL21" s="98"/>
      <c r="AM21" s="184"/>
      <c r="AN21" s="157"/>
      <c r="AO21" s="232" t="s">
        <v>106</v>
      </c>
      <c r="AP21" s="233"/>
      <c r="AQ21" s="233"/>
      <c r="AR21" s="234"/>
      <c r="AS21" s="235"/>
      <c r="AT21" s="225">
        <f>AT19-AT20</f>
        <v>66000</v>
      </c>
      <c r="AU21" s="97"/>
      <c r="AV21" s="97"/>
      <c r="AW21" s="97"/>
      <c r="AX21" s="97"/>
      <c r="AY21" s="98"/>
      <c r="AZ21" s="184"/>
      <c r="BB21" s="260" t="s">
        <v>24</v>
      </c>
      <c r="BC21" s="508"/>
      <c r="BD21" s="358"/>
      <c r="BE21" s="358"/>
      <c r="BF21" s="358"/>
      <c r="BG21" s="358"/>
      <c r="BH21" s="358"/>
      <c r="BI21" s="358"/>
      <c r="BJ21" s="358"/>
      <c r="BK21" s="358"/>
      <c r="BL21" s="358"/>
    </row>
    <row r="22" ht="18" customHeight="1" spans="1:64">
      <c r="A22" s="152"/>
      <c r="B22" s="232" t="s">
        <v>107</v>
      </c>
      <c r="C22" s="233"/>
      <c r="D22" s="233"/>
      <c r="E22" s="234"/>
      <c r="F22" s="235"/>
      <c r="G22" s="221">
        <f>BE11</f>
        <v>0</v>
      </c>
      <c r="H22" s="97"/>
      <c r="I22" s="97"/>
      <c r="J22" s="97"/>
      <c r="K22" s="97"/>
      <c r="L22" s="98"/>
      <c r="M22" s="184"/>
      <c r="N22" s="157"/>
      <c r="O22" s="232" t="s">
        <v>107</v>
      </c>
      <c r="P22" s="233"/>
      <c r="Q22" s="233"/>
      <c r="R22" s="234"/>
      <c r="S22" s="235"/>
      <c r="T22" s="221">
        <f>BE12</f>
        <v>0</v>
      </c>
      <c r="U22" s="97"/>
      <c r="V22" s="97"/>
      <c r="W22" s="97"/>
      <c r="X22" s="97"/>
      <c r="Y22" s="98"/>
      <c r="Z22" s="184"/>
      <c r="AA22" s="157"/>
      <c r="AB22" s="232" t="s">
        <v>107</v>
      </c>
      <c r="AC22" s="233"/>
      <c r="AD22" s="233"/>
      <c r="AE22" s="234"/>
      <c r="AF22" s="235"/>
      <c r="AG22" s="221">
        <f>BE13</f>
        <v>0</v>
      </c>
      <c r="AH22" s="97"/>
      <c r="AI22" s="97"/>
      <c r="AJ22" s="97"/>
      <c r="AK22" s="97"/>
      <c r="AL22" s="98"/>
      <c r="AM22" s="184"/>
      <c r="AN22" s="157"/>
      <c r="AO22" s="232" t="s">
        <v>107</v>
      </c>
      <c r="AP22" s="233"/>
      <c r="AQ22" s="233"/>
      <c r="AR22" s="234"/>
      <c r="AS22" s="235"/>
      <c r="AT22" s="221">
        <f>BE14</f>
        <v>0</v>
      </c>
      <c r="AU22" s="97"/>
      <c r="AV22" s="97"/>
      <c r="AW22" s="97"/>
      <c r="AX22" s="97"/>
      <c r="AY22" s="98"/>
      <c r="AZ22" s="184"/>
      <c r="BB22" s="260" t="s">
        <v>25</v>
      </c>
      <c r="BC22" s="260"/>
      <c r="BD22" s="358"/>
      <c r="BE22" s="358"/>
      <c r="BF22" s="358"/>
      <c r="BG22" s="358"/>
      <c r="BH22" s="358"/>
      <c r="BI22" s="358"/>
      <c r="BJ22" s="358"/>
      <c r="BK22" s="358"/>
      <c r="BL22" s="358"/>
    </row>
    <row r="23" ht="18" customHeight="1" spans="1:64">
      <c r="A23" s="152"/>
      <c r="B23" s="232" t="s">
        <v>108</v>
      </c>
      <c r="C23" s="233"/>
      <c r="D23" s="233"/>
      <c r="E23" s="234"/>
      <c r="F23" s="235"/>
      <c r="G23" s="261">
        <f>G21-G22</f>
        <v>66000</v>
      </c>
      <c r="H23" s="97"/>
      <c r="I23" s="97"/>
      <c r="J23" s="97"/>
      <c r="K23" s="97"/>
      <c r="L23" s="98"/>
      <c r="M23" s="184"/>
      <c r="N23" s="157"/>
      <c r="O23" s="232" t="s">
        <v>108</v>
      </c>
      <c r="P23" s="233"/>
      <c r="Q23" s="233"/>
      <c r="R23" s="234"/>
      <c r="S23" s="235"/>
      <c r="T23" s="261">
        <f>T21-T22</f>
        <v>66000</v>
      </c>
      <c r="U23" s="97"/>
      <c r="V23" s="97"/>
      <c r="W23" s="97"/>
      <c r="X23" s="97"/>
      <c r="Y23" s="98"/>
      <c r="Z23" s="184"/>
      <c r="AA23" s="157"/>
      <c r="AB23" s="232" t="s">
        <v>108</v>
      </c>
      <c r="AC23" s="233"/>
      <c r="AD23" s="233"/>
      <c r="AE23" s="234"/>
      <c r="AF23" s="235"/>
      <c r="AG23" s="261">
        <f>AG21-AG22</f>
        <v>66000</v>
      </c>
      <c r="AH23" s="97"/>
      <c r="AI23" s="97"/>
      <c r="AJ23" s="97"/>
      <c r="AK23" s="97"/>
      <c r="AL23" s="98"/>
      <c r="AM23" s="184"/>
      <c r="AN23" s="157"/>
      <c r="AO23" s="232" t="s">
        <v>108</v>
      </c>
      <c r="AP23" s="233"/>
      <c r="AQ23" s="233"/>
      <c r="AR23" s="234"/>
      <c r="AS23" s="235"/>
      <c r="AT23" s="261">
        <f>AT21-AT22</f>
        <v>66000</v>
      </c>
      <c r="AU23" s="97"/>
      <c r="AV23" s="97"/>
      <c r="AW23" s="97"/>
      <c r="AX23" s="97"/>
      <c r="AY23" s="98"/>
      <c r="AZ23" s="184"/>
      <c r="BB23" s="358"/>
      <c r="BC23" s="256"/>
      <c r="BD23" s="358"/>
      <c r="BE23" s="358"/>
      <c r="BF23" s="358"/>
      <c r="BG23" s="358"/>
      <c r="BH23" s="358"/>
      <c r="BI23" s="358"/>
      <c r="BJ23" s="358"/>
      <c r="BK23" s="358"/>
      <c r="BL23" s="358"/>
    </row>
    <row r="24" ht="18" customHeight="1" spans="1:64">
      <c r="A24" s="152"/>
      <c r="B24" s="212"/>
      <c r="C24" s="212"/>
      <c r="D24" s="212"/>
      <c r="E24" s="213"/>
      <c r="F24" s="213"/>
      <c r="G24" s="252"/>
      <c r="H24" s="252"/>
      <c r="I24" s="252"/>
      <c r="J24" s="252"/>
      <c r="K24" s="252"/>
      <c r="L24" s="252"/>
      <c r="M24" s="156"/>
      <c r="N24" s="157"/>
      <c r="O24" s="212"/>
      <c r="P24" s="212"/>
      <c r="Q24" s="509"/>
      <c r="R24" s="213"/>
      <c r="S24" s="213"/>
      <c r="T24" s="252"/>
      <c r="U24" s="252"/>
      <c r="V24" s="252"/>
      <c r="W24" s="252"/>
      <c r="X24" s="252"/>
      <c r="Y24" s="252"/>
      <c r="Z24" s="156"/>
      <c r="AA24" s="157"/>
      <c r="AB24" s="212"/>
      <c r="AC24" s="212"/>
      <c r="AD24" s="212"/>
      <c r="AE24" s="213"/>
      <c r="AF24" s="213"/>
      <c r="AG24" s="252"/>
      <c r="AH24" s="252"/>
      <c r="AI24" s="252"/>
      <c r="AJ24" s="252"/>
      <c r="AK24" s="252"/>
      <c r="AL24" s="252"/>
      <c r="AM24" s="156"/>
      <c r="AN24" s="157"/>
      <c r="AO24" s="212"/>
      <c r="AP24" s="212"/>
      <c r="AQ24" s="212"/>
      <c r="AR24" s="213"/>
      <c r="AS24" s="213"/>
      <c r="AT24" s="252"/>
      <c r="AU24" s="252"/>
      <c r="AV24" s="252"/>
      <c r="AW24" s="252"/>
      <c r="AX24" s="252"/>
      <c r="AY24" s="252"/>
      <c r="AZ24" s="156"/>
      <c r="BB24" s="256" t="s">
        <v>26</v>
      </c>
      <c r="BC24" s="256"/>
      <c r="BD24" s="358"/>
      <c r="BE24" s="510"/>
      <c r="BF24" s="154"/>
      <c r="BG24" s="154"/>
      <c r="BH24" s="154"/>
      <c r="BI24" s="154"/>
      <c r="BJ24" s="154"/>
      <c r="BK24" s="358"/>
      <c r="BL24" s="358"/>
    </row>
    <row r="25" ht="18" customHeight="1" spans="1:64">
      <c r="A25" s="152"/>
      <c r="B25" s="232" t="s">
        <v>109</v>
      </c>
      <c r="C25" s="233"/>
      <c r="D25" s="233"/>
      <c r="E25" s="234"/>
      <c r="F25" s="235"/>
      <c r="G25" s="263"/>
      <c r="H25" s="97"/>
      <c r="I25" s="97"/>
      <c r="J25" s="97"/>
      <c r="K25" s="97"/>
      <c r="L25" s="98"/>
      <c r="M25" s="156"/>
      <c r="N25" s="157"/>
      <c r="O25" s="232" t="s">
        <v>109</v>
      </c>
      <c r="P25" s="233"/>
      <c r="Q25" s="233"/>
      <c r="R25" s="234"/>
      <c r="S25" s="235"/>
      <c r="T25" s="263"/>
      <c r="U25" s="97"/>
      <c r="V25" s="97"/>
      <c r="W25" s="97"/>
      <c r="X25" s="97"/>
      <c r="Y25" s="98"/>
      <c r="Z25" s="156"/>
      <c r="AA25" s="157"/>
      <c r="AB25" s="232" t="s">
        <v>109</v>
      </c>
      <c r="AC25" s="233"/>
      <c r="AD25" s="233"/>
      <c r="AE25" s="234"/>
      <c r="AF25" s="235"/>
      <c r="AG25" s="263"/>
      <c r="AH25" s="97"/>
      <c r="AI25" s="97"/>
      <c r="AJ25" s="97"/>
      <c r="AK25" s="97"/>
      <c r="AL25" s="98"/>
      <c r="AM25" s="156"/>
      <c r="AN25" s="157"/>
      <c r="AO25" s="232" t="s">
        <v>109</v>
      </c>
      <c r="AP25" s="233"/>
      <c r="AQ25" s="233"/>
      <c r="AR25" s="234"/>
      <c r="AS25" s="235"/>
      <c r="AT25" s="263"/>
      <c r="AU25" s="97"/>
      <c r="AV25" s="97"/>
      <c r="AW25" s="97"/>
      <c r="AX25" s="97"/>
      <c r="AY25" s="98"/>
      <c r="AZ25" s="156"/>
      <c r="BB25" s="358"/>
      <c r="BC25" s="358"/>
      <c r="BD25" s="358"/>
      <c r="BE25" s="154"/>
      <c r="BK25" s="358"/>
      <c r="BL25" s="358"/>
    </row>
    <row r="26" ht="18" customHeight="1" spans="1:64">
      <c r="A26" s="152"/>
      <c r="B26" s="232" t="s">
        <v>110</v>
      </c>
      <c r="C26" s="233"/>
      <c r="D26" s="233"/>
      <c r="E26" s="234"/>
      <c r="F26" s="235"/>
      <c r="G26" s="221">
        <f>BF11</f>
        <v>192</v>
      </c>
      <c r="H26" s="97"/>
      <c r="I26" s="97"/>
      <c r="J26" s="97"/>
      <c r="K26" s="97"/>
      <c r="L26" s="98"/>
      <c r="M26" s="184"/>
      <c r="N26" s="157"/>
      <c r="O26" s="232" t="s">
        <v>110</v>
      </c>
      <c r="P26" s="233"/>
      <c r="Q26" s="233"/>
      <c r="R26" s="234"/>
      <c r="S26" s="235"/>
      <c r="T26" s="221">
        <f>BF12</f>
        <v>0</v>
      </c>
      <c r="U26" s="97"/>
      <c r="V26" s="97"/>
      <c r="W26" s="97"/>
      <c r="X26" s="97"/>
      <c r="Y26" s="98"/>
      <c r="Z26" s="184"/>
      <c r="AA26" s="157"/>
      <c r="AB26" s="232" t="s">
        <v>110</v>
      </c>
      <c r="AC26" s="233"/>
      <c r="AD26" s="233"/>
      <c r="AE26" s="234"/>
      <c r="AF26" s="235"/>
      <c r="AG26" s="221">
        <f>BF13</f>
        <v>0</v>
      </c>
      <c r="AH26" s="97"/>
      <c r="AI26" s="97"/>
      <c r="AJ26" s="97"/>
      <c r="AK26" s="97"/>
      <c r="AL26" s="98"/>
      <c r="AM26" s="184"/>
      <c r="AN26" s="157"/>
      <c r="AO26" s="232" t="s">
        <v>110</v>
      </c>
      <c r="AP26" s="233"/>
      <c r="AQ26" s="233"/>
      <c r="AR26" s="234"/>
      <c r="AS26" s="235"/>
      <c r="AT26" s="221">
        <f>BF14</f>
        <v>0</v>
      </c>
      <c r="AU26" s="97"/>
      <c r="AV26" s="97"/>
      <c r="AW26" s="97"/>
      <c r="AX26" s="97"/>
      <c r="AY26" s="98"/>
      <c r="AZ26" s="184"/>
      <c r="BB26" s="358"/>
      <c r="BC26" s="358"/>
      <c r="BD26" s="358"/>
      <c r="BE26" s="358"/>
      <c r="BF26" s="358"/>
      <c r="BG26" s="358"/>
      <c r="BH26" s="358"/>
      <c r="BI26" s="358"/>
      <c r="BJ26" s="358"/>
      <c r="BK26" s="358"/>
      <c r="BL26" s="358"/>
    </row>
    <row r="27" ht="18" customHeight="1" spans="1:64">
      <c r="A27" s="152"/>
      <c r="B27" s="232" t="s">
        <v>111</v>
      </c>
      <c r="C27" s="233"/>
      <c r="D27" s="233"/>
      <c r="E27" s="234"/>
      <c r="F27" s="235"/>
      <c r="G27" s="263"/>
      <c r="H27" s="97"/>
      <c r="I27" s="97"/>
      <c r="J27" s="97"/>
      <c r="K27" s="97"/>
      <c r="L27" s="98"/>
      <c r="M27" s="156"/>
      <c r="N27" s="157"/>
      <c r="O27" s="232" t="s">
        <v>111</v>
      </c>
      <c r="P27" s="233"/>
      <c r="Q27" s="233"/>
      <c r="R27" s="234"/>
      <c r="S27" s="235"/>
      <c r="T27" s="263"/>
      <c r="U27" s="97"/>
      <c r="V27" s="97"/>
      <c r="W27" s="97"/>
      <c r="X27" s="97"/>
      <c r="Y27" s="98"/>
      <c r="Z27" s="156"/>
      <c r="AA27" s="157"/>
      <c r="AB27" s="232" t="s">
        <v>111</v>
      </c>
      <c r="AC27" s="233"/>
      <c r="AD27" s="233"/>
      <c r="AE27" s="234"/>
      <c r="AF27" s="235"/>
      <c r="AG27" s="263"/>
      <c r="AH27" s="97"/>
      <c r="AI27" s="97"/>
      <c r="AJ27" s="97"/>
      <c r="AK27" s="97"/>
      <c r="AL27" s="98"/>
      <c r="AM27" s="156"/>
      <c r="AN27" s="157"/>
      <c r="AO27" s="232" t="s">
        <v>111</v>
      </c>
      <c r="AP27" s="233"/>
      <c r="AQ27" s="233"/>
      <c r="AR27" s="234"/>
      <c r="AS27" s="235"/>
      <c r="AT27" s="263"/>
      <c r="AU27" s="97"/>
      <c r="AV27" s="97"/>
      <c r="AW27" s="97"/>
      <c r="AX27" s="97"/>
      <c r="AY27" s="98"/>
      <c r="AZ27" s="156"/>
      <c r="BB27" s="358"/>
      <c r="BC27" s="358"/>
      <c r="BD27" s="358"/>
      <c r="BE27" s="358"/>
      <c r="BF27" s="358"/>
      <c r="BG27" s="358"/>
      <c r="BH27" s="358"/>
      <c r="BI27" s="358"/>
      <c r="BJ27" s="358"/>
      <c r="BK27" s="358"/>
      <c r="BL27" s="358"/>
    </row>
    <row r="28" ht="15.75" customHeight="1" spans="1:64">
      <c r="A28" s="152"/>
      <c r="B28" s="197"/>
      <c r="C28" s="197"/>
      <c r="D28" s="212"/>
      <c r="E28" s="212"/>
      <c r="F28" s="212"/>
      <c r="G28" s="212"/>
      <c r="H28" s="212"/>
      <c r="I28" s="212"/>
      <c r="J28" s="212"/>
      <c r="K28" s="212"/>
      <c r="L28" s="212"/>
      <c r="M28" s="156"/>
      <c r="N28" s="157"/>
      <c r="O28" s="197"/>
      <c r="P28" s="197"/>
      <c r="Q28" s="212"/>
      <c r="R28" s="212"/>
      <c r="S28" s="212"/>
      <c r="T28" s="212"/>
      <c r="U28" s="212"/>
      <c r="V28" s="212"/>
      <c r="W28" s="212"/>
      <c r="X28" s="212"/>
      <c r="Y28" s="212"/>
      <c r="Z28" s="156"/>
      <c r="AA28" s="157"/>
      <c r="AB28" s="197"/>
      <c r="AC28" s="197"/>
      <c r="AD28" s="212"/>
      <c r="AE28" s="212"/>
      <c r="AF28" s="212"/>
      <c r="AG28" s="212"/>
      <c r="AH28" s="212"/>
      <c r="AI28" s="212"/>
      <c r="AJ28" s="212"/>
      <c r="AK28" s="212"/>
      <c r="AL28" s="212"/>
      <c r="AM28" s="156"/>
      <c r="AN28" s="157"/>
      <c r="AO28" s="197"/>
      <c r="AP28" s="197"/>
      <c r="AQ28" s="212"/>
      <c r="AR28" s="212"/>
      <c r="AS28" s="212"/>
      <c r="AT28" s="212"/>
      <c r="AU28" s="212"/>
      <c r="AV28" s="212"/>
      <c r="AW28" s="212"/>
      <c r="AX28" s="212"/>
      <c r="AY28" s="212"/>
      <c r="AZ28" s="156"/>
      <c r="BB28" s="358"/>
      <c r="BC28" s="358"/>
      <c r="BD28" s="358"/>
      <c r="BE28" s="358"/>
      <c r="BF28" s="358"/>
      <c r="BG28" s="358"/>
      <c r="BH28" s="358"/>
      <c r="BI28" s="358"/>
      <c r="BJ28" s="358"/>
      <c r="BK28" s="358"/>
      <c r="BL28" s="358"/>
    </row>
    <row r="29" ht="15.75" customHeight="1" spans="1:64">
      <c r="A29" s="152"/>
      <c r="B29" s="197"/>
      <c r="C29" s="197"/>
      <c r="D29" s="212"/>
      <c r="E29" s="212"/>
      <c r="F29" s="212"/>
      <c r="G29" s="212"/>
      <c r="H29" s="212"/>
      <c r="I29" s="212"/>
      <c r="J29" s="212"/>
      <c r="K29" s="212"/>
      <c r="L29" s="212"/>
      <c r="M29" s="156"/>
      <c r="N29" s="157"/>
      <c r="O29" s="197"/>
      <c r="P29" s="197"/>
      <c r="Q29" s="212"/>
      <c r="R29" s="212"/>
      <c r="S29" s="212"/>
      <c r="T29" s="212"/>
      <c r="U29" s="212"/>
      <c r="V29" s="212"/>
      <c r="W29" s="212"/>
      <c r="X29" s="212"/>
      <c r="Y29" s="212"/>
      <c r="Z29" s="156"/>
      <c r="AA29" s="157"/>
      <c r="AB29" s="197"/>
      <c r="AC29" s="197"/>
      <c r="AD29" s="212"/>
      <c r="AE29" s="212"/>
      <c r="AF29" s="212"/>
      <c r="AG29" s="212"/>
      <c r="AH29" s="212"/>
      <c r="AI29" s="212"/>
      <c r="AJ29" s="212"/>
      <c r="AK29" s="212"/>
      <c r="AL29" s="212"/>
      <c r="AM29" s="156"/>
      <c r="AN29" s="157"/>
      <c r="AO29" s="197"/>
      <c r="AP29" s="197"/>
      <c r="AQ29" s="212"/>
      <c r="AR29" s="212"/>
      <c r="AS29" s="212"/>
      <c r="AT29" s="212"/>
      <c r="AU29" s="212"/>
      <c r="AV29" s="212"/>
      <c r="AW29" s="212"/>
      <c r="AX29" s="212"/>
      <c r="AY29" s="212"/>
      <c r="AZ29" s="156"/>
      <c r="BB29" s="358"/>
      <c r="BC29" s="358"/>
      <c r="BD29" s="358"/>
      <c r="BE29" s="358"/>
      <c r="BF29" s="358"/>
      <c r="BG29" s="358"/>
      <c r="BH29" s="358"/>
      <c r="BI29" s="358"/>
      <c r="BJ29" s="358"/>
      <c r="BK29" s="358"/>
      <c r="BL29" s="358"/>
    </row>
    <row r="30" ht="15.75" customHeight="1" spans="1:64">
      <c r="A30" s="152"/>
      <c r="B30" s="197" t="s">
        <v>112</v>
      </c>
      <c r="C30" s="197"/>
      <c r="D30" s="212"/>
      <c r="E30" s="212" t="str">
        <f>BC17</f>
        <v>CAPT. DAVID WIBAWA SAPULETE</v>
      </c>
      <c r="F30" s="154"/>
      <c r="G30" s="154"/>
      <c r="H30" s="154"/>
      <c r="I30" s="154"/>
      <c r="J30" s="154"/>
      <c r="K30" s="154"/>
      <c r="L30" s="154"/>
      <c r="M30" s="156"/>
      <c r="N30" s="157"/>
      <c r="O30" s="197" t="s">
        <v>112</v>
      </c>
      <c r="P30" s="197"/>
      <c r="Q30" s="212"/>
      <c r="R30" s="212" t="str">
        <f>E30</f>
        <v>CAPT. DAVID WIBAWA SAPULETE</v>
      </c>
      <c r="S30" s="154"/>
      <c r="T30" s="154"/>
      <c r="U30" s="154"/>
      <c r="V30" s="154"/>
      <c r="W30" s="154"/>
      <c r="X30" s="154"/>
      <c r="Y30" s="212"/>
      <c r="Z30" s="156"/>
      <c r="AA30" s="157"/>
      <c r="AB30" s="197" t="s">
        <v>112</v>
      </c>
      <c r="AC30" s="197"/>
      <c r="AD30" s="212"/>
      <c r="AE30" s="212" t="str">
        <f>R30</f>
        <v>CAPT. DAVID WIBAWA SAPULETE</v>
      </c>
      <c r="AF30" s="154"/>
      <c r="AG30" s="154"/>
      <c r="AH30" s="154"/>
      <c r="AI30" s="154"/>
      <c r="AJ30" s="154"/>
      <c r="AK30" s="154"/>
      <c r="AL30" s="212"/>
      <c r="AM30" s="156"/>
      <c r="AN30" s="157"/>
      <c r="AO30" s="197" t="s">
        <v>112</v>
      </c>
      <c r="AP30" s="197"/>
      <c r="AQ30" s="212"/>
      <c r="AR30" s="212" t="str">
        <f>AE30</f>
        <v>CAPT. DAVID WIBAWA SAPULETE</v>
      </c>
      <c r="AS30" s="154"/>
      <c r="AT30" s="154"/>
      <c r="AU30" s="154"/>
      <c r="AV30" s="154"/>
      <c r="AW30" s="154"/>
      <c r="AX30" s="154"/>
      <c r="AY30" s="212"/>
      <c r="AZ30" s="156"/>
      <c r="BB30" s="358"/>
      <c r="BC30" s="358"/>
      <c r="BD30" s="358"/>
      <c r="BE30" s="358"/>
      <c r="BF30" s="358"/>
      <c r="BG30" s="358"/>
      <c r="BH30" s="358"/>
      <c r="BI30" s="358"/>
      <c r="BJ30" s="358"/>
      <c r="BK30" s="358"/>
      <c r="BL30" s="358"/>
    </row>
    <row r="31" ht="59.25" customHeight="1" spans="1:64">
      <c r="A31" s="152"/>
      <c r="B31" s="197"/>
      <c r="C31" s="197"/>
      <c r="D31" s="198" t="s">
        <v>113</v>
      </c>
      <c r="E31" s="154"/>
      <c r="F31" s="154"/>
      <c r="G31" s="154"/>
      <c r="H31" s="154"/>
      <c r="I31" s="154"/>
      <c r="J31" s="212"/>
      <c r="K31" s="212"/>
      <c r="L31" s="212"/>
      <c r="M31" s="156"/>
      <c r="N31" s="157"/>
      <c r="O31" s="197"/>
      <c r="P31" s="197"/>
      <c r="Q31" s="198" t="s">
        <v>113</v>
      </c>
      <c r="R31" s="154"/>
      <c r="S31" s="154"/>
      <c r="T31" s="154"/>
      <c r="U31" s="154"/>
      <c r="V31" s="154"/>
      <c r="W31" s="212"/>
      <c r="X31" s="212"/>
      <c r="Y31" s="212"/>
      <c r="Z31" s="156"/>
      <c r="AA31" s="157"/>
      <c r="AB31" s="197"/>
      <c r="AC31" s="197"/>
      <c r="AD31" s="198" t="s">
        <v>113</v>
      </c>
      <c r="AE31" s="154"/>
      <c r="AF31" s="154"/>
      <c r="AG31" s="154"/>
      <c r="AH31" s="154"/>
      <c r="AI31" s="154"/>
      <c r="AJ31" s="212"/>
      <c r="AK31" s="212"/>
      <c r="AL31" s="212"/>
      <c r="AM31" s="156"/>
      <c r="AN31" s="157"/>
      <c r="AO31" s="197"/>
      <c r="AP31" s="197"/>
      <c r="AQ31" s="198" t="s">
        <v>113</v>
      </c>
      <c r="AR31" s="154"/>
      <c r="AS31" s="154"/>
      <c r="AT31" s="154"/>
      <c r="AU31" s="154"/>
      <c r="AV31" s="154"/>
      <c r="AW31" s="212"/>
      <c r="AX31" s="212"/>
      <c r="AY31" s="212"/>
      <c r="AZ31" s="156"/>
      <c r="BB31" s="358"/>
      <c r="BC31" s="358"/>
      <c r="BD31" s="358"/>
      <c r="BE31" s="358"/>
      <c r="BF31" s="358"/>
      <c r="BG31" s="358"/>
      <c r="BH31" s="358"/>
      <c r="BI31" s="358"/>
      <c r="BJ31" s="358"/>
      <c r="BK31" s="358"/>
      <c r="BL31" s="358"/>
    </row>
    <row r="32" ht="15.75" customHeight="1" spans="1:64">
      <c r="A32" s="152"/>
      <c r="B32" s="197"/>
      <c r="C32" s="197"/>
      <c r="D32" s="212"/>
      <c r="E32" s="212"/>
      <c r="F32" s="212"/>
      <c r="G32" s="212"/>
      <c r="H32" s="212"/>
      <c r="I32" s="212"/>
      <c r="J32" s="212"/>
      <c r="K32" s="212"/>
      <c r="L32" s="212"/>
      <c r="M32" s="156"/>
      <c r="N32" s="157"/>
      <c r="O32" s="197"/>
      <c r="P32" s="197"/>
      <c r="Q32" s="212"/>
      <c r="R32" s="212"/>
      <c r="S32" s="212"/>
      <c r="T32" s="212"/>
      <c r="U32" s="212"/>
      <c r="V32" s="212"/>
      <c r="W32" s="212"/>
      <c r="X32" s="212"/>
      <c r="Y32" s="212"/>
      <c r="Z32" s="156"/>
      <c r="AA32" s="157"/>
      <c r="AB32" s="197"/>
      <c r="AC32" s="197"/>
      <c r="AD32" s="212"/>
      <c r="AE32" s="212"/>
      <c r="AF32" s="212"/>
      <c r="AG32" s="212"/>
      <c r="AH32" s="212"/>
      <c r="AI32" s="212"/>
      <c r="AJ32" s="212"/>
      <c r="AK32" s="212"/>
      <c r="AL32" s="212"/>
      <c r="AM32" s="156"/>
      <c r="AN32" s="157"/>
      <c r="AO32" s="197"/>
      <c r="AP32" s="197"/>
      <c r="AQ32" s="212"/>
      <c r="AR32" s="212"/>
      <c r="AS32" s="212"/>
      <c r="AT32" s="212"/>
      <c r="AU32" s="212"/>
      <c r="AV32" s="212"/>
      <c r="AW32" s="212"/>
      <c r="AX32" s="212"/>
      <c r="AY32" s="212"/>
      <c r="AZ32" s="156"/>
      <c r="BB32" s="358"/>
      <c r="BC32" s="358"/>
      <c r="BD32" s="358"/>
      <c r="BE32" s="358"/>
      <c r="BF32" s="358"/>
      <c r="BG32" s="358"/>
      <c r="BH32" s="358"/>
      <c r="BI32" s="358"/>
      <c r="BJ32" s="358"/>
      <c r="BK32" s="358"/>
      <c r="BL32" s="358"/>
    </row>
    <row r="33" ht="15.75" customHeight="1" spans="1:64">
      <c r="A33" s="152"/>
      <c r="B33" s="197"/>
      <c r="C33" s="197"/>
      <c r="D33" s="212"/>
      <c r="E33" s="212"/>
      <c r="F33" s="212"/>
      <c r="G33" s="212"/>
      <c r="H33" s="212"/>
      <c r="I33" s="212"/>
      <c r="J33" s="212"/>
      <c r="K33" s="212"/>
      <c r="L33" s="212"/>
      <c r="M33" s="156"/>
      <c r="N33" s="157"/>
      <c r="O33" s="197"/>
      <c r="P33" s="197"/>
      <c r="Q33" s="212"/>
      <c r="R33" s="212"/>
      <c r="S33" s="212"/>
      <c r="T33" s="212"/>
      <c r="U33" s="212"/>
      <c r="V33" s="212"/>
      <c r="W33" s="212"/>
      <c r="X33" s="212"/>
      <c r="Y33" s="212"/>
      <c r="Z33" s="156"/>
      <c r="AA33" s="157"/>
      <c r="AB33" s="197"/>
      <c r="AC33" s="197"/>
      <c r="AD33" s="212"/>
      <c r="AE33" s="212"/>
      <c r="AF33" s="212"/>
      <c r="AG33" s="212"/>
      <c r="AH33" s="212"/>
      <c r="AI33" s="212"/>
      <c r="AJ33" s="212"/>
      <c r="AK33" s="212"/>
      <c r="AL33" s="212"/>
      <c r="AM33" s="156"/>
      <c r="AN33" s="157"/>
      <c r="AO33" s="197"/>
      <c r="AP33" s="197"/>
      <c r="AQ33" s="212"/>
      <c r="AR33" s="212"/>
      <c r="AS33" s="212"/>
      <c r="AT33" s="212"/>
      <c r="AU33" s="212"/>
      <c r="AV33" s="212"/>
      <c r="AW33" s="212"/>
      <c r="AX33" s="212"/>
      <c r="AY33" s="212"/>
      <c r="AZ33" s="156"/>
      <c r="BB33" s="358"/>
      <c r="BC33" s="358"/>
      <c r="BD33" s="358"/>
      <c r="BE33" s="358"/>
      <c r="BF33" s="358"/>
      <c r="BG33" s="358"/>
      <c r="BH33" s="358"/>
      <c r="BI33" s="358"/>
      <c r="BJ33" s="358"/>
      <c r="BK33" s="358"/>
      <c r="BL33" s="358"/>
    </row>
    <row r="34" ht="15.75" customHeight="1" spans="1:64">
      <c r="A34" s="152"/>
      <c r="B34" s="197" t="s">
        <v>114</v>
      </c>
      <c r="C34" s="197"/>
      <c r="D34" s="265">
        <f>BC11</f>
        <v>500</v>
      </c>
      <c r="E34" s="154"/>
      <c r="F34" s="154"/>
      <c r="G34" s="212" t="s">
        <v>115</v>
      </c>
      <c r="H34" s="212"/>
      <c r="I34" s="212"/>
      <c r="J34" s="212"/>
      <c r="K34" s="212"/>
      <c r="L34" s="212"/>
      <c r="M34" s="156"/>
      <c r="N34" s="157"/>
      <c r="O34" s="197" t="s">
        <v>114</v>
      </c>
      <c r="P34" s="197"/>
      <c r="Q34" s="265">
        <f>BC12</f>
        <v>0</v>
      </c>
      <c r="R34" s="154"/>
      <c r="S34" s="154"/>
      <c r="T34" s="212" t="s">
        <v>115</v>
      </c>
      <c r="U34" s="212"/>
      <c r="V34" s="212"/>
      <c r="W34" s="212"/>
      <c r="X34" s="212"/>
      <c r="Y34" s="212"/>
      <c r="Z34" s="156"/>
      <c r="AA34" s="157"/>
      <c r="AB34" s="197" t="s">
        <v>114</v>
      </c>
      <c r="AC34" s="197"/>
      <c r="AD34" s="265">
        <f>BC13</f>
        <v>0</v>
      </c>
      <c r="AE34" s="154"/>
      <c r="AF34" s="154"/>
      <c r="AG34" s="212" t="s">
        <v>115</v>
      </c>
      <c r="AH34" s="212"/>
      <c r="AI34" s="212"/>
      <c r="AJ34" s="212"/>
      <c r="AK34" s="212"/>
      <c r="AL34" s="212"/>
      <c r="AM34" s="156"/>
      <c r="AN34" s="157"/>
      <c r="AO34" s="197" t="s">
        <v>114</v>
      </c>
      <c r="AP34" s="197"/>
      <c r="AQ34" s="265">
        <f>BC14</f>
        <v>0</v>
      </c>
      <c r="AR34" s="154"/>
      <c r="AS34" s="154"/>
      <c r="AT34" s="212" t="s">
        <v>115</v>
      </c>
      <c r="AU34" s="212"/>
      <c r="AV34" s="212"/>
      <c r="AW34" s="212"/>
      <c r="AX34" s="212"/>
      <c r="AY34" s="212"/>
      <c r="AZ34" s="156"/>
      <c r="BB34" s="358"/>
      <c r="BC34" s="358"/>
      <c r="BD34" s="358"/>
      <c r="BE34" s="358"/>
      <c r="BF34" s="358"/>
      <c r="BG34" s="358"/>
      <c r="BH34" s="358"/>
      <c r="BI34" s="358"/>
      <c r="BJ34" s="358"/>
      <c r="BK34" s="358"/>
      <c r="BL34" s="358"/>
    </row>
    <row r="35" ht="48" customHeight="1" spans="1:64">
      <c r="A35" s="267"/>
      <c r="B35" s="268"/>
      <c r="C35" s="268"/>
      <c r="D35" s="269"/>
      <c r="E35" s="269"/>
      <c r="F35" s="269"/>
      <c r="G35" s="269"/>
      <c r="H35" s="269"/>
      <c r="I35" s="269"/>
      <c r="J35" s="269"/>
      <c r="K35" s="269"/>
      <c r="L35" s="269"/>
      <c r="M35" s="270"/>
      <c r="N35" s="267"/>
      <c r="O35" s="268"/>
      <c r="P35" s="268"/>
      <c r="Q35" s="269"/>
      <c r="R35" s="269"/>
      <c r="S35" s="269"/>
      <c r="T35" s="269"/>
      <c r="U35" s="269"/>
      <c r="V35" s="269"/>
      <c r="W35" s="269"/>
      <c r="X35" s="269"/>
      <c r="Y35" s="269"/>
      <c r="Z35" s="270"/>
      <c r="AA35" s="267"/>
      <c r="AB35" s="268"/>
      <c r="AC35" s="268"/>
      <c r="AD35" s="269"/>
      <c r="AE35" s="269"/>
      <c r="AF35" s="269"/>
      <c r="AG35" s="269"/>
      <c r="AH35" s="269"/>
      <c r="AI35" s="269"/>
      <c r="AJ35" s="269"/>
      <c r="AK35" s="269"/>
      <c r="AL35" s="269"/>
      <c r="AM35" s="270"/>
      <c r="AN35" s="267"/>
      <c r="AO35" s="268"/>
      <c r="AP35" s="268"/>
      <c r="AQ35" s="269"/>
      <c r="AR35" s="269"/>
      <c r="AS35" s="269"/>
      <c r="AT35" s="269"/>
      <c r="AU35" s="269"/>
      <c r="AV35" s="269"/>
      <c r="AW35" s="269"/>
      <c r="AX35" s="269"/>
      <c r="AY35" s="269"/>
      <c r="AZ35" s="270"/>
      <c r="BB35" s="358"/>
      <c r="BC35" s="358"/>
      <c r="BD35" s="358"/>
      <c r="BE35" s="358"/>
      <c r="BF35" s="358"/>
      <c r="BG35" s="358"/>
      <c r="BH35" s="358"/>
      <c r="BI35" s="358"/>
      <c r="BJ35" s="358"/>
      <c r="BK35" s="358"/>
      <c r="BL35" s="35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5">
    <mergeCell ref="A2:F2"/>
    <mergeCell ref="N2:S2"/>
    <mergeCell ref="AA2:AF2"/>
    <mergeCell ref="AN2:AS2"/>
    <mergeCell ref="BH2:BI2"/>
    <mergeCell ref="BH3:BI3"/>
    <mergeCell ref="B4:F4"/>
    <mergeCell ref="J4:L4"/>
    <mergeCell ref="O4:S4"/>
    <mergeCell ref="W4:Y4"/>
    <mergeCell ref="AB4:AF4"/>
    <mergeCell ref="AJ4:AL4"/>
    <mergeCell ref="AO4:AS4"/>
    <mergeCell ref="AW4:AY4"/>
    <mergeCell ref="B6:D6"/>
    <mergeCell ref="E6:F6"/>
    <mergeCell ref="H6:L6"/>
    <mergeCell ref="O6:Q6"/>
    <mergeCell ref="R6:S6"/>
    <mergeCell ref="U6:Y6"/>
    <mergeCell ref="AB6:AD6"/>
    <mergeCell ref="AE6:AF6"/>
    <mergeCell ref="AH6:AL6"/>
    <mergeCell ref="AO6:AQ6"/>
    <mergeCell ref="AR6:AS6"/>
    <mergeCell ref="AU6:AY6"/>
    <mergeCell ref="B7:D7"/>
    <mergeCell ref="E7:F7"/>
    <mergeCell ref="H7:L7"/>
    <mergeCell ref="O7:Q7"/>
    <mergeCell ref="R7:S7"/>
    <mergeCell ref="U7:Y7"/>
    <mergeCell ref="AB7:AD7"/>
    <mergeCell ref="AE7:AF7"/>
    <mergeCell ref="AH7:AL7"/>
    <mergeCell ref="AO7:AQ7"/>
    <mergeCell ref="AR7:AS7"/>
    <mergeCell ref="AU7:AY7"/>
    <mergeCell ref="B8:D8"/>
    <mergeCell ref="E8:F8"/>
    <mergeCell ref="H8:L8"/>
    <mergeCell ref="O8:Q8"/>
    <mergeCell ref="R8:S8"/>
    <mergeCell ref="U8:Y8"/>
    <mergeCell ref="AB8:AD8"/>
    <mergeCell ref="AE8:AF8"/>
    <mergeCell ref="AH8:AL8"/>
    <mergeCell ref="AO8:AQ8"/>
    <mergeCell ref="AR8:AS8"/>
    <mergeCell ref="AU8:AY8"/>
    <mergeCell ref="B9:D9"/>
    <mergeCell ref="E9:F9"/>
    <mergeCell ref="H9:L9"/>
    <mergeCell ref="O9:Q9"/>
    <mergeCell ref="R9:S9"/>
    <mergeCell ref="U9:Y9"/>
    <mergeCell ref="AB9:AD9"/>
    <mergeCell ref="AE9:AF9"/>
    <mergeCell ref="AH9:AL9"/>
    <mergeCell ref="AO9:AQ9"/>
    <mergeCell ref="AR9:AS9"/>
    <mergeCell ref="AU9:AY9"/>
    <mergeCell ref="G11:L11"/>
    <mergeCell ref="T11:Y11"/>
    <mergeCell ref="AG11:AL11"/>
    <mergeCell ref="AT11:AY11"/>
    <mergeCell ref="G12:L12"/>
    <mergeCell ref="T12:Y12"/>
    <mergeCell ref="AG12:AL12"/>
    <mergeCell ref="AT12:AY12"/>
    <mergeCell ref="G13:L13"/>
    <mergeCell ref="T13:Y13"/>
    <mergeCell ref="AG13:AL13"/>
    <mergeCell ref="AT13:AY13"/>
    <mergeCell ref="I15:L15"/>
    <mergeCell ref="V15:Y15"/>
    <mergeCell ref="AI15:AL15"/>
    <mergeCell ref="AV15:AY15"/>
    <mergeCell ref="E16:H16"/>
    <mergeCell ref="I16:L16"/>
    <mergeCell ref="R16:U16"/>
    <mergeCell ref="V16:Y16"/>
    <mergeCell ref="AE16:AH16"/>
    <mergeCell ref="AI16:AL16"/>
    <mergeCell ref="AR16:AU16"/>
    <mergeCell ref="AV16:AY16"/>
    <mergeCell ref="G17:L17"/>
    <mergeCell ref="T17:Y17"/>
    <mergeCell ref="AG17:AL17"/>
    <mergeCell ref="AT17:AY17"/>
    <mergeCell ref="G19:L19"/>
    <mergeCell ref="T19:Y19"/>
    <mergeCell ref="AG19:AL19"/>
    <mergeCell ref="AT19:AY19"/>
    <mergeCell ref="G20:L20"/>
    <mergeCell ref="T20:Y20"/>
    <mergeCell ref="AG20:AL20"/>
    <mergeCell ref="AT20:AY20"/>
    <mergeCell ref="G21:L21"/>
    <mergeCell ref="T21:Y21"/>
    <mergeCell ref="AG21:AL21"/>
    <mergeCell ref="AT21:AY21"/>
    <mergeCell ref="G22:L22"/>
    <mergeCell ref="T22:Y22"/>
    <mergeCell ref="AG22:AL22"/>
    <mergeCell ref="AT22:AY22"/>
    <mergeCell ref="G23:L23"/>
    <mergeCell ref="T23:Y23"/>
    <mergeCell ref="AG23:AL23"/>
    <mergeCell ref="AT23:AY23"/>
    <mergeCell ref="G25:L25"/>
    <mergeCell ref="T25:Y25"/>
    <mergeCell ref="AG25:AL25"/>
    <mergeCell ref="AT25:AY25"/>
    <mergeCell ref="G26:L26"/>
    <mergeCell ref="T26:Y26"/>
    <mergeCell ref="AG26:AL26"/>
    <mergeCell ref="AT26:AY26"/>
    <mergeCell ref="G27:L27"/>
    <mergeCell ref="T27:Y27"/>
    <mergeCell ref="AG27:AL27"/>
    <mergeCell ref="AT27:AY27"/>
    <mergeCell ref="E30:L30"/>
    <mergeCell ref="R30:X30"/>
    <mergeCell ref="AE30:AK30"/>
    <mergeCell ref="AR30:AX30"/>
    <mergeCell ref="D31:I31"/>
    <mergeCell ref="Q31:V31"/>
    <mergeCell ref="AD31:AI31"/>
    <mergeCell ref="AQ31:AV31"/>
    <mergeCell ref="D34:F34"/>
    <mergeCell ref="Q34:S34"/>
    <mergeCell ref="AD34:AF34"/>
    <mergeCell ref="AQ34:AS34"/>
    <mergeCell ref="BE24:BJ25"/>
  </mergeCells>
  <hyperlinks>
    <hyperlink ref="BG19" r:id="rId1" display="iaa_cgk_ops@airasia.com"/>
  </hyperlinks>
  <printOptions verticalCentered="1"/>
  <pageMargins left="0.25" right="0" top="0.75" bottom="0.75" header="0" footer="0"/>
  <pageSetup paperSize="9" orientation="landscape"/>
  <headerFooter/>
  <colBreaks count="1" manualBreakCount="1">
    <brk id="52" max="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Z1000"/>
  <sheetViews>
    <sheetView showGridLines="0" workbookViewId="0">
      <selection activeCell="A1" sqref="A1"/>
    </sheetView>
  </sheetViews>
  <sheetFormatPr defaultColWidth="12.6271186440678" defaultRowHeight="15" customHeight="1"/>
  <cols>
    <col min="1" max="1" width="1.88135593220339" customWidth="1"/>
    <col min="2" max="2" width="10.3813559322034" customWidth="1"/>
    <col min="3" max="3" width="11.1271186440678" customWidth="1"/>
    <col min="4" max="4" width="9" customWidth="1"/>
    <col min="5" max="5" width="10.5" customWidth="1"/>
    <col min="6" max="6" width="17.1271186440678" customWidth="1"/>
    <col min="7" max="7" width="8.25423728813559" customWidth="1"/>
    <col min="8" max="8" width="11.5" customWidth="1"/>
    <col min="9" max="9" width="7" customWidth="1"/>
    <col min="10" max="10" width="8.75423728813559" customWidth="1"/>
    <col min="11" max="12" width="9.5" customWidth="1"/>
    <col min="13" max="13" width="10.2542372881356" customWidth="1"/>
    <col min="14" max="14" width="8.38135593220339" customWidth="1"/>
    <col min="15" max="15" width="11.1271186440678" customWidth="1"/>
    <col min="16" max="16" width="13.1271186440678" customWidth="1"/>
    <col min="17" max="17" width="2.5" customWidth="1"/>
    <col min="18" max="18" width="11.1271186440678" customWidth="1"/>
    <col min="19" max="19" width="7.6271186440678" customWidth="1"/>
    <col min="20" max="20" width="2.1271186440678" customWidth="1"/>
    <col min="21" max="26" width="11.5" customWidth="1"/>
  </cols>
  <sheetData>
    <row r="1" ht="15.75" customHeight="1" spans="1:26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67.5" customHeight="1" spans="1:26">
      <c r="A2" s="63"/>
      <c r="B2" s="64" t="s">
        <v>28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  <c r="T2" s="63" t="s">
        <v>29</v>
      </c>
      <c r="U2" s="63"/>
      <c r="V2" s="63"/>
      <c r="W2" s="63"/>
      <c r="X2" s="63"/>
      <c r="Y2" s="63"/>
      <c r="Z2" s="63"/>
    </row>
    <row r="3" ht="22.5" customHeight="1" spans="1:26">
      <c r="A3" s="63"/>
      <c r="B3" s="67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8"/>
      <c r="T3" s="63"/>
      <c r="U3" s="63"/>
      <c r="V3" s="63"/>
      <c r="W3" s="63"/>
      <c r="X3" s="63"/>
      <c r="Y3" s="63"/>
      <c r="Z3" s="63"/>
    </row>
    <row r="4" ht="18.75" customHeight="1" spans="1:26">
      <c r="A4" s="63"/>
      <c r="B4" s="69" t="s">
        <v>30</v>
      </c>
      <c r="C4" s="70">
        <v>533</v>
      </c>
      <c r="D4" s="71"/>
      <c r="E4" s="72"/>
      <c r="F4" s="349" t="s">
        <v>32</v>
      </c>
      <c r="G4" s="350" t="s">
        <v>165</v>
      </c>
      <c r="H4" s="351"/>
      <c r="I4" s="73" t="s">
        <v>34</v>
      </c>
      <c r="J4" s="350" t="s">
        <v>33</v>
      </c>
      <c r="K4" s="76"/>
      <c r="L4" s="76"/>
      <c r="M4" s="349" t="s">
        <v>36</v>
      </c>
      <c r="N4" s="350" t="str">
        <f>'533'!BH11</f>
        <v>WIPP</v>
      </c>
      <c r="O4" s="76"/>
      <c r="P4" s="352" t="s">
        <v>37</v>
      </c>
      <c r="Q4" s="353"/>
      <c r="R4" s="474">
        <f>'533'!BC19</f>
        <v>70851</v>
      </c>
      <c r="S4" s="354"/>
      <c r="T4" s="63"/>
      <c r="U4" s="63"/>
      <c r="V4" s="63"/>
      <c r="W4" s="63"/>
      <c r="X4" s="63"/>
      <c r="Y4" s="63"/>
      <c r="Z4" s="63"/>
    </row>
    <row r="5" ht="6" customHeight="1" spans="1:26">
      <c r="A5" s="63"/>
      <c r="B5" s="69"/>
      <c r="C5" s="78"/>
      <c r="D5" s="78"/>
      <c r="E5" s="78"/>
      <c r="F5" s="76"/>
      <c r="G5" s="76"/>
      <c r="H5" s="76"/>
      <c r="I5" s="76"/>
      <c r="J5" s="76"/>
      <c r="K5" s="76"/>
      <c r="L5" s="76"/>
      <c r="M5" s="349"/>
      <c r="N5" s="76"/>
      <c r="O5" s="76"/>
      <c r="P5" s="77"/>
      <c r="Q5" s="76"/>
      <c r="R5" s="82"/>
      <c r="S5" s="354"/>
      <c r="T5" s="63"/>
      <c r="U5" s="63"/>
      <c r="V5" s="63"/>
      <c r="W5" s="63"/>
      <c r="X5" s="63"/>
      <c r="Y5" s="63"/>
      <c r="Z5" s="63"/>
    </row>
    <row r="6" ht="18.75" customHeight="1" spans="1:26">
      <c r="A6" s="63"/>
      <c r="B6" s="69" t="s">
        <v>38</v>
      </c>
      <c r="C6" s="475">
        <f ca="1">TODAY()</f>
        <v>46283</v>
      </c>
      <c r="D6" s="71"/>
      <c r="E6" s="72"/>
      <c r="F6" s="363" t="s">
        <v>39</v>
      </c>
      <c r="G6" s="364" t="str">
        <f>J4</f>
        <v>WIII</v>
      </c>
      <c r="H6" s="365"/>
      <c r="I6" s="363" t="s">
        <v>40</v>
      </c>
      <c r="J6" s="364" t="s">
        <v>33</v>
      </c>
      <c r="K6" s="366"/>
      <c r="L6" s="366"/>
      <c r="M6" s="363" t="s">
        <v>36</v>
      </c>
      <c r="N6" s="364">
        <f>'533'!BH12</f>
        <v>0</v>
      </c>
      <c r="O6" s="366"/>
      <c r="P6" s="367" t="s">
        <v>37</v>
      </c>
      <c r="Q6" s="366"/>
      <c r="R6" s="364">
        <f>'533'!BC20</f>
        <v>0</v>
      </c>
      <c r="S6" s="354"/>
      <c r="T6" s="63"/>
      <c r="U6" s="63"/>
      <c r="V6" s="63"/>
      <c r="W6" s="63"/>
      <c r="X6" s="63"/>
      <c r="Y6" s="63"/>
      <c r="Z6" s="63"/>
    </row>
    <row r="7" ht="6" customHeight="1" spans="1:26">
      <c r="A7" s="63"/>
      <c r="B7" s="69"/>
      <c r="C7" s="81"/>
      <c r="D7" s="78"/>
      <c r="E7" s="78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  <c r="Q7" s="76"/>
      <c r="R7" s="82"/>
      <c r="S7" s="354"/>
      <c r="T7" s="63"/>
      <c r="U7" s="63"/>
      <c r="V7" s="63"/>
      <c r="W7" s="63"/>
      <c r="X7" s="63"/>
      <c r="Y7" s="63"/>
      <c r="Z7" s="63"/>
    </row>
    <row r="8" ht="18.75" customHeight="1" spans="1:26">
      <c r="A8" s="63"/>
      <c r="B8" s="69" t="s">
        <v>41</v>
      </c>
      <c r="C8" s="83" t="str">
        <f>'533'!BB3</f>
        <v>PK-AZD</v>
      </c>
      <c r="D8" s="84"/>
      <c r="E8" s="78"/>
      <c r="F8" s="85" t="s">
        <v>42</v>
      </c>
      <c r="G8" s="86" t="s">
        <v>33</v>
      </c>
      <c r="H8" s="87"/>
      <c r="I8" s="85" t="s">
        <v>43</v>
      </c>
      <c r="J8" s="86" t="s">
        <v>166</v>
      </c>
      <c r="K8" s="88"/>
      <c r="L8" s="88"/>
      <c r="M8" s="85" t="s">
        <v>36</v>
      </c>
      <c r="N8" s="86">
        <f>'533'!BH13</f>
        <v>0</v>
      </c>
      <c r="O8" s="88"/>
      <c r="P8" s="89" t="s">
        <v>37</v>
      </c>
      <c r="Q8" s="88"/>
      <c r="R8" s="86">
        <f>'533'!BC21</f>
        <v>0</v>
      </c>
      <c r="S8" s="354"/>
      <c r="T8" s="63"/>
      <c r="U8" s="63"/>
      <c r="V8" s="63"/>
      <c r="W8" s="63"/>
      <c r="X8" s="63"/>
      <c r="Y8" s="63"/>
      <c r="Z8" s="63"/>
    </row>
    <row r="9" ht="5.25" customHeight="1" spans="1:26">
      <c r="A9" s="63"/>
      <c r="B9" s="90"/>
      <c r="C9" s="82"/>
      <c r="D9" s="82"/>
      <c r="E9" s="82"/>
      <c r="F9" s="91"/>
      <c r="G9" s="91"/>
      <c r="H9" s="88"/>
      <c r="I9" s="91"/>
      <c r="J9" s="88"/>
      <c r="K9" s="91"/>
      <c r="L9" s="91"/>
      <c r="M9" s="88"/>
      <c r="N9" s="88"/>
      <c r="O9" s="88"/>
      <c r="P9" s="89"/>
      <c r="Q9" s="88"/>
      <c r="R9" s="92"/>
      <c r="S9" s="354"/>
      <c r="T9" s="63"/>
      <c r="U9" s="63"/>
      <c r="V9" s="63"/>
      <c r="W9" s="63"/>
      <c r="X9" s="63"/>
      <c r="Y9" s="63"/>
      <c r="Z9" s="63"/>
    </row>
    <row r="10" ht="15.75" customHeight="1" spans="1:26">
      <c r="A10" s="63"/>
      <c r="B10" s="93"/>
      <c r="C10" s="82"/>
      <c r="D10" s="82"/>
      <c r="E10" s="82"/>
      <c r="F10" s="85" t="s">
        <v>46</v>
      </c>
      <c r="G10" s="86" t="str">
        <f>J8</f>
        <v>WIBB</v>
      </c>
      <c r="H10" s="87"/>
      <c r="I10" s="85" t="s">
        <v>47</v>
      </c>
      <c r="J10" s="86" t="s">
        <v>33</v>
      </c>
      <c r="K10" s="88"/>
      <c r="L10" s="88"/>
      <c r="M10" s="85" t="s">
        <v>36</v>
      </c>
      <c r="N10" s="86">
        <f>'533'!BH14</f>
        <v>0</v>
      </c>
      <c r="O10" s="88"/>
      <c r="P10" s="89" t="s">
        <v>37</v>
      </c>
      <c r="Q10" s="88"/>
      <c r="R10" s="86">
        <f>'533'!BC22</f>
        <v>0</v>
      </c>
      <c r="S10" s="354"/>
      <c r="T10" s="63"/>
      <c r="U10" s="63"/>
      <c r="V10" s="63"/>
      <c r="W10" s="63"/>
      <c r="X10" s="63"/>
      <c r="Y10" s="63"/>
      <c r="Z10" s="63"/>
    </row>
    <row r="11" ht="6" customHeight="1" spans="1:26">
      <c r="A11" s="63"/>
      <c r="B11" s="93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354"/>
      <c r="T11" s="63"/>
      <c r="U11" s="63"/>
      <c r="V11" s="63"/>
      <c r="W11" s="63"/>
      <c r="X11" s="63"/>
      <c r="Y11" s="63"/>
      <c r="Z11" s="63"/>
    </row>
    <row r="12" ht="18.75" customHeight="1" spans="1:26">
      <c r="A12" s="63"/>
      <c r="B12" s="93"/>
      <c r="C12" s="82" t="s">
        <v>48</v>
      </c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94"/>
      <c r="S12" s="354"/>
      <c r="T12" s="63"/>
      <c r="U12" s="63"/>
      <c r="V12" s="63"/>
      <c r="W12" s="63"/>
      <c r="X12" s="63"/>
      <c r="Y12" s="63"/>
      <c r="Z12" s="63"/>
    </row>
    <row r="13" ht="84.75" customHeight="1" spans="1:26">
      <c r="A13" s="63"/>
      <c r="B13" s="93"/>
      <c r="C13" s="95" t="s">
        <v>165</v>
      </c>
      <c r="D13" s="96" t="e">
        <f>#REF!</f>
        <v>#REF!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8"/>
      <c r="S13" s="370"/>
      <c r="T13" s="63"/>
      <c r="U13" s="63"/>
      <c r="V13" s="63"/>
      <c r="W13" s="63"/>
      <c r="X13" s="63"/>
      <c r="Y13" s="63"/>
      <c r="Z13" s="63"/>
    </row>
    <row r="14" ht="84.75" customHeight="1" spans="1:26">
      <c r="A14" s="63"/>
      <c r="B14" s="93"/>
      <c r="C14" s="95" t="s">
        <v>33</v>
      </c>
      <c r="D14" s="96" t="e">
        <f>#REF!</f>
        <v>#REF!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8"/>
      <c r="S14" s="370"/>
      <c r="T14" s="63"/>
      <c r="U14" s="63"/>
      <c r="V14" s="63"/>
      <c r="W14" s="63"/>
      <c r="X14" s="63"/>
      <c r="Y14" s="63"/>
      <c r="Z14" s="63"/>
    </row>
    <row r="15" ht="43.5" customHeight="1" spans="1:26">
      <c r="A15" s="63"/>
      <c r="B15" s="93"/>
      <c r="C15" s="95" t="s">
        <v>55</v>
      </c>
      <c r="D15" s="96" t="e">
        <f>#REF!</f>
        <v>#REF!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  <c r="S15" s="371"/>
      <c r="T15" s="63"/>
      <c r="U15" s="63"/>
      <c r="V15" s="63"/>
      <c r="W15" s="63"/>
      <c r="X15" s="63"/>
      <c r="Y15" s="63"/>
      <c r="Z15" s="63"/>
    </row>
    <row r="16" ht="82.5" customHeight="1" spans="1:26">
      <c r="A16" s="63"/>
      <c r="B16" s="93"/>
      <c r="C16" s="95" t="s">
        <v>167</v>
      </c>
      <c r="D16" s="96" t="e">
        <f>#REF!</f>
        <v>#REF!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8"/>
      <c r="S16" s="476"/>
      <c r="T16" s="63"/>
      <c r="U16" s="63"/>
      <c r="V16" s="63"/>
      <c r="W16" s="63"/>
      <c r="X16" s="63"/>
      <c r="Y16" s="63"/>
      <c r="Z16" s="63"/>
    </row>
    <row r="17" ht="66" customHeight="1" spans="1:26">
      <c r="A17" s="63"/>
      <c r="B17" s="93"/>
      <c r="C17" s="95" t="s">
        <v>153</v>
      </c>
      <c r="D17" s="96" t="e">
        <f>#REF!</f>
        <v>#REF!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8"/>
      <c r="S17" s="370"/>
      <c r="T17" s="63"/>
      <c r="U17" s="63"/>
      <c r="V17" s="63"/>
      <c r="W17" s="63"/>
      <c r="X17" s="63"/>
      <c r="Y17" s="63"/>
      <c r="Z17" s="63"/>
    </row>
    <row r="18" ht="15.75" customHeight="1" spans="1:26">
      <c r="A18" s="63"/>
      <c r="B18" s="93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101"/>
      <c r="S18" s="354"/>
      <c r="T18" s="63"/>
      <c r="U18" s="63"/>
      <c r="V18" s="63"/>
      <c r="W18" s="63"/>
      <c r="X18" s="63"/>
      <c r="Y18" s="63"/>
      <c r="Z18" s="63"/>
    </row>
    <row r="19" ht="15.75" customHeight="1" spans="1:26">
      <c r="A19" s="63"/>
      <c r="B19" s="93"/>
      <c r="C19" s="102"/>
      <c r="D19" s="102" t="s">
        <v>57</v>
      </c>
      <c r="E19" s="102" t="s">
        <v>58</v>
      </c>
      <c r="F19" s="103" t="s">
        <v>59</v>
      </c>
      <c r="G19" s="104"/>
      <c r="H19" s="104"/>
      <c r="I19" s="104"/>
      <c r="J19" s="105"/>
      <c r="K19" s="102" t="s">
        <v>57</v>
      </c>
      <c r="L19" s="102" t="s">
        <v>57</v>
      </c>
      <c r="M19" s="102" t="s">
        <v>58</v>
      </c>
      <c r="N19" s="103" t="s">
        <v>59</v>
      </c>
      <c r="O19" s="104"/>
      <c r="P19" s="104"/>
      <c r="Q19" s="104"/>
      <c r="R19" s="105"/>
      <c r="S19" s="372"/>
      <c r="T19" s="63"/>
      <c r="U19" s="63"/>
      <c r="V19" s="63"/>
      <c r="W19" s="63"/>
      <c r="X19" s="63"/>
      <c r="Y19" s="63"/>
      <c r="Z19" s="63"/>
    </row>
    <row r="20" ht="15.75" customHeight="1" spans="1:26">
      <c r="A20" s="63"/>
      <c r="B20" s="93"/>
      <c r="C20" s="107"/>
      <c r="D20" s="108" t="s">
        <v>60</v>
      </c>
      <c r="E20" s="107"/>
      <c r="F20" s="109"/>
      <c r="G20" s="20"/>
      <c r="H20" s="20"/>
      <c r="I20" s="20"/>
      <c r="J20" s="110"/>
      <c r="K20" s="108" t="s">
        <v>60</v>
      </c>
      <c r="L20" s="108" t="s">
        <v>60</v>
      </c>
      <c r="M20" s="107"/>
      <c r="N20" s="109"/>
      <c r="O20" s="20"/>
      <c r="P20" s="20"/>
      <c r="Q20" s="20"/>
      <c r="R20" s="110"/>
      <c r="S20" s="372"/>
      <c r="T20" s="63"/>
      <c r="U20" s="63"/>
      <c r="V20" s="63"/>
      <c r="W20" s="63"/>
      <c r="X20" s="63"/>
      <c r="Y20" s="63"/>
      <c r="Z20" s="63"/>
    </row>
    <row r="21" ht="51.75" customHeight="1" spans="1:26">
      <c r="A21" s="63"/>
      <c r="B21" s="93"/>
      <c r="C21" s="38" t="s">
        <v>32</v>
      </c>
      <c r="D21" s="95" t="str">
        <f>G4</f>
        <v>YPPH</v>
      </c>
      <c r="E21" s="117">
        <f>'533'!BE4</f>
        <v>0.409722222222222</v>
      </c>
      <c r="F21" s="112" t="s">
        <v>168</v>
      </c>
      <c r="G21" s="97"/>
      <c r="H21" s="97"/>
      <c r="I21" s="97"/>
      <c r="J21" s="98"/>
      <c r="K21" s="113" t="s">
        <v>42</v>
      </c>
      <c r="L21" s="477" t="str">
        <f>G8</f>
        <v>WIII</v>
      </c>
      <c r="M21" s="118">
        <f>'533'!BE6</f>
        <v>0.4375</v>
      </c>
      <c r="N21" s="116"/>
      <c r="O21" s="97"/>
      <c r="P21" s="97"/>
      <c r="Q21" s="97"/>
      <c r="R21" s="98"/>
      <c r="S21" s="372"/>
      <c r="T21" s="63"/>
      <c r="U21" s="63"/>
      <c r="V21" s="63"/>
      <c r="W21" s="63"/>
      <c r="X21" s="63"/>
      <c r="Y21" s="63"/>
      <c r="Z21" s="63"/>
    </row>
    <row r="22" ht="51.75" customHeight="1" spans="1:26">
      <c r="A22" s="63"/>
      <c r="B22" s="93"/>
      <c r="C22" s="38" t="s">
        <v>34</v>
      </c>
      <c r="D22" s="95" t="str">
        <f>J4</f>
        <v>WIII</v>
      </c>
      <c r="E22" s="117">
        <f>'533'!BF4</f>
        <v>0.607638888888889</v>
      </c>
      <c r="F22" s="112" t="s">
        <v>169</v>
      </c>
      <c r="G22" s="97"/>
      <c r="H22" s="97"/>
      <c r="I22" s="97"/>
      <c r="J22" s="98"/>
      <c r="K22" s="113" t="s">
        <v>43</v>
      </c>
      <c r="L22" s="477" t="str">
        <f>J8</f>
        <v>WIBB</v>
      </c>
      <c r="M22" s="118">
        <f>'533'!BF6</f>
        <v>0.510416666666667</v>
      </c>
      <c r="N22" s="116"/>
      <c r="O22" s="97"/>
      <c r="P22" s="97"/>
      <c r="Q22" s="97"/>
      <c r="R22" s="98"/>
      <c r="S22" s="372"/>
      <c r="T22" s="63"/>
      <c r="U22" s="63"/>
      <c r="V22" s="63"/>
      <c r="W22" s="63"/>
      <c r="X22" s="63"/>
      <c r="Y22" s="63"/>
      <c r="Z22" s="63"/>
    </row>
    <row r="23" ht="26.25" customHeight="1" spans="1:26">
      <c r="A23" s="63"/>
      <c r="B23" s="93"/>
      <c r="C23" s="58"/>
      <c r="D23" s="58"/>
      <c r="E23" s="119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120"/>
      <c r="S23" s="372"/>
      <c r="T23" s="63"/>
      <c r="U23" s="63"/>
      <c r="V23" s="63"/>
      <c r="W23" s="63"/>
      <c r="X23" s="63"/>
      <c r="Y23" s="63"/>
      <c r="Z23" s="63"/>
    </row>
    <row r="24" ht="15.75" customHeight="1" spans="1:26">
      <c r="A24" s="63"/>
      <c r="B24" s="93"/>
      <c r="C24" s="102"/>
      <c r="D24" s="121" t="s">
        <v>57</v>
      </c>
      <c r="E24" s="103" t="s">
        <v>63</v>
      </c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5"/>
      <c r="S24" s="372"/>
      <c r="T24" s="63"/>
      <c r="U24" s="63"/>
      <c r="V24" s="63"/>
      <c r="W24" s="63"/>
      <c r="X24" s="63"/>
      <c r="Y24" s="63"/>
      <c r="Z24" s="63"/>
    </row>
    <row r="25" ht="15.75" customHeight="1" spans="1:26">
      <c r="A25" s="63"/>
      <c r="B25" s="93"/>
      <c r="C25" s="107"/>
      <c r="D25" s="122" t="s">
        <v>60</v>
      </c>
      <c r="E25" s="10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10"/>
      <c r="S25" s="372"/>
      <c r="T25" s="63"/>
      <c r="U25" s="63"/>
      <c r="V25" s="63"/>
      <c r="W25" s="63"/>
      <c r="X25" s="63"/>
      <c r="Y25" s="63"/>
      <c r="Z25" s="63"/>
    </row>
    <row r="26" ht="3" customHeight="1" spans="1:26">
      <c r="A26" s="63"/>
      <c r="B26" s="93"/>
      <c r="C26" s="123"/>
      <c r="D26" s="123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6"/>
      <c r="S26" s="382"/>
      <c r="T26" s="63"/>
      <c r="U26" s="63"/>
      <c r="V26" s="63"/>
      <c r="W26" s="63"/>
      <c r="X26" s="63"/>
      <c r="Y26" s="63"/>
      <c r="Z26" s="63"/>
    </row>
    <row r="27" ht="271.5" customHeight="1" spans="1:26">
      <c r="A27" s="63"/>
      <c r="B27" s="93"/>
      <c r="C27" s="383"/>
      <c r="D27" s="129" t="s">
        <v>33</v>
      </c>
      <c r="E27" s="130" t="e">
        <f>#REF!</f>
        <v>#REF!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8"/>
      <c r="S27" s="382"/>
      <c r="T27" s="63"/>
      <c r="U27" s="63"/>
      <c r="V27" s="63"/>
      <c r="W27" s="63"/>
      <c r="X27" s="63"/>
      <c r="Y27" s="63"/>
      <c r="Z27" s="63"/>
    </row>
    <row r="28" ht="324" customHeight="1" spans="1:26">
      <c r="A28" s="63"/>
      <c r="B28" s="93"/>
      <c r="C28" s="384"/>
      <c r="D28" s="95" t="s">
        <v>165</v>
      </c>
      <c r="E28" s="130" t="e">
        <f>#REF!</f>
        <v>#REF!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8"/>
      <c r="S28" s="382"/>
      <c r="T28" s="63"/>
      <c r="U28" s="63"/>
      <c r="V28" s="63"/>
      <c r="W28" s="63"/>
      <c r="X28" s="63"/>
      <c r="Y28" s="63"/>
      <c r="Z28" s="63"/>
    </row>
    <row r="29" ht="229.5" customHeight="1" spans="1:26">
      <c r="A29" s="63"/>
      <c r="B29" s="93"/>
      <c r="C29" s="384"/>
      <c r="D29" s="95" t="s">
        <v>153</v>
      </c>
      <c r="E29" s="130" t="e">
        <f>#REF!</f>
        <v>#REF!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8"/>
      <c r="S29" s="382"/>
      <c r="T29" s="63"/>
      <c r="U29" s="63"/>
      <c r="V29" s="63"/>
      <c r="W29" s="63"/>
      <c r="X29" s="63"/>
      <c r="Y29" s="63"/>
      <c r="Z29" s="63"/>
    </row>
    <row r="30" ht="144" customHeight="1" spans="1:26">
      <c r="A30" s="63"/>
      <c r="B30" s="93"/>
      <c r="C30" s="478"/>
      <c r="D30" s="479" t="s">
        <v>55</v>
      </c>
      <c r="E30" s="134" t="e">
        <f>#REF!</f>
        <v>#REF!</v>
      </c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5"/>
      <c r="S30" s="480"/>
      <c r="T30" s="63"/>
      <c r="U30" s="63"/>
      <c r="V30" s="63"/>
      <c r="W30" s="63"/>
      <c r="X30" s="63"/>
      <c r="Y30" s="63"/>
      <c r="Z30" s="63"/>
    </row>
    <row r="31" ht="27.75" customHeight="1" spans="1:26">
      <c r="A31" s="63"/>
      <c r="B31" s="93"/>
      <c r="C31" s="135" t="s">
        <v>64</v>
      </c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354"/>
      <c r="T31" s="63"/>
      <c r="U31" s="63"/>
      <c r="V31" s="63"/>
      <c r="W31" s="63"/>
      <c r="X31" s="63"/>
      <c r="Y31" s="63"/>
      <c r="Z31" s="63"/>
    </row>
    <row r="32" ht="15.75" hidden="1" customHeight="1" spans="1:26">
      <c r="A32" s="63"/>
      <c r="B32" s="93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354"/>
      <c r="T32" s="63"/>
      <c r="U32" s="63"/>
      <c r="V32" s="63"/>
      <c r="W32" s="63"/>
      <c r="X32" s="63"/>
      <c r="Y32" s="63"/>
      <c r="Z32" s="63"/>
    </row>
    <row r="33" ht="15.75" customHeight="1" spans="1:26">
      <c r="A33" s="63"/>
      <c r="B33" s="93"/>
      <c r="C33" s="82"/>
      <c r="D33" s="82"/>
      <c r="E33" s="58" t="s">
        <v>65</v>
      </c>
      <c r="F33" s="82"/>
      <c r="G33" s="82"/>
      <c r="I33" s="82"/>
      <c r="J33" s="82"/>
      <c r="K33" s="82"/>
      <c r="L33" s="82"/>
      <c r="M33" s="82"/>
      <c r="N33" s="82"/>
      <c r="O33" s="82"/>
      <c r="P33" s="58" t="s">
        <v>66</v>
      </c>
      <c r="Q33" s="82"/>
      <c r="R33" s="82"/>
      <c r="S33" s="354"/>
      <c r="T33" s="63"/>
      <c r="U33" s="63"/>
      <c r="V33" s="63"/>
      <c r="W33" s="63"/>
      <c r="X33" s="63"/>
      <c r="Y33" s="63"/>
      <c r="Z33" s="63"/>
    </row>
    <row r="34" ht="15.75" customHeight="1" spans="1:26">
      <c r="A34" s="63"/>
      <c r="B34" s="93"/>
      <c r="C34" s="82"/>
      <c r="D34" s="82"/>
      <c r="E34" s="58" t="s">
        <v>67</v>
      </c>
      <c r="F34" s="82"/>
      <c r="G34" s="82"/>
      <c r="I34" s="82"/>
      <c r="J34" s="82"/>
      <c r="K34" s="82"/>
      <c r="L34" s="82"/>
      <c r="M34" s="82"/>
      <c r="N34" s="82"/>
      <c r="O34" s="82"/>
      <c r="P34" s="58" t="s">
        <v>67</v>
      </c>
      <c r="Q34" s="82"/>
      <c r="R34" s="82"/>
      <c r="S34" s="354"/>
      <c r="T34" s="63"/>
      <c r="U34" s="63"/>
      <c r="V34" s="63"/>
      <c r="W34" s="63"/>
      <c r="X34" s="63"/>
      <c r="Y34" s="63"/>
      <c r="Z34" s="63"/>
    </row>
    <row r="35" ht="19.5" customHeight="1" spans="1:26">
      <c r="A35" s="63"/>
      <c r="B35" s="93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354"/>
      <c r="T35" s="63"/>
      <c r="U35" s="63"/>
      <c r="V35" s="63"/>
      <c r="W35" s="63"/>
      <c r="X35" s="63"/>
      <c r="Y35" s="63"/>
      <c r="Z35" s="63"/>
    </row>
    <row r="36" ht="19.5" customHeight="1" spans="1:26">
      <c r="A36" s="63"/>
      <c r="B36" s="93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354"/>
      <c r="T36" s="63"/>
      <c r="U36" s="63"/>
      <c r="V36" s="63"/>
      <c r="W36" s="63"/>
      <c r="X36" s="63"/>
      <c r="Y36" s="63"/>
      <c r="Z36" s="63"/>
    </row>
    <row r="37" ht="15.75" customHeight="1" spans="1:26">
      <c r="A37" s="63"/>
      <c r="B37" s="93"/>
      <c r="C37" s="82"/>
      <c r="G37" s="78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354"/>
      <c r="T37" s="63"/>
      <c r="U37" s="63"/>
      <c r="V37" s="63"/>
      <c r="W37" s="63"/>
      <c r="X37" s="63"/>
      <c r="Y37" s="63"/>
      <c r="Z37" s="63"/>
    </row>
    <row r="38" ht="15.75" customHeight="1" spans="1:26">
      <c r="A38" s="63"/>
      <c r="B38" s="93"/>
      <c r="C38" s="82"/>
      <c r="D38" s="78" t="s">
        <v>170</v>
      </c>
      <c r="E38" s="78"/>
      <c r="F38" s="78"/>
      <c r="K38" s="82"/>
      <c r="L38" s="82"/>
      <c r="M38" s="82"/>
      <c r="N38" s="136" t="str">
        <f>'533'!BC17</f>
        <v>CAPT. DAVID WIBAWA SAPULETE</v>
      </c>
      <c r="S38" s="354"/>
      <c r="T38" s="63"/>
      <c r="U38" s="63"/>
      <c r="V38" s="63"/>
      <c r="W38" s="63"/>
      <c r="X38" s="63"/>
      <c r="Y38" s="63"/>
      <c r="Z38" s="63"/>
    </row>
    <row r="39" ht="15.75" customHeight="1" spans="1:26">
      <c r="A39" s="63"/>
      <c r="B39" s="93"/>
      <c r="C39" s="82"/>
      <c r="D39" s="481" t="s">
        <v>69</v>
      </c>
      <c r="F39" s="82"/>
      <c r="G39" s="82"/>
      <c r="I39" s="82"/>
      <c r="J39" s="82"/>
      <c r="K39" s="82"/>
      <c r="L39" s="82"/>
      <c r="M39" s="82"/>
      <c r="N39" s="82"/>
      <c r="O39" s="82"/>
      <c r="P39" s="82" t="s">
        <v>70</v>
      </c>
      <c r="Q39" s="82"/>
      <c r="R39" s="82"/>
      <c r="S39" s="354"/>
      <c r="T39" s="63"/>
      <c r="U39" s="63"/>
      <c r="V39" s="63"/>
      <c r="W39" s="63"/>
      <c r="X39" s="63"/>
      <c r="Y39" s="63"/>
      <c r="Z39" s="63"/>
    </row>
    <row r="40" ht="6" customHeight="1" spans="1:26">
      <c r="A40" s="63"/>
      <c r="B40" s="137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63"/>
      <c r="U40" s="63"/>
      <c r="V40" s="63"/>
      <c r="W40" s="63"/>
      <c r="X40" s="63"/>
      <c r="Y40" s="63"/>
      <c r="Z40" s="63"/>
    </row>
    <row r="41" ht="15.75" customHeight="1" spans="1:26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 spans="1:26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 spans="1:26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 spans="1:26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 spans="1:26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 spans="1:2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 spans="1:26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 spans="1:26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 spans="1:26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 spans="1:26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 spans="1:26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 spans="1:26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 spans="1:26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 spans="1:26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 spans="1:26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 spans="1:2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 spans="1:26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 spans="1:26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 spans="1:26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 spans="1:26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 spans="1:26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 spans="1:26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 spans="1:26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 spans="1:26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 spans="1:26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 spans="1:2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 spans="1:26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 spans="1:26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 spans="1:26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 spans="1:26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 spans="1:26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 spans="1:26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 spans="1:26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 spans="1:26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 spans="1:26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 spans="1:2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 spans="1:26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 spans="1:26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 spans="1:26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 spans="1:26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 spans="1:26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 spans="1:26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 spans="1:26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 spans="1:26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 spans="1:26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 spans="1:2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 spans="1:26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 spans="1:26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 spans="1:26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 spans="1:26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 spans="1:26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 spans="1:26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 spans="1:26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 spans="1:26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 spans="1:26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 spans="1:2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 spans="1:26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 spans="1:26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 spans="1:26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 spans="1:26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 spans="1:26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 spans="1:26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 spans="1:26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 spans="1:26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 spans="1:26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 spans="1:2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 spans="1:26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 spans="1:26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 spans="1:26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 spans="1:26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 spans="1:26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 spans="1:26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 spans="1:26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 spans="1:26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 spans="1:26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 spans="1:2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 spans="1:26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 spans="1:26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 spans="1:26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 spans="1:26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 spans="1:26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 spans="1:26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 spans="1:26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 spans="1:26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 spans="1:26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 spans="1: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 spans="1:26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 spans="1:26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 spans="1:26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 spans="1:26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 spans="1:26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 spans="1:26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 spans="1:26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 spans="1:26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 spans="1:26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 spans="1:2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 spans="1:26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 spans="1:26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 spans="1:26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 spans="1:26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 spans="1:26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 spans="1:26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 spans="1:26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 spans="1:26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 spans="1:26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 spans="1:2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 spans="1:26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 spans="1:26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 spans="1:26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 spans="1:26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 spans="1:26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 spans="1:26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 spans="1:26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 spans="1:26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 spans="1:26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 spans="1:2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 spans="1:26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 spans="1:26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 spans="1:26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 spans="1:26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 spans="1:26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 spans="1:26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 spans="1:26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 spans="1:26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 spans="1:26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 spans="1:2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 spans="1:26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 spans="1:26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 spans="1:26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 spans="1:26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 spans="1:26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 spans="1:26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 spans="1:26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 spans="1:26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 spans="1:26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 spans="1:2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 spans="1:26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 spans="1:26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 spans="1:26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 spans="1:26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 spans="1:26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 spans="1:26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 spans="1:26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 spans="1:26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 spans="1:26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 spans="1:2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 spans="1:26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 spans="1:26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 spans="1:26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 spans="1:26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 spans="1:26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 spans="1:26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 spans="1:26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 spans="1:26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 spans="1:26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 spans="1:2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 spans="1:26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 spans="1:26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 spans="1:26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 spans="1:26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 spans="1:26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 spans="1:26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 spans="1:26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 spans="1:26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 spans="1:26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 spans="1:2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 spans="1:26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 spans="1:26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 spans="1:26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 spans="1:26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 spans="1:26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 spans="1:26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 spans="1:26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 spans="1:26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 spans="1:26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 spans="1:2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 spans="1:26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 spans="1:26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 spans="1:26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 spans="1:26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 spans="1:26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 spans="1:26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 spans="1:26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 spans="1:26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 spans="1:26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 spans="1: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 spans="1:26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 spans="1:26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 spans="1:26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 spans="1:26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 spans="1:26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 spans="1:26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 spans="1:26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 spans="1:26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 spans="1:26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 spans="1:2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 spans="1:26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 spans="1:26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 spans="1:26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2:S2"/>
    <mergeCell ref="C4:E4"/>
    <mergeCell ref="C6:E6"/>
    <mergeCell ref="D13:R13"/>
    <mergeCell ref="D14:R14"/>
    <mergeCell ref="D15:R15"/>
    <mergeCell ref="D16:R16"/>
    <mergeCell ref="D17:R17"/>
    <mergeCell ref="F21:J21"/>
    <mergeCell ref="N21:R21"/>
    <mergeCell ref="F22:J22"/>
    <mergeCell ref="N22:R22"/>
    <mergeCell ref="E27:R27"/>
    <mergeCell ref="E28:R28"/>
    <mergeCell ref="E29:R29"/>
    <mergeCell ref="E30:R30"/>
    <mergeCell ref="C31:R31"/>
    <mergeCell ref="N38:R38"/>
    <mergeCell ref="D39:E39"/>
    <mergeCell ref="C19:C20"/>
    <mergeCell ref="C24:C25"/>
    <mergeCell ref="E19:E20"/>
    <mergeCell ref="M19:M20"/>
    <mergeCell ref="E24:R25"/>
    <mergeCell ref="F19:J20"/>
    <mergeCell ref="N19:R20"/>
  </mergeCells>
  <printOptions horizontalCentered="1" verticalCentered="1"/>
  <pageMargins left="0.119444444444444" right="0.0798611111111111" top="0" bottom="0" header="0" footer="0"/>
  <pageSetup paperSize="9" orientation="portrait"/>
  <headerFooter>
    <oddFooter>&amp;CPage &amp;P of</oddFooter>
  </headerFooter>
  <rowBreaks count="1" manualBreakCount="1">
    <brk id="40" max="0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2:BJ1000"/>
  <sheetViews>
    <sheetView workbookViewId="0">
      <selection activeCell="A1" sqref="A1"/>
    </sheetView>
  </sheetViews>
  <sheetFormatPr defaultColWidth="12.6271186440678" defaultRowHeight="15" customHeight="1"/>
  <cols>
    <col min="1" max="1" width="3.5" customWidth="1"/>
    <col min="2" max="2" width="3" customWidth="1"/>
    <col min="3" max="3" width="8" customWidth="1"/>
    <col min="4" max="4" width="1.6271186440678" customWidth="1"/>
    <col min="5" max="6" width="4.5" customWidth="1"/>
    <col min="7" max="7" width="8.25423728813559" customWidth="1"/>
    <col min="8" max="8" width="2.38135593220339" customWidth="1"/>
    <col min="9" max="10" width="2.1271186440678" customWidth="1"/>
    <col min="11" max="11" width="2" customWidth="1"/>
    <col min="12" max="12" width="4.5" customWidth="1"/>
    <col min="13" max="13" width="3.1271186440678" customWidth="1"/>
    <col min="14" max="14" width="3.5" customWidth="1"/>
    <col min="15" max="15" width="3" customWidth="1"/>
    <col min="16" max="16" width="8" customWidth="1"/>
    <col min="17" max="17" width="1.6271186440678" customWidth="1"/>
    <col min="18" max="18" width="4.5" customWidth="1"/>
    <col min="19" max="19" width="6.25423728813559" customWidth="1"/>
    <col min="20" max="20" width="8.25423728813559" customWidth="1"/>
    <col min="21" max="21" width="2.38135593220339" customWidth="1"/>
    <col min="22" max="23" width="2.1271186440678" customWidth="1"/>
    <col min="24" max="24" width="2" customWidth="1"/>
    <col min="25" max="25" width="4.5" customWidth="1"/>
    <col min="26" max="26" width="2.75423728813559" customWidth="1"/>
    <col min="27" max="27" width="3.5" customWidth="1"/>
    <col min="28" max="28" width="3" customWidth="1"/>
    <col min="29" max="29" width="8" customWidth="1"/>
    <col min="30" max="30" width="1.6271186440678" customWidth="1"/>
    <col min="31" max="31" width="4.5" customWidth="1"/>
    <col min="32" max="32" width="6.88135593220339" customWidth="1"/>
    <col min="33" max="33" width="8.25423728813559" customWidth="1"/>
    <col min="34" max="34" width="2.38135593220339" customWidth="1"/>
    <col min="35" max="36" width="2.1271186440678" customWidth="1"/>
    <col min="37" max="37" width="2" customWidth="1"/>
    <col min="38" max="38" width="4.5" customWidth="1"/>
    <col min="39" max="39" width="4.6271186440678" customWidth="1"/>
    <col min="40" max="40" width="2.38135593220339" customWidth="1"/>
    <col min="41" max="41" width="3" customWidth="1"/>
    <col min="42" max="42" width="8" customWidth="1"/>
    <col min="43" max="43" width="1.6271186440678" customWidth="1"/>
    <col min="44" max="44" width="4.5" customWidth="1"/>
    <col min="45" max="45" width="6.75423728813559" customWidth="1"/>
    <col min="46" max="46" width="8.25423728813559" customWidth="1"/>
    <col min="47" max="47" width="2.38135593220339" customWidth="1"/>
    <col min="48" max="49" width="2.1271186440678" customWidth="1"/>
    <col min="50" max="50" width="2" customWidth="1"/>
    <col min="51" max="51" width="2.88135593220339" customWidth="1"/>
    <col min="52" max="52" width="4.38135593220339" customWidth="1"/>
    <col min="53" max="53" width="4.5" customWidth="1"/>
    <col min="54" max="54" width="10.1271186440678" customWidth="1"/>
    <col min="55" max="62" width="8" customWidth="1"/>
  </cols>
  <sheetData>
    <row r="2" ht="18.4" spans="1:62">
      <c r="A2" s="140" t="str">
        <f>BB3</f>
        <v>PKAZK</v>
      </c>
      <c r="B2" s="65"/>
      <c r="C2" s="65"/>
      <c r="D2" s="65"/>
      <c r="E2" s="65"/>
      <c r="F2" s="66"/>
      <c r="N2" s="141"/>
      <c r="AA2" s="141"/>
      <c r="AN2" s="141"/>
      <c r="BB2" s="387">
        <f ca="1">TODAY()</f>
        <v>46283</v>
      </c>
      <c r="BH2" s="388" t="s">
        <v>0</v>
      </c>
      <c r="BI2" s="15"/>
    </row>
    <row r="3" ht="19.05" spans="1:62">
      <c r="A3" s="145" t="s">
        <v>71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7"/>
      <c r="N3" s="389" t="s">
        <v>71</v>
      </c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1"/>
      <c r="AA3" s="389" t="s">
        <v>71</v>
      </c>
      <c r="AB3" s="390"/>
      <c r="AC3" s="390"/>
      <c r="AD3" s="390"/>
      <c r="AE3" s="390"/>
      <c r="AF3" s="390"/>
      <c r="AG3" s="390"/>
      <c r="AH3" s="390"/>
      <c r="AI3" s="390"/>
      <c r="AJ3" s="390"/>
      <c r="AK3" s="390"/>
      <c r="AL3" s="390"/>
      <c r="AM3" s="391"/>
      <c r="AN3" s="389" t="s">
        <v>71</v>
      </c>
      <c r="AO3" s="390"/>
      <c r="AP3" s="390"/>
      <c r="AQ3" s="390"/>
      <c r="AR3" s="390"/>
      <c r="AS3" s="390"/>
      <c r="AT3" s="390"/>
      <c r="AU3" s="390"/>
      <c r="AV3" s="390"/>
      <c r="AW3" s="390"/>
      <c r="AX3" s="390"/>
      <c r="AY3" s="390"/>
      <c r="AZ3" s="391"/>
      <c r="BB3" s="392" t="s">
        <v>171</v>
      </c>
      <c r="BH3" s="393">
        <f>BE4-BJ3</f>
        <v>0.131944444444444</v>
      </c>
      <c r="BI3" s="150"/>
      <c r="BJ3" s="394">
        <v>0.25</v>
      </c>
    </row>
    <row r="4" ht="18.4" spans="1:62">
      <c r="A4" s="152"/>
      <c r="B4" s="153" t="s">
        <v>73</v>
      </c>
      <c r="C4" s="154"/>
      <c r="D4" s="154"/>
      <c r="E4" s="154"/>
      <c r="F4" s="154"/>
      <c r="G4" s="153"/>
      <c r="H4" s="153"/>
      <c r="I4" s="153"/>
      <c r="J4" s="155">
        <v>1</v>
      </c>
      <c r="K4" s="65"/>
      <c r="L4" s="66"/>
      <c r="M4" s="156"/>
      <c r="N4" s="395"/>
      <c r="O4" s="396" t="s">
        <v>73</v>
      </c>
      <c r="P4" s="154"/>
      <c r="Q4" s="154"/>
      <c r="R4" s="154"/>
      <c r="S4" s="154"/>
      <c r="T4" s="396"/>
      <c r="U4" s="396"/>
      <c r="V4" s="396"/>
      <c r="W4" s="397">
        <v>2</v>
      </c>
      <c r="X4" s="65"/>
      <c r="Y4" s="66"/>
      <c r="Z4" s="398"/>
      <c r="AA4" s="395"/>
      <c r="AB4" s="396" t="s">
        <v>73</v>
      </c>
      <c r="AC4" s="154"/>
      <c r="AD4" s="154"/>
      <c r="AE4" s="154"/>
      <c r="AF4" s="154"/>
      <c r="AG4" s="396"/>
      <c r="AH4" s="396"/>
      <c r="AI4" s="396"/>
      <c r="AJ4" s="397">
        <v>3</v>
      </c>
      <c r="AK4" s="65"/>
      <c r="AL4" s="66"/>
      <c r="AM4" s="398"/>
      <c r="AN4" s="395"/>
      <c r="AO4" s="396" t="s">
        <v>73</v>
      </c>
      <c r="AP4" s="154"/>
      <c r="AQ4" s="154"/>
      <c r="AR4" s="154"/>
      <c r="AS4" s="154"/>
      <c r="AT4" s="396"/>
      <c r="AU4" s="396"/>
      <c r="AV4" s="396"/>
      <c r="AW4" s="397">
        <v>4</v>
      </c>
      <c r="AX4" s="65"/>
      <c r="AY4" s="66"/>
      <c r="AZ4" s="398"/>
      <c r="BB4" s="399" t="s">
        <v>172</v>
      </c>
      <c r="BC4" s="399" t="s">
        <v>3</v>
      </c>
      <c r="BD4" s="399" t="s">
        <v>7</v>
      </c>
      <c r="BE4" s="400">
        <v>0.381944444444444</v>
      </c>
      <c r="BF4" s="400">
        <v>0.458333333333333</v>
      </c>
      <c r="BG4" s="401"/>
    </row>
    <row r="5" ht="17.65" spans="1:62">
      <c r="A5" s="152"/>
      <c r="B5" s="163"/>
      <c r="C5" s="163"/>
      <c r="D5" s="164"/>
      <c r="E5" s="165"/>
      <c r="F5" s="165"/>
      <c r="G5" s="165"/>
      <c r="H5" s="165"/>
      <c r="I5" s="165"/>
      <c r="J5" s="164"/>
      <c r="K5" s="164"/>
      <c r="L5" s="166"/>
      <c r="M5" s="156"/>
      <c r="N5" s="395"/>
      <c r="O5" s="402"/>
      <c r="P5" s="402"/>
      <c r="Q5" s="403"/>
      <c r="R5" s="404"/>
      <c r="S5" s="404"/>
      <c r="T5" s="404"/>
      <c r="U5" s="404"/>
      <c r="V5" s="404"/>
      <c r="W5" s="403"/>
      <c r="X5" s="403"/>
      <c r="Y5" s="405"/>
      <c r="Z5" s="398"/>
      <c r="AA5" s="395"/>
      <c r="AB5" s="402"/>
      <c r="AC5" s="402"/>
      <c r="AD5" s="403"/>
      <c r="AE5" s="404"/>
      <c r="AF5" s="404"/>
      <c r="AG5" s="404"/>
      <c r="AH5" s="404"/>
      <c r="AI5" s="404"/>
      <c r="AJ5" s="403"/>
      <c r="AK5" s="403"/>
      <c r="AL5" s="405"/>
      <c r="AM5" s="398"/>
      <c r="AN5" s="395"/>
      <c r="AO5" s="402"/>
      <c r="AP5" s="402"/>
      <c r="AQ5" s="403"/>
      <c r="AR5" s="404"/>
      <c r="AS5" s="404"/>
      <c r="AT5" s="404"/>
      <c r="AU5" s="404"/>
      <c r="AV5" s="404"/>
      <c r="AW5" s="403"/>
      <c r="AX5" s="403"/>
      <c r="AY5" s="405"/>
      <c r="AZ5" s="398"/>
      <c r="BB5" s="406" t="s">
        <v>173</v>
      </c>
      <c r="BC5" s="406" t="str">
        <f>BD4</f>
        <v>SIN</v>
      </c>
      <c r="BD5" s="406" t="s">
        <v>3</v>
      </c>
      <c r="BE5" s="407">
        <v>0.486111111111111</v>
      </c>
      <c r="BF5" s="407">
        <v>0.5625</v>
      </c>
    </row>
    <row r="6" ht="18" customHeight="1" spans="1:62">
      <c r="A6" s="152"/>
      <c r="B6" s="172" t="s">
        <v>77</v>
      </c>
      <c r="C6" s="97"/>
      <c r="D6" s="98"/>
      <c r="E6" s="408" t="str">
        <f>BB4</f>
        <v>AWQ 260</v>
      </c>
      <c r="F6" s="98"/>
      <c r="G6" s="409" t="s">
        <v>78</v>
      </c>
      <c r="H6" s="408"/>
      <c r="I6" s="97"/>
      <c r="J6" s="97"/>
      <c r="K6" s="97"/>
      <c r="L6" s="98"/>
      <c r="M6" s="156"/>
      <c r="N6" s="395"/>
      <c r="O6" s="410" t="s">
        <v>77</v>
      </c>
      <c r="P6" s="97"/>
      <c r="Q6" s="98"/>
      <c r="R6" s="411" t="str">
        <f>BB5</f>
        <v>AWQ 261</v>
      </c>
      <c r="S6" s="98"/>
      <c r="T6" s="412" t="s">
        <v>78</v>
      </c>
      <c r="U6" s="411"/>
      <c r="V6" s="97"/>
      <c r="W6" s="97"/>
      <c r="X6" s="97"/>
      <c r="Y6" s="98"/>
      <c r="Z6" s="398"/>
      <c r="AA6" s="395"/>
      <c r="AB6" s="410" t="s">
        <v>77</v>
      </c>
      <c r="AC6" s="97"/>
      <c r="AD6" s="98"/>
      <c r="AE6" s="411" t="str">
        <f>BB6</f>
        <v>AWQ 240</v>
      </c>
      <c r="AF6" s="98"/>
      <c r="AG6" s="412" t="s">
        <v>78</v>
      </c>
      <c r="AH6" s="411"/>
      <c r="AI6" s="97"/>
      <c r="AJ6" s="97"/>
      <c r="AK6" s="97"/>
      <c r="AL6" s="98"/>
      <c r="AM6" s="398"/>
      <c r="AN6" s="395"/>
      <c r="AO6" s="410" t="s">
        <v>77</v>
      </c>
      <c r="AP6" s="97"/>
      <c r="AQ6" s="98"/>
      <c r="AR6" s="411" t="str">
        <f>BB7</f>
        <v>AWQ 241</v>
      </c>
      <c r="AS6" s="98"/>
      <c r="AT6" s="412" t="s">
        <v>78</v>
      </c>
      <c r="AU6" s="411"/>
      <c r="AV6" s="97"/>
      <c r="AW6" s="97"/>
      <c r="AX6" s="97"/>
      <c r="AY6" s="98"/>
      <c r="AZ6" s="398"/>
      <c r="BB6" s="413" t="s">
        <v>174</v>
      </c>
      <c r="BC6" s="413" t="s">
        <v>3</v>
      </c>
      <c r="BD6" s="413" t="s">
        <v>175</v>
      </c>
      <c r="BE6" s="414">
        <v>0.541666666666667</v>
      </c>
      <c r="BF6" s="414">
        <v>0.607638888888889</v>
      </c>
    </row>
    <row r="7" ht="18" customHeight="1" spans="1:62">
      <c r="A7" s="152"/>
      <c r="B7" s="172" t="s">
        <v>81</v>
      </c>
      <c r="C7" s="97"/>
      <c r="D7" s="98"/>
      <c r="E7" s="415" t="str">
        <f>BB3</f>
        <v>PKAZK</v>
      </c>
      <c r="F7" s="98"/>
      <c r="G7" s="409" t="s">
        <v>82</v>
      </c>
      <c r="H7" s="416">
        <f>BE4</f>
        <v>0.381944444444444</v>
      </c>
      <c r="I7" s="97"/>
      <c r="J7" s="97"/>
      <c r="K7" s="97"/>
      <c r="L7" s="98"/>
      <c r="M7" s="184"/>
      <c r="N7" s="395"/>
      <c r="O7" s="410" t="s">
        <v>81</v>
      </c>
      <c r="P7" s="97"/>
      <c r="Q7" s="98"/>
      <c r="R7" s="417" t="str">
        <f>E7</f>
        <v>PKAZK</v>
      </c>
      <c r="S7" s="98"/>
      <c r="T7" s="412" t="s">
        <v>82</v>
      </c>
      <c r="U7" s="418">
        <f>BE5</f>
        <v>0.486111111111111</v>
      </c>
      <c r="V7" s="97"/>
      <c r="W7" s="97"/>
      <c r="X7" s="97"/>
      <c r="Y7" s="98"/>
      <c r="Z7" s="419"/>
      <c r="AA7" s="395"/>
      <c r="AB7" s="410" t="s">
        <v>81</v>
      </c>
      <c r="AC7" s="97"/>
      <c r="AD7" s="98"/>
      <c r="AE7" s="417" t="str">
        <f>R7</f>
        <v>PKAZK</v>
      </c>
      <c r="AF7" s="98"/>
      <c r="AG7" s="412" t="s">
        <v>82</v>
      </c>
      <c r="AH7" s="418">
        <f>BE6</f>
        <v>0.541666666666667</v>
      </c>
      <c r="AI7" s="97"/>
      <c r="AJ7" s="97"/>
      <c r="AK7" s="97"/>
      <c r="AL7" s="98"/>
      <c r="AM7" s="419"/>
      <c r="AN7" s="395"/>
      <c r="AO7" s="410" t="s">
        <v>81</v>
      </c>
      <c r="AP7" s="97"/>
      <c r="AQ7" s="98"/>
      <c r="AR7" s="417" t="str">
        <f>AE7</f>
        <v>PKAZK</v>
      </c>
      <c r="AS7" s="98"/>
      <c r="AT7" s="412" t="s">
        <v>82</v>
      </c>
      <c r="AU7" s="418">
        <f>BE7</f>
        <v>0.625</v>
      </c>
      <c r="AV7" s="97"/>
      <c r="AW7" s="97"/>
      <c r="AX7" s="97"/>
      <c r="AY7" s="98"/>
      <c r="AZ7" s="419"/>
      <c r="BB7" s="413" t="s">
        <v>176</v>
      </c>
      <c r="BC7" s="413" t="str">
        <f>BD6</f>
        <v>JHB</v>
      </c>
      <c r="BD7" s="413" t="s">
        <v>3</v>
      </c>
      <c r="BE7" s="414">
        <v>0.625</v>
      </c>
      <c r="BF7" s="414">
        <v>0.697916666666667</v>
      </c>
    </row>
    <row r="8" ht="18" customHeight="1" spans="1:62">
      <c r="A8" s="152"/>
      <c r="B8" s="172" t="s">
        <v>84</v>
      </c>
      <c r="C8" s="97"/>
      <c r="D8" s="98"/>
      <c r="E8" s="408" t="str">
        <f>BC4</f>
        <v>CGK</v>
      </c>
      <c r="F8" s="98"/>
      <c r="G8" s="409" t="s">
        <v>85</v>
      </c>
      <c r="H8" s="420">
        <f>BD11</f>
        <v>0</v>
      </c>
      <c r="I8" s="97"/>
      <c r="J8" s="97"/>
      <c r="K8" s="97"/>
      <c r="L8" s="98"/>
      <c r="M8" s="184"/>
      <c r="N8" s="395"/>
      <c r="O8" s="410" t="s">
        <v>84</v>
      </c>
      <c r="P8" s="97"/>
      <c r="Q8" s="98"/>
      <c r="R8" s="411" t="str">
        <f>BC5</f>
        <v>SIN</v>
      </c>
      <c r="S8" s="98"/>
      <c r="T8" s="412" t="s">
        <v>85</v>
      </c>
      <c r="U8" s="421">
        <f>BD12</f>
        <v>0</v>
      </c>
      <c r="V8" s="97"/>
      <c r="W8" s="97"/>
      <c r="X8" s="97"/>
      <c r="Y8" s="98"/>
      <c r="Z8" s="419"/>
      <c r="AA8" s="395"/>
      <c r="AB8" s="410" t="s">
        <v>84</v>
      </c>
      <c r="AC8" s="97"/>
      <c r="AD8" s="98"/>
      <c r="AE8" s="411" t="str">
        <f>BC6</f>
        <v>CGK</v>
      </c>
      <c r="AF8" s="98"/>
      <c r="AG8" s="412" t="s">
        <v>85</v>
      </c>
      <c r="AH8" s="421">
        <f>BD13</f>
        <v>0</v>
      </c>
      <c r="AI8" s="97"/>
      <c r="AJ8" s="97"/>
      <c r="AK8" s="97"/>
      <c r="AL8" s="98"/>
      <c r="AM8" s="419"/>
      <c r="AN8" s="395"/>
      <c r="AO8" s="410" t="s">
        <v>84</v>
      </c>
      <c r="AP8" s="97"/>
      <c r="AQ8" s="98"/>
      <c r="AR8" s="411" t="str">
        <f>BC7</f>
        <v>JHB</v>
      </c>
      <c r="AS8" s="98"/>
      <c r="AT8" s="412" t="s">
        <v>85</v>
      </c>
      <c r="AU8" s="421">
        <f>BD14</f>
        <v>0</v>
      </c>
      <c r="AV8" s="97"/>
      <c r="AW8" s="97"/>
      <c r="AX8" s="97"/>
      <c r="AY8" s="98"/>
      <c r="AZ8" s="419"/>
    </row>
    <row r="9" ht="18" customHeight="1" spans="1:62">
      <c r="A9" s="152"/>
      <c r="B9" s="172" t="s">
        <v>86</v>
      </c>
      <c r="C9" s="97"/>
      <c r="D9" s="98"/>
      <c r="E9" s="422">
        <f ca="1">BB2</f>
        <v>46283</v>
      </c>
      <c r="F9" s="98"/>
      <c r="G9" s="409" t="s">
        <v>87</v>
      </c>
      <c r="H9" s="420">
        <f>BB11</f>
        <v>0</v>
      </c>
      <c r="I9" s="97"/>
      <c r="J9" s="97"/>
      <c r="K9" s="97"/>
      <c r="L9" s="98"/>
      <c r="M9" s="184"/>
      <c r="N9" s="395"/>
      <c r="O9" s="410" t="s">
        <v>86</v>
      </c>
      <c r="P9" s="97"/>
      <c r="Q9" s="98"/>
      <c r="R9" s="423">
        <f ca="1">E9</f>
        <v>46283</v>
      </c>
      <c r="S9" s="98"/>
      <c r="T9" s="412" t="s">
        <v>87</v>
      </c>
      <c r="U9" s="421">
        <f>BB12</f>
        <v>0</v>
      </c>
      <c r="V9" s="97"/>
      <c r="W9" s="97"/>
      <c r="X9" s="97"/>
      <c r="Y9" s="98"/>
      <c r="Z9" s="419"/>
      <c r="AA9" s="395"/>
      <c r="AB9" s="410" t="s">
        <v>86</v>
      </c>
      <c r="AC9" s="97"/>
      <c r="AD9" s="98"/>
      <c r="AE9" s="423">
        <f ca="1">R9</f>
        <v>46283</v>
      </c>
      <c r="AF9" s="98"/>
      <c r="AG9" s="412" t="s">
        <v>87</v>
      </c>
      <c r="AH9" s="421">
        <f>BB13</f>
        <v>0</v>
      </c>
      <c r="AI9" s="97"/>
      <c r="AJ9" s="97"/>
      <c r="AK9" s="97"/>
      <c r="AL9" s="98"/>
      <c r="AM9" s="419"/>
      <c r="AN9" s="395"/>
      <c r="AO9" s="410" t="s">
        <v>86</v>
      </c>
      <c r="AP9" s="97"/>
      <c r="AQ9" s="98"/>
      <c r="AR9" s="423">
        <f ca="1">AE9</f>
        <v>46283</v>
      </c>
      <c r="AS9" s="98"/>
      <c r="AT9" s="412" t="s">
        <v>87</v>
      </c>
      <c r="AU9" s="421">
        <f>BB14</f>
        <v>0</v>
      </c>
      <c r="AV9" s="97"/>
      <c r="AW9" s="97"/>
      <c r="AX9" s="97"/>
      <c r="AY9" s="98"/>
      <c r="AZ9" s="419"/>
    </row>
    <row r="10" ht="23.25" customHeight="1" spans="1:62">
      <c r="A10" s="152"/>
      <c r="B10" s="197"/>
      <c r="C10" s="197"/>
      <c r="D10" s="198"/>
      <c r="E10" s="198"/>
      <c r="F10" s="199"/>
      <c r="G10" s="199"/>
      <c r="H10" s="200"/>
      <c r="I10" s="199"/>
      <c r="J10" s="199"/>
      <c r="K10" s="199"/>
      <c r="L10" s="199"/>
      <c r="M10" s="201"/>
      <c r="N10" s="395"/>
      <c r="O10" s="424"/>
      <c r="P10" s="424"/>
      <c r="Q10" s="425"/>
      <c r="R10" s="425"/>
      <c r="S10" s="426"/>
      <c r="T10" s="426"/>
      <c r="U10" s="427"/>
      <c r="V10" s="426"/>
      <c r="W10" s="426"/>
      <c r="X10" s="426"/>
      <c r="Y10" s="426"/>
      <c r="Z10" s="428"/>
      <c r="AA10" s="395"/>
      <c r="AB10" s="424"/>
      <c r="AC10" s="424"/>
      <c r="AD10" s="425"/>
      <c r="AE10" s="425"/>
      <c r="AF10" s="426"/>
      <c r="AG10" s="426"/>
      <c r="AH10" s="427"/>
      <c r="AI10" s="426"/>
      <c r="AJ10" s="426"/>
      <c r="AK10" s="426"/>
      <c r="AL10" s="426"/>
      <c r="AM10" s="428"/>
      <c r="AN10" s="395"/>
      <c r="AO10" s="424"/>
      <c r="AP10" s="424"/>
      <c r="AQ10" s="425"/>
      <c r="AR10" s="425"/>
      <c r="AS10" s="426"/>
      <c r="AT10" s="426"/>
      <c r="AU10" s="427"/>
      <c r="AV10" s="426"/>
      <c r="AW10" s="426"/>
      <c r="AX10" s="426"/>
      <c r="AY10" s="426"/>
      <c r="AZ10" s="428"/>
      <c r="BB10" s="429" t="s">
        <v>147</v>
      </c>
      <c r="BC10" s="429" t="s">
        <v>10</v>
      </c>
      <c r="BD10" s="429" t="s">
        <v>177</v>
      </c>
      <c r="BE10" s="429" t="s">
        <v>178</v>
      </c>
      <c r="BF10" s="429" t="s">
        <v>13</v>
      </c>
      <c r="BG10" s="429" t="s">
        <v>89</v>
      </c>
      <c r="BH10" s="429" t="s">
        <v>90</v>
      </c>
      <c r="BI10" s="429" t="s">
        <v>15</v>
      </c>
      <c r="BJ10" s="429" t="s">
        <v>16</v>
      </c>
    </row>
    <row r="11" ht="15.05" spans="1:62">
      <c r="A11" s="152"/>
      <c r="B11" s="212" t="s">
        <v>91</v>
      </c>
      <c r="C11" s="212"/>
      <c r="D11" s="212"/>
      <c r="E11" s="212"/>
      <c r="F11" s="212"/>
      <c r="G11" s="430">
        <v>66000</v>
      </c>
      <c r="H11" s="97"/>
      <c r="I11" s="97"/>
      <c r="J11" s="97"/>
      <c r="K11" s="97"/>
      <c r="L11" s="98"/>
      <c r="M11" s="215"/>
      <c r="N11" s="395"/>
      <c r="O11" s="431" t="s">
        <v>91</v>
      </c>
      <c r="P11" s="431"/>
      <c r="Q11" s="431"/>
      <c r="R11" s="432"/>
      <c r="S11" s="432"/>
      <c r="T11" s="433">
        <v>66000</v>
      </c>
      <c r="U11" s="97"/>
      <c r="V11" s="97"/>
      <c r="W11" s="97"/>
      <c r="X11" s="97"/>
      <c r="Y11" s="98"/>
      <c r="Z11" s="434"/>
      <c r="AA11" s="395"/>
      <c r="AB11" s="431" t="s">
        <v>91</v>
      </c>
      <c r="AC11" s="431"/>
      <c r="AD11" s="431"/>
      <c r="AE11" s="432"/>
      <c r="AF11" s="432"/>
      <c r="AG11" s="433">
        <v>66000</v>
      </c>
      <c r="AH11" s="97"/>
      <c r="AI11" s="97"/>
      <c r="AJ11" s="97"/>
      <c r="AK11" s="97"/>
      <c r="AL11" s="98"/>
      <c r="AM11" s="434"/>
      <c r="AN11" s="395"/>
      <c r="AO11" s="431" t="s">
        <v>91</v>
      </c>
      <c r="AP11" s="431"/>
      <c r="AQ11" s="431"/>
      <c r="AR11" s="432"/>
      <c r="AS11" s="432"/>
      <c r="AT11" s="433">
        <v>66000</v>
      </c>
      <c r="AU11" s="97"/>
      <c r="AV11" s="97"/>
      <c r="AW11" s="97"/>
      <c r="AX11" s="97"/>
      <c r="AY11" s="98"/>
      <c r="AZ11" s="434"/>
      <c r="BB11" s="406"/>
      <c r="BC11" s="406">
        <v>0</v>
      </c>
      <c r="BD11" s="406">
        <v>0</v>
      </c>
      <c r="BE11" s="406">
        <v>1000</v>
      </c>
      <c r="BF11" s="406">
        <f>96+120</f>
        <v>216</v>
      </c>
      <c r="BG11" s="406"/>
      <c r="BH11" s="435" t="s">
        <v>52</v>
      </c>
      <c r="BI11" s="406">
        <v>0</v>
      </c>
      <c r="BJ11" s="436">
        <v>0</v>
      </c>
    </row>
    <row r="12" ht="15.05" spans="1:62">
      <c r="A12" s="152"/>
      <c r="B12" s="212" t="s">
        <v>93</v>
      </c>
      <c r="C12" s="212"/>
      <c r="D12" s="212"/>
      <c r="E12" s="212"/>
      <c r="F12" s="212"/>
      <c r="G12" s="437">
        <f>H8</f>
        <v>0</v>
      </c>
      <c r="H12" s="97"/>
      <c r="I12" s="97"/>
      <c r="J12" s="97"/>
      <c r="K12" s="97"/>
      <c r="L12" s="98"/>
      <c r="M12" s="184"/>
      <c r="N12" s="395"/>
      <c r="O12" s="431" t="s">
        <v>93</v>
      </c>
      <c r="P12" s="431"/>
      <c r="Q12" s="431"/>
      <c r="R12" s="432"/>
      <c r="S12" s="432"/>
      <c r="T12" s="438">
        <f>U8</f>
        <v>0</v>
      </c>
      <c r="U12" s="97"/>
      <c r="V12" s="97"/>
      <c r="W12" s="97"/>
      <c r="X12" s="97"/>
      <c r="Y12" s="98"/>
      <c r="Z12" s="419"/>
      <c r="AA12" s="395"/>
      <c r="AB12" s="431" t="s">
        <v>93</v>
      </c>
      <c r="AC12" s="431"/>
      <c r="AD12" s="431"/>
      <c r="AE12" s="432"/>
      <c r="AF12" s="432"/>
      <c r="AG12" s="438">
        <f>AH8</f>
        <v>0</v>
      </c>
      <c r="AH12" s="97"/>
      <c r="AI12" s="97"/>
      <c r="AJ12" s="97"/>
      <c r="AK12" s="97"/>
      <c r="AL12" s="98"/>
      <c r="AM12" s="419"/>
      <c r="AN12" s="395"/>
      <c r="AO12" s="431" t="s">
        <v>93</v>
      </c>
      <c r="AP12" s="431"/>
      <c r="AQ12" s="431"/>
      <c r="AR12" s="432"/>
      <c r="AS12" s="432"/>
      <c r="AT12" s="438">
        <f>BD14</f>
        <v>0</v>
      </c>
      <c r="AU12" s="97"/>
      <c r="AV12" s="97"/>
      <c r="AW12" s="97"/>
      <c r="AX12" s="97"/>
      <c r="AY12" s="98"/>
      <c r="AZ12" s="419"/>
      <c r="BB12" s="406"/>
      <c r="BC12" s="406">
        <v>0</v>
      </c>
      <c r="BD12" s="406">
        <v>0</v>
      </c>
      <c r="BE12" s="406">
        <v>1000</v>
      </c>
      <c r="BF12" s="406">
        <f>84+108</f>
        <v>192</v>
      </c>
      <c r="BG12" s="406"/>
      <c r="BH12" s="435" t="s">
        <v>55</v>
      </c>
      <c r="BI12" s="435">
        <v>3000</v>
      </c>
      <c r="BJ12" s="435">
        <v>585.32</v>
      </c>
    </row>
    <row r="13" ht="15.05" spans="1:62">
      <c r="A13" s="152"/>
      <c r="B13" s="212" t="s">
        <v>94</v>
      </c>
      <c r="C13" s="212"/>
      <c r="D13" s="212"/>
      <c r="E13" s="212"/>
      <c r="F13" s="439" t="s">
        <v>95</v>
      </c>
      <c r="G13" s="440">
        <f>G11+G12</f>
        <v>66000</v>
      </c>
      <c r="H13" s="97"/>
      <c r="I13" s="97"/>
      <c r="J13" s="97"/>
      <c r="K13" s="97"/>
      <c r="L13" s="98"/>
      <c r="M13" s="184"/>
      <c r="N13" s="395"/>
      <c r="O13" s="431" t="s">
        <v>94</v>
      </c>
      <c r="P13" s="431"/>
      <c r="Q13" s="431"/>
      <c r="R13" s="432"/>
      <c r="S13" s="441" t="s">
        <v>95</v>
      </c>
      <c r="T13" s="442">
        <f>T11+T12</f>
        <v>66000</v>
      </c>
      <c r="U13" s="97"/>
      <c r="V13" s="97"/>
      <c r="W13" s="97"/>
      <c r="X13" s="97"/>
      <c r="Y13" s="98"/>
      <c r="Z13" s="419"/>
      <c r="AA13" s="395"/>
      <c r="AB13" s="431" t="s">
        <v>94</v>
      </c>
      <c r="AC13" s="431"/>
      <c r="AD13" s="431"/>
      <c r="AE13" s="432"/>
      <c r="AF13" s="441" t="s">
        <v>95</v>
      </c>
      <c r="AG13" s="442">
        <f>AG11+AG12</f>
        <v>66000</v>
      </c>
      <c r="AH13" s="97"/>
      <c r="AI13" s="97"/>
      <c r="AJ13" s="97"/>
      <c r="AK13" s="97"/>
      <c r="AL13" s="98"/>
      <c r="AM13" s="419"/>
      <c r="AN13" s="395"/>
      <c r="AO13" s="431" t="s">
        <v>94</v>
      </c>
      <c r="AP13" s="431"/>
      <c r="AQ13" s="431"/>
      <c r="AR13" s="432"/>
      <c r="AS13" s="441" t="s">
        <v>95</v>
      </c>
      <c r="AT13" s="442">
        <f>AT11+AT12</f>
        <v>66000</v>
      </c>
      <c r="AU13" s="97"/>
      <c r="AV13" s="97"/>
      <c r="AW13" s="97"/>
      <c r="AX13" s="97"/>
      <c r="AY13" s="98"/>
      <c r="AZ13" s="419"/>
      <c r="BB13" s="413"/>
      <c r="BC13" s="413"/>
      <c r="BD13" s="413"/>
      <c r="BE13" s="413"/>
      <c r="BF13" s="413"/>
      <c r="BG13" s="413"/>
      <c r="BH13" s="443"/>
      <c r="BI13" s="413"/>
      <c r="BJ13" s="444"/>
    </row>
    <row r="14" ht="15.05" spans="1:62">
      <c r="A14" s="152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156"/>
      <c r="N14" s="395"/>
      <c r="O14" s="431"/>
      <c r="P14" s="431"/>
      <c r="Q14" s="431"/>
      <c r="R14" s="432"/>
      <c r="S14" s="432"/>
      <c r="T14" s="432"/>
      <c r="U14" s="432"/>
      <c r="V14" s="432"/>
      <c r="W14" s="432"/>
      <c r="X14" s="432"/>
      <c r="Y14" s="432"/>
      <c r="Z14" s="398"/>
      <c r="AA14" s="395"/>
      <c r="AB14" s="431"/>
      <c r="AC14" s="431"/>
      <c r="AD14" s="431"/>
      <c r="AE14" s="432"/>
      <c r="AF14" s="432"/>
      <c r="AG14" s="432"/>
      <c r="AH14" s="432"/>
      <c r="AI14" s="432"/>
      <c r="AJ14" s="432"/>
      <c r="AK14" s="432"/>
      <c r="AL14" s="432"/>
      <c r="AM14" s="398"/>
      <c r="AN14" s="395"/>
      <c r="AO14" s="431"/>
      <c r="AP14" s="431"/>
      <c r="AQ14" s="431"/>
      <c r="AR14" s="432"/>
      <c r="AS14" s="432"/>
      <c r="AT14" s="432"/>
      <c r="AU14" s="432"/>
      <c r="AV14" s="432"/>
      <c r="AW14" s="432"/>
      <c r="AX14" s="432"/>
      <c r="AY14" s="432"/>
      <c r="AZ14" s="398"/>
      <c r="BB14" s="413"/>
      <c r="BC14" s="413"/>
      <c r="BD14" s="413"/>
      <c r="BE14" s="413"/>
      <c r="BF14" s="413"/>
      <c r="BG14" s="413"/>
      <c r="BH14" s="443">
        <v>4</v>
      </c>
      <c r="BI14" s="443"/>
      <c r="BJ14" s="443"/>
    </row>
    <row r="15" ht="15.05" spans="1:62">
      <c r="A15" s="152"/>
      <c r="B15" s="232" t="s">
        <v>96</v>
      </c>
      <c r="C15" s="233"/>
      <c r="D15" s="233"/>
      <c r="E15" s="233"/>
      <c r="F15" s="233"/>
      <c r="G15" s="233"/>
      <c r="H15" s="445"/>
      <c r="I15" s="232" t="s">
        <v>97</v>
      </c>
      <c r="J15" s="97"/>
      <c r="K15" s="97"/>
      <c r="L15" s="98"/>
      <c r="M15" s="156"/>
      <c r="N15" s="395"/>
      <c r="O15" s="446" t="s">
        <v>96</v>
      </c>
      <c r="P15" s="447"/>
      <c r="Q15" s="447"/>
      <c r="R15" s="448"/>
      <c r="S15" s="448"/>
      <c r="T15" s="448"/>
      <c r="U15" s="449"/>
      <c r="V15" s="450" t="s">
        <v>97</v>
      </c>
      <c r="W15" s="97"/>
      <c r="X15" s="97"/>
      <c r="Y15" s="98"/>
      <c r="Z15" s="398"/>
      <c r="AA15" s="395"/>
      <c r="AB15" s="446" t="s">
        <v>96</v>
      </c>
      <c r="AC15" s="447"/>
      <c r="AD15" s="447"/>
      <c r="AE15" s="448"/>
      <c r="AF15" s="448"/>
      <c r="AG15" s="448"/>
      <c r="AH15" s="449"/>
      <c r="AI15" s="450" t="s">
        <v>97</v>
      </c>
      <c r="AJ15" s="97"/>
      <c r="AK15" s="97"/>
      <c r="AL15" s="98"/>
      <c r="AM15" s="398"/>
      <c r="AN15" s="395"/>
      <c r="AO15" s="446" t="s">
        <v>96</v>
      </c>
      <c r="AP15" s="447"/>
      <c r="AQ15" s="447"/>
      <c r="AR15" s="448"/>
      <c r="AS15" s="448"/>
      <c r="AT15" s="448"/>
      <c r="AU15" s="449"/>
      <c r="AV15" s="450" t="s">
        <v>97</v>
      </c>
      <c r="AW15" s="97"/>
      <c r="AX15" s="97"/>
      <c r="AY15" s="98"/>
      <c r="AZ15" s="398"/>
    </row>
    <row r="16" ht="15.05" spans="1:62">
      <c r="A16" s="152"/>
      <c r="B16" s="245" t="s">
        <v>98</v>
      </c>
      <c r="C16" s="246"/>
      <c r="D16" s="246"/>
      <c r="E16" s="232" t="s">
        <v>99</v>
      </c>
      <c r="F16" s="97"/>
      <c r="G16" s="97"/>
      <c r="H16" s="98"/>
      <c r="I16" s="232" t="s">
        <v>100</v>
      </c>
      <c r="J16" s="97"/>
      <c r="K16" s="97"/>
      <c r="L16" s="98"/>
      <c r="M16" s="156"/>
      <c r="N16" s="395"/>
      <c r="O16" s="451" t="s">
        <v>98</v>
      </c>
      <c r="P16" s="452"/>
      <c r="Q16" s="452"/>
      <c r="R16" s="450" t="s">
        <v>99</v>
      </c>
      <c r="S16" s="97"/>
      <c r="T16" s="97"/>
      <c r="U16" s="98"/>
      <c r="V16" s="450" t="s">
        <v>100</v>
      </c>
      <c r="W16" s="97"/>
      <c r="X16" s="97"/>
      <c r="Y16" s="98"/>
      <c r="Z16" s="398"/>
      <c r="AA16" s="395"/>
      <c r="AB16" s="451" t="s">
        <v>98</v>
      </c>
      <c r="AC16" s="452"/>
      <c r="AD16" s="452"/>
      <c r="AE16" s="450" t="s">
        <v>99</v>
      </c>
      <c r="AF16" s="97"/>
      <c r="AG16" s="97"/>
      <c r="AH16" s="98"/>
      <c r="AI16" s="450" t="s">
        <v>100</v>
      </c>
      <c r="AJ16" s="97"/>
      <c r="AK16" s="97"/>
      <c r="AL16" s="98"/>
      <c r="AM16" s="398"/>
      <c r="AN16" s="395"/>
      <c r="AO16" s="451" t="s">
        <v>98</v>
      </c>
      <c r="AP16" s="452"/>
      <c r="AQ16" s="452"/>
      <c r="AR16" s="450" t="s">
        <v>99</v>
      </c>
      <c r="AS16" s="97"/>
      <c r="AT16" s="97"/>
      <c r="AU16" s="98"/>
      <c r="AV16" s="450" t="s">
        <v>100</v>
      </c>
      <c r="AW16" s="97"/>
      <c r="AX16" s="97"/>
      <c r="AY16" s="98"/>
      <c r="AZ16" s="398"/>
    </row>
    <row r="17" ht="15.05" spans="1:55">
      <c r="A17" s="152"/>
      <c r="B17" s="232" t="s">
        <v>94</v>
      </c>
      <c r="C17" s="233"/>
      <c r="D17" s="233"/>
      <c r="E17" s="445"/>
      <c r="F17" s="439" t="s">
        <v>101</v>
      </c>
      <c r="G17" s="453">
        <v>73500</v>
      </c>
      <c r="H17" s="97"/>
      <c r="I17" s="97"/>
      <c r="J17" s="97"/>
      <c r="K17" s="97"/>
      <c r="L17" s="98"/>
      <c r="M17" s="156"/>
      <c r="N17" s="395"/>
      <c r="O17" s="446" t="s">
        <v>94</v>
      </c>
      <c r="P17" s="447"/>
      <c r="Q17" s="447"/>
      <c r="R17" s="449"/>
      <c r="S17" s="441" t="s">
        <v>101</v>
      </c>
      <c r="T17" s="454">
        <f>G17</f>
        <v>73500</v>
      </c>
      <c r="U17" s="97"/>
      <c r="V17" s="97"/>
      <c r="W17" s="97"/>
      <c r="X17" s="97"/>
      <c r="Y17" s="98"/>
      <c r="Z17" s="398"/>
      <c r="AA17" s="395"/>
      <c r="AB17" s="446" t="s">
        <v>94</v>
      </c>
      <c r="AC17" s="447"/>
      <c r="AD17" s="447"/>
      <c r="AE17" s="449"/>
      <c r="AF17" s="441" t="s">
        <v>101</v>
      </c>
      <c r="AG17" s="454">
        <f>T17</f>
        <v>73500</v>
      </c>
      <c r="AH17" s="97"/>
      <c r="AI17" s="97"/>
      <c r="AJ17" s="97"/>
      <c r="AK17" s="97"/>
      <c r="AL17" s="98"/>
      <c r="AM17" s="398"/>
      <c r="AN17" s="395"/>
      <c r="AO17" s="446" t="s">
        <v>94</v>
      </c>
      <c r="AP17" s="447"/>
      <c r="AQ17" s="447"/>
      <c r="AR17" s="449"/>
      <c r="AS17" s="441" t="s">
        <v>101</v>
      </c>
      <c r="AT17" s="454">
        <f>AG17</f>
        <v>73500</v>
      </c>
      <c r="AU17" s="97"/>
      <c r="AV17" s="97"/>
      <c r="AW17" s="97"/>
      <c r="AX17" s="97"/>
      <c r="AY17" s="98"/>
      <c r="AZ17" s="398"/>
      <c r="BB17" s="52" t="s">
        <v>102</v>
      </c>
      <c r="BC17" s="310" t="s">
        <v>179</v>
      </c>
    </row>
    <row r="18" ht="15.05" spans="1:55">
      <c r="A18" s="152"/>
      <c r="B18" s="212"/>
      <c r="C18" s="212"/>
      <c r="D18" s="212"/>
      <c r="E18" s="212"/>
      <c r="F18" s="212"/>
      <c r="G18" s="455"/>
      <c r="H18" s="455"/>
      <c r="I18" s="455"/>
      <c r="J18" s="455"/>
      <c r="K18" s="455"/>
      <c r="L18" s="455"/>
      <c r="M18" s="156"/>
      <c r="N18" s="395"/>
      <c r="O18" s="431"/>
      <c r="P18" s="431"/>
      <c r="Q18" s="431"/>
      <c r="R18" s="432"/>
      <c r="S18" s="432"/>
      <c r="T18" s="456"/>
      <c r="U18" s="456"/>
      <c r="V18" s="456"/>
      <c r="W18" s="456"/>
      <c r="X18" s="456"/>
      <c r="Y18" s="456"/>
      <c r="Z18" s="398"/>
      <c r="AA18" s="395"/>
      <c r="AB18" s="431"/>
      <c r="AC18" s="431"/>
      <c r="AD18" s="431"/>
      <c r="AE18" s="432"/>
      <c r="AF18" s="432"/>
      <c r="AG18" s="456"/>
      <c r="AH18" s="456"/>
      <c r="AI18" s="456"/>
      <c r="AJ18" s="456"/>
      <c r="AK18" s="456"/>
      <c r="AL18" s="456"/>
      <c r="AM18" s="398"/>
      <c r="AN18" s="395"/>
      <c r="AO18" s="431"/>
      <c r="AP18" s="431"/>
      <c r="AQ18" s="431"/>
      <c r="AR18" s="432"/>
      <c r="AS18" s="432"/>
      <c r="AT18" s="456"/>
      <c r="AU18" s="456"/>
      <c r="AV18" s="456"/>
      <c r="AW18" s="456"/>
      <c r="AX18" s="456"/>
      <c r="AY18" s="456"/>
      <c r="AZ18" s="398"/>
    </row>
    <row r="19" ht="15.05" spans="1:55">
      <c r="A19" s="152"/>
      <c r="B19" s="232" t="s">
        <v>104</v>
      </c>
      <c r="C19" s="233"/>
      <c r="D19" s="233"/>
      <c r="E19" s="233"/>
      <c r="F19" s="445"/>
      <c r="G19" s="457">
        <f>G13</f>
        <v>66000</v>
      </c>
      <c r="H19" s="97"/>
      <c r="I19" s="97"/>
      <c r="J19" s="97"/>
      <c r="K19" s="97"/>
      <c r="L19" s="98"/>
      <c r="M19" s="184"/>
      <c r="N19" s="395"/>
      <c r="O19" s="446" t="s">
        <v>104</v>
      </c>
      <c r="P19" s="447"/>
      <c r="Q19" s="447"/>
      <c r="R19" s="448"/>
      <c r="S19" s="449"/>
      <c r="T19" s="458">
        <f>T13</f>
        <v>66000</v>
      </c>
      <c r="U19" s="97"/>
      <c r="V19" s="97"/>
      <c r="W19" s="97"/>
      <c r="X19" s="97"/>
      <c r="Y19" s="98"/>
      <c r="Z19" s="419"/>
      <c r="AA19" s="395"/>
      <c r="AB19" s="446" t="s">
        <v>104</v>
      </c>
      <c r="AC19" s="447"/>
      <c r="AD19" s="447"/>
      <c r="AE19" s="448"/>
      <c r="AF19" s="449"/>
      <c r="AG19" s="458">
        <f>AG13</f>
        <v>66000</v>
      </c>
      <c r="AH19" s="97"/>
      <c r="AI19" s="97"/>
      <c r="AJ19" s="97"/>
      <c r="AK19" s="97"/>
      <c r="AL19" s="98"/>
      <c r="AM19" s="419"/>
      <c r="AN19" s="395"/>
      <c r="AO19" s="446" t="s">
        <v>104</v>
      </c>
      <c r="AP19" s="447"/>
      <c r="AQ19" s="447"/>
      <c r="AR19" s="448"/>
      <c r="AS19" s="449"/>
      <c r="AT19" s="458">
        <f>AT13</f>
        <v>66000</v>
      </c>
      <c r="AU19" s="97"/>
      <c r="AV19" s="97"/>
      <c r="AW19" s="97"/>
      <c r="AX19" s="97"/>
      <c r="AY19" s="98"/>
      <c r="AZ19" s="419"/>
      <c r="BB19" s="52" t="s">
        <v>21</v>
      </c>
      <c r="BC19" s="459">
        <v>71119</v>
      </c>
    </row>
    <row r="20" ht="15.05" spans="1:55">
      <c r="A20" s="152"/>
      <c r="B20" s="232" t="s">
        <v>105</v>
      </c>
      <c r="C20" s="233"/>
      <c r="D20" s="233"/>
      <c r="E20" s="233"/>
      <c r="F20" s="445"/>
      <c r="G20" s="460">
        <f>BG11</f>
        <v>0</v>
      </c>
      <c r="H20" s="97"/>
      <c r="I20" s="97"/>
      <c r="J20" s="97"/>
      <c r="K20" s="97"/>
      <c r="L20" s="98"/>
      <c r="M20" s="184"/>
      <c r="N20" s="395"/>
      <c r="O20" s="446" t="s">
        <v>105</v>
      </c>
      <c r="P20" s="447"/>
      <c r="Q20" s="447"/>
      <c r="R20" s="448"/>
      <c r="S20" s="449"/>
      <c r="T20" s="461">
        <f>BG12</f>
        <v>0</v>
      </c>
      <c r="U20" s="97"/>
      <c r="V20" s="97"/>
      <c r="W20" s="97"/>
      <c r="X20" s="97"/>
      <c r="Y20" s="98"/>
      <c r="Z20" s="419"/>
      <c r="AA20" s="395"/>
      <c r="AB20" s="446" t="s">
        <v>105</v>
      </c>
      <c r="AC20" s="447"/>
      <c r="AD20" s="447"/>
      <c r="AE20" s="448"/>
      <c r="AF20" s="449"/>
      <c r="AG20" s="461">
        <f>BG13</f>
        <v>0</v>
      </c>
      <c r="AH20" s="97"/>
      <c r="AI20" s="97"/>
      <c r="AJ20" s="97"/>
      <c r="AK20" s="97"/>
      <c r="AL20" s="98"/>
      <c r="AM20" s="419"/>
      <c r="AN20" s="395"/>
      <c r="AO20" s="446" t="s">
        <v>105</v>
      </c>
      <c r="AP20" s="447"/>
      <c r="AQ20" s="447"/>
      <c r="AR20" s="448"/>
      <c r="AS20" s="449"/>
      <c r="AT20" s="461">
        <f>BG14</f>
        <v>0</v>
      </c>
      <c r="AU20" s="97"/>
      <c r="AV20" s="97"/>
      <c r="AW20" s="97"/>
      <c r="AX20" s="97"/>
      <c r="AY20" s="98"/>
      <c r="AZ20" s="419"/>
      <c r="BB20" s="52" t="s">
        <v>22</v>
      </c>
      <c r="BC20" s="459">
        <v>71120</v>
      </c>
    </row>
    <row r="21" ht="15.75" customHeight="1" spans="1:55">
      <c r="A21" s="152"/>
      <c r="B21" s="232" t="s">
        <v>106</v>
      </c>
      <c r="C21" s="233"/>
      <c r="D21" s="233"/>
      <c r="E21" s="233"/>
      <c r="F21" s="445"/>
      <c r="G21" s="440">
        <f>G19-G20</f>
        <v>66000</v>
      </c>
      <c r="H21" s="97"/>
      <c r="I21" s="97"/>
      <c r="J21" s="97"/>
      <c r="K21" s="97"/>
      <c r="L21" s="98"/>
      <c r="M21" s="184"/>
      <c r="N21" s="395"/>
      <c r="O21" s="446" t="s">
        <v>106</v>
      </c>
      <c r="P21" s="447"/>
      <c r="Q21" s="447"/>
      <c r="R21" s="448"/>
      <c r="S21" s="449"/>
      <c r="T21" s="442">
        <f>T19-T20</f>
        <v>66000</v>
      </c>
      <c r="U21" s="97"/>
      <c r="V21" s="97"/>
      <c r="W21" s="97"/>
      <c r="X21" s="97"/>
      <c r="Y21" s="98"/>
      <c r="Z21" s="419"/>
      <c r="AA21" s="395"/>
      <c r="AB21" s="446" t="s">
        <v>106</v>
      </c>
      <c r="AC21" s="447"/>
      <c r="AD21" s="447"/>
      <c r="AE21" s="448"/>
      <c r="AF21" s="449"/>
      <c r="AG21" s="442">
        <f>AG19-AG20</f>
        <v>66000</v>
      </c>
      <c r="AH21" s="97"/>
      <c r="AI21" s="97"/>
      <c r="AJ21" s="97"/>
      <c r="AK21" s="97"/>
      <c r="AL21" s="98"/>
      <c r="AM21" s="419"/>
      <c r="AN21" s="395"/>
      <c r="AO21" s="446" t="s">
        <v>106</v>
      </c>
      <c r="AP21" s="447"/>
      <c r="AQ21" s="447"/>
      <c r="AR21" s="448"/>
      <c r="AS21" s="449"/>
      <c r="AT21" s="442">
        <f>AT19-AT20</f>
        <v>66000</v>
      </c>
      <c r="AU21" s="97"/>
      <c r="AV21" s="97"/>
      <c r="AW21" s="97"/>
      <c r="AX21" s="97"/>
      <c r="AY21" s="98"/>
      <c r="AZ21" s="419"/>
      <c r="BB21" s="462" t="s">
        <v>24</v>
      </c>
      <c r="BC21" s="463"/>
    </row>
    <row r="22" ht="15.75" customHeight="1" spans="1:55">
      <c r="A22" s="152"/>
      <c r="B22" s="232" t="s">
        <v>107</v>
      </c>
      <c r="C22" s="233"/>
      <c r="D22" s="233"/>
      <c r="E22" s="233"/>
      <c r="F22" s="445"/>
      <c r="G22" s="437">
        <f>BE11</f>
        <v>1000</v>
      </c>
      <c r="H22" s="97"/>
      <c r="I22" s="97"/>
      <c r="J22" s="97"/>
      <c r="K22" s="97"/>
      <c r="L22" s="98"/>
      <c r="M22" s="184"/>
      <c r="N22" s="395"/>
      <c r="O22" s="446" t="s">
        <v>107</v>
      </c>
      <c r="P22" s="447"/>
      <c r="Q22" s="447"/>
      <c r="R22" s="448"/>
      <c r="S22" s="449"/>
      <c r="T22" s="438">
        <f>BE12</f>
        <v>1000</v>
      </c>
      <c r="U22" s="97"/>
      <c r="V22" s="97"/>
      <c r="W22" s="97"/>
      <c r="X22" s="97"/>
      <c r="Y22" s="98"/>
      <c r="Z22" s="419"/>
      <c r="AA22" s="395"/>
      <c r="AB22" s="446" t="s">
        <v>107</v>
      </c>
      <c r="AC22" s="447"/>
      <c r="AD22" s="447"/>
      <c r="AE22" s="448"/>
      <c r="AF22" s="449"/>
      <c r="AG22" s="438">
        <f>BE13</f>
        <v>0</v>
      </c>
      <c r="AH22" s="97"/>
      <c r="AI22" s="97"/>
      <c r="AJ22" s="97"/>
      <c r="AK22" s="97"/>
      <c r="AL22" s="98"/>
      <c r="AM22" s="419"/>
      <c r="AN22" s="395"/>
      <c r="AO22" s="446" t="s">
        <v>107</v>
      </c>
      <c r="AP22" s="447"/>
      <c r="AQ22" s="447"/>
      <c r="AR22" s="448"/>
      <c r="AS22" s="449"/>
      <c r="AT22" s="438">
        <f>BE14</f>
        <v>0</v>
      </c>
      <c r="AU22" s="97"/>
      <c r="AV22" s="97"/>
      <c r="AW22" s="97"/>
      <c r="AX22" s="97"/>
      <c r="AY22" s="98"/>
      <c r="AZ22" s="419"/>
      <c r="BB22" s="462" t="s">
        <v>25</v>
      </c>
      <c r="BC22" s="463"/>
    </row>
    <row r="23" ht="15.75" customHeight="1" spans="1:55">
      <c r="A23" s="152"/>
      <c r="B23" s="232" t="s">
        <v>108</v>
      </c>
      <c r="C23" s="233"/>
      <c r="D23" s="233"/>
      <c r="E23" s="233"/>
      <c r="F23" s="445"/>
      <c r="G23" s="464">
        <f>G21-G22</f>
        <v>65000</v>
      </c>
      <c r="H23" s="97"/>
      <c r="I23" s="97"/>
      <c r="J23" s="97"/>
      <c r="K23" s="97"/>
      <c r="L23" s="98"/>
      <c r="M23" s="184"/>
      <c r="N23" s="395"/>
      <c r="O23" s="446" t="s">
        <v>108</v>
      </c>
      <c r="P23" s="447"/>
      <c r="Q23" s="447"/>
      <c r="R23" s="448"/>
      <c r="S23" s="449"/>
      <c r="T23" s="465">
        <f>T21-T22</f>
        <v>65000</v>
      </c>
      <c r="U23" s="97"/>
      <c r="V23" s="97"/>
      <c r="W23" s="97"/>
      <c r="X23" s="97"/>
      <c r="Y23" s="98"/>
      <c r="Z23" s="419"/>
      <c r="AA23" s="395"/>
      <c r="AB23" s="446" t="s">
        <v>108</v>
      </c>
      <c r="AC23" s="447"/>
      <c r="AD23" s="447"/>
      <c r="AE23" s="448"/>
      <c r="AF23" s="449"/>
      <c r="AG23" s="465">
        <f>AG21-AG22</f>
        <v>66000</v>
      </c>
      <c r="AH23" s="97"/>
      <c r="AI23" s="97"/>
      <c r="AJ23" s="97"/>
      <c r="AK23" s="97"/>
      <c r="AL23" s="98"/>
      <c r="AM23" s="419"/>
      <c r="AN23" s="395"/>
      <c r="AO23" s="446" t="s">
        <v>108</v>
      </c>
      <c r="AP23" s="447"/>
      <c r="AQ23" s="447"/>
      <c r="AR23" s="448"/>
      <c r="AS23" s="449"/>
      <c r="AT23" s="465">
        <f>AT21-AT22</f>
        <v>66000</v>
      </c>
      <c r="AU23" s="97"/>
      <c r="AV23" s="97"/>
      <c r="AW23" s="97"/>
      <c r="AX23" s="97"/>
      <c r="AY23" s="98"/>
      <c r="AZ23" s="419"/>
    </row>
    <row r="24" ht="15.75" customHeight="1" spans="1:55">
      <c r="A24" s="152"/>
      <c r="B24" s="212"/>
      <c r="C24" s="212"/>
      <c r="D24" s="212"/>
      <c r="E24" s="212"/>
      <c r="F24" s="212"/>
      <c r="G24" s="455"/>
      <c r="H24" s="455"/>
      <c r="I24" s="455"/>
      <c r="J24" s="455"/>
      <c r="K24" s="455"/>
      <c r="L24" s="455"/>
      <c r="M24" s="156"/>
      <c r="N24" s="395"/>
      <c r="O24" s="431"/>
      <c r="P24" s="431"/>
      <c r="Q24" s="431"/>
      <c r="R24" s="432"/>
      <c r="S24" s="432"/>
      <c r="T24" s="456"/>
      <c r="U24" s="456"/>
      <c r="V24" s="456"/>
      <c r="W24" s="456"/>
      <c r="X24" s="456"/>
      <c r="Y24" s="456"/>
      <c r="Z24" s="398"/>
      <c r="AA24" s="395"/>
      <c r="AB24" s="431"/>
      <c r="AC24" s="431"/>
      <c r="AD24" s="431"/>
      <c r="AE24" s="432"/>
      <c r="AF24" s="432"/>
      <c r="AG24" s="456"/>
      <c r="AH24" s="456"/>
      <c r="AI24" s="456"/>
      <c r="AJ24" s="456"/>
      <c r="AK24" s="456"/>
      <c r="AL24" s="456"/>
      <c r="AM24" s="398"/>
      <c r="AN24" s="395"/>
      <c r="AO24" s="431"/>
      <c r="AP24" s="431"/>
      <c r="AQ24" s="431"/>
      <c r="AR24" s="432"/>
      <c r="AS24" s="432"/>
      <c r="AT24" s="456"/>
      <c r="AU24" s="456"/>
      <c r="AV24" s="456"/>
      <c r="AW24" s="456"/>
      <c r="AX24" s="456"/>
      <c r="AY24" s="456"/>
      <c r="AZ24" s="398"/>
      <c r="BB24" s="52" t="s">
        <v>26</v>
      </c>
      <c r="BC24" s="459" t="s">
        <v>26</v>
      </c>
    </row>
    <row r="25" ht="15.75" customHeight="1" spans="1:55">
      <c r="A25" s="152"/>
      <c r="B25" s="232" t="s">
        <v>109</v>
      </c>
      <c r="C25" s="233"/>
      <c r="D25" s="233"/>
      <c r="E25" s="233"/>
      <c r="F25" s="445"/>
      <c r="G25" s="466"/>
      <c r="H25" s="97"/>
      <c r="I25" s="97"/>
      <c r="J25" s="97"/>
      <c r="K25" s="97"/>
      <c r="L25" s="98"/>
      <c r="M25" s="156"/>
      <c r="N25" s="395"/>
      <c r="O25" s="446" t="s">
        <v>109</v>
      </c>
      <c r="P25" s="447"/>
      <c r="Q25" s="447"/>
      <c r="R25" s="448"/>
      <c r="S25" s="449"/>
      <c r="T25" s="467"/>
      <c r="U25" s="97"/>
      <c r="V25" s="97"/>
      <c r="W25" s="97"/>
      <c r="X25" s="97"/>
      <c r="Y25" s="98"/>
      <c r="Z25" s="398"/>
      <c r="AA25" s="395"/>
      <c r="AB25" s="446" t="s">
        <v>109</v>
      </c>
      <c r="AC25" s="447"/>
      <c r="AD25" s="447"/>
      <c r="AE25" s="448"/>
      <c r="AF25" s="449"/>
      <c r="AG25" s="467"/>
      <c r="AH25" s="97"/>
      <c r="AI25" s="97"/>
      <c r="AJ25" s="97"/>
      <c r="AK25" s="97"/>
      <c r="AL25" s="98"/>
      <c r="AM25" s="398"/>
      <c r="AN25" s="395"/>
      <c r="AO25" s="446" t="s">
        <v>109</v>
      </c>
      <c r="AP25" s="447"/>
      <c r="AQ25" s="447"/>
      <c r="AR25" s="448"/>
      <c r="AS25" s="449"/>
      <c r="AT25" s="467"/>
      <c r="AU25" s="97"/>
      <c r="AV25" s="97"/>
      <c r="AW25" s="97"/>
      <c r="AX25" s="97"/>
      <c r="AY25" s="98"/>
      <c r="AZ25" s="398"/>
    </row>
    <row r="26" ht="15.75" customHeight="1" spans="1:55">
      <c r="A26" s="152"/>
      <c r="B26" s="232" t="s">
        <v>110</v>
      </c>
      <c r="C26" s="233"/>
      <c r="D26" s="233"/>
      <c r="E26" s="233"/>
      <c r="F26" s="445"/>
      <c r="G26" s="437">
        <f>BF11</f>
        <v>216</v>
      </c>
      <c r="H26" s="97"/>
      <c r="I26" s="97"/>
      <c r="J26" s="97"/>
      <c r="K26" s="97"/>
      <c r="L26" s="98"/>
      <c r="M26" s="184"/>
      <c r="N26" s="395"/>
      <c r="O26" s="446" t="s">
        <v>110</v>
      </c>
      <c r="P26" s="447"/>
      <c r="Q26" s="447"/>
      <c r="R26" s="448"/>
      <c r="S26" s="449"/>
      <c r="T26" s="438">
        <f>BF12</f>
        <v>192</v>
      </c>
      <c r="U26" s="97"/>
      <c r="V26" s="97"/>
      <c r="W26" s="97"/>
      <c r="X26" s="97"/>
      <c r="Y26" s="98"/>
      <c r="Z26" s="419"/>
      <c r="AA26" s="395"/>
      <c r="AB26" s="446" t="s">
        <v>110</v>
      </c>
      <c r="AC26" s="447"/>
      <c r="AD26" s="447"/>
      <c r="AE26" s="448"/>
      <c r="AF26" s="449"/>
      <c r="AG26" s="438">
        <f>BF13</f>
        <v>0</v>
      </c>
      <c r="AH26" s="97"/>
      <c r="AI26" s="97"/>
      <c r="AJ26" s="97"/>
      <c r="AK26" s="97"/>
      <c r="AL26" s="98"/>
      <c r="AM26" s="419"/>
      <c r="AN26" s="395"/>
      <c r="AO26" s="446" t="s">
        <v>110</v>
      </c>
      <c r="AP26" s="447"/>
      <c r="AQ26" s="447"/>
      <c r="AR26" s="448"/>
      <c r="AS26" s="449"/>
      <c r="AT26" s="438">
        <f>BF14</f>
        <v>0</v>
      </c>
      <c r="AU26" s="97"/>
      <c r="AV26" s="97"/>
      <c r="AW26" s="97"/>
      <c r="AX26" s="97"/>
      <c r="AY26" s="98"/>
      <c r="AZ26" s="419"/>
    </row>
    <row r="27" ht="15.75" customHeight="1" spans="1:55">
      <c r="A27" s="152"/>
      <c r="B27" s="232" t="s">
        <v>111</v>
      </c>
      <c r="C27" s="233"/>
      <c r="D27" s="233"/>
      <c r="E27" s="233"/>
      <c r="F27" s="445"/>
      <c r="G27" s="466"/>
      <c r="H27" s="97"/>
      <c r="I27" s="97"/>
      <c r="J27" s="97"/>
      <c r="K27" s="97"/>
      <c r="L27" s="98"/>
      <c r="M27" s="156"/>
      <c r="N27" s="395"/>
      <c r="O27" s="446" t="s">
        <v>111</v>
      </c>
      <c r="P27" s="447"/>
      <c r="Q27" s="447"/>
      <c r="R27" s="448"/>
      <c r="S27" s="449"/>
      <c r="T27" s="467"/>
      <c r="U27" s="97"/>
      <c r="V27" s="97"/>
      <c r="W27" s="97"/>
      <c r="X27" s="97"/>
      <c r="Y27" s="98"/>
      <c r="Z27" s="398"/>
      <c r="AA27" s="395"/>
      <c r="AB27" s="446" t="s">
        <v>111</v>
      </c>
      <c r="AC27" s="447"/>
      <c r="AD27" s="447"/>
      <c r="AE27" s="448"/>
      <c r="AF27" s="449"/>
      <c r="AG27" s="467"/>
      <c r="AH27" s="97"/>
      <c r="AI27" s="97"/>
      <c r="AJ27" s="97"/>
      <c r="AK27" s="97"/>
      <c r="AL27" s="98"/>
      <c r="AM27" s="398"/>
      <c r="AN27" s="395"/>
      <c r="AO27" s="446" t="s">
        <v>111</v>
      </c>
      <c r="AP27" s="447"/>
      <c r="AQ27" s="447"/>
      <c r="AR27" s="448"/>
      <c r="AS27" s="449"/>
      <c r="AT27" s="467"/>
      <c r="AU27" s="97"/>
      <c r="AV27" s="97"/>
      <c r="AW27" s="97"/>
      <c r="AX27" s="97"/>
      <c r="AY27" s="98"/>
      <c r="AZ27" s="398"/>
    </row>
    <row r="28" ht="15.75" customHeight="1" spans="1:55">
      <c r="A28" s="152"/>
      <c r="B28" s="197"/>
      <c r="C28" s="197"/>
      <c r="D28" s="212"/>
      <c r="E28" s="212"/>
      <c r="F28" s="212"/>
      <c r="G28" s="212"/>
      <c r="H28" s="212"/>
      <c r="I28" s="212"/>
      <c r="J28" s="212"/>
      <c r="K28" s="212"/>
      <c r="L28" s="212"/>
      <c r="M28" s="156"/>
      <c r="N28" s="395"/>
      <c r="O28" s="424"/>
      <c r="P28" s="424"/>
      <c r="Q28" s="431"/>
      <c r="R28" s="431"/>
      <c r="S28" s="431"/>
      <c r="T28" s="431"/>
      <c r="U28" s="431"/>
      <c r="V28" s="431"/>
      <c r="W28" s="431"/>
      <c r="X28" s="431"/>
      <c r="Y28" s="431"/>
      <c r="Z28" s="398"/>
      <c r="AA28" s="395"/>
      <c r="AB28" s="424"/>
      <c r="AC28" s="424"/>
      <c r="AD28" s="431"/>
      <c r="AE28" s="431"/>
      <c r="AF28" s="431"/>
      <c r="AG28" s="431"/>
      <c r="AH28" s="431"/>
      <c r="AI28" s="431"/>
      <c r="AJ28" s="431"/>
      <c r="AK28" s="431"/>
      <c r="AL28" s="431"/>
      <c r="AM28" s="398"/>
      <c r="AN28" s="395"/>
      <c r="AO28" s="424"/>
      <c r="AP28" s="424"/>
      <c r="AQ28" s="431"/>
      <c r="AR28" s="431"/>
      <c r="AS28" s="431"/>
      <c r="AT28" s="431"/>
      <c r="AU28" s="431"/>
      <c r="AV28" s="431"/>
      <c r="AW28" s="431"/>
      <c r="AX28" s="431"/>
      <c r="AY28" s="431"/>
      <c r="AZ28" s="398"/>
    </row>
    <row r="29" ht="15.75" customHeight="1" spans="1:55">
      <c r="A29" s="152"/>
      <c r="B29" s="197"/>
      <c r="C29" s="197"/>
      <c r="D29" s="212"/>
      <c r="E29" s="212"/>
      <c r="F29" s="212"/>
      <c r="G29" s="212"/>
      <c r="H29" s="212"/>
      <c r="I29" s="212"/>
      <c r="J29" s="212"/>
      <c r="K29" s="212"/>
      <c r="L29" s="212"/>
      <c r="M29" s="156"/>
      <c r="N29" s="395"/>
      <c r="O29" s="424"/>
      <c r="P29" s="424"/>
      <c r="Q29" s="431"/>
      <c r="R29" s="431"/>
      <c r="S29" s="431"/>
      <c r="T29" s="431"/>
      <c r="U29" s="431"/>
      <c r="V29" s="431"/>
      <c r="W29" s="431"/>
      <c r="X29" s="431"/>
      <c r="Y29" s="431"/>
      <c r="Z29" s="398"/>
      <c r="AA29" s="395"/>
      <c r="AB29" s="424"/>
      <c r="AC29" s="424"/>
      <c r="AD29" s="431"/>
      <c r="AE29" s="431"/>
      <c r="AF29" s="431"/>
      <c r="AG29" s="431"/>
      <c r="AH29" s="431"/>
      <c r="AI29" s="431"/>
      <c r="AJ29" s="431"/>
      <c r="AK29" s="431"/>
      <c r="AL29" s="431"/>
      <c r="AM29" s="398"/>
      <c r="AN29" s="395"/>
      <c r="AO29" s="424"/>
      <c r="AP29" s="424"/>
      <c r="AQ29" s="431"/>
      <c r="AR29" s="431"/>
      <c r="AS29" s="431"/>
      <c r="AT29" s="431"/>
      <c r="AU29" s="431"/>
      <c r="AV29" s="431"/>
      <c r="AW29" s="431"/>
      <c r="AX29" s="431"/>
      <c r="AY29" s="431"/>
      <c r="AZ29" s="398"/>
    </row>
    <row r="30" ht="15.75" customHeight="1" spans="1:55">
      <c r="A30" s="152"/>
      <c r="B30" s="197" t="s">
        <v>112</v>
      </c>
      <c r="C30" s="197"/>
      <c r="D30" s="212"/>
      <c r="E30" s="212" t="str">
        <f>BC17</f>
        <v>CAPT. AUDI PRADHIPTO BRASALI</v>
      </c>
      <c r="F30" s="154"/>
      <c r="G30" s="154"/>
      <c r="H30" s="154"/>
      <c r="I30" s="154"/>
      <c r="J30" s="154"/>
      <c r="K30" s="154"/>
      <c r="L30" s="154"/>
      <c r="M30" s="156"/>
      <c r="N30" s="395"/>
      <c r="O30" s="424" t="s">
        <v>112</v>
      </c>
      <c r="P30" s="424"/>
      <c r="Q30" s="431"/>
      <c r="R30" s="468" t="str">
        <f>E30</f>
        <v>CAPT. AUDI PRADHIPTO BRASALI</v>
      </c>
      <c r="S30" s="468"/>
      <c r="T30" s="468"/>
      <c r="U30" s="468"/>
      <c r="V30" s="468"/>
      <c r="W30" s="468"/>
      <c r="X30" s="468"/>
      <c r="Y30" s="431"/>
      <c r="Z30" s="398"/>
      <c r="AA30" s="395"/>
      <c r="AB30" s="424" t="s">
        <v>112</v>
      </c>
      <c r="AC30" s="424"/>
      <c r="AD30" s="431"/>
      <c r="AE30" s="468" t="str">
        <f>R30</f>
        <v>CAPT. AUDI PRADHIPTO BRASALI</v>
      </c>
      <c r="AF30" s="468"/>
      <c r="AG30" s="468"/>
      <c r="AH30" s="468"/>
      <c r="AI30" s="468"/>
      <c r="AJ30" s="468"/>
      <c r="AK30" s="468"/>
      <c r="AL30" s="431"/>
      <c r="AM30" s="398"/>
      <c r="AN30" s="395"/>
      <c r="AO30" s="424" t="s">
        <v>112</v>
      </c>
      <c r="AP30" s="424"/>
      <c r="AQ30" s="431"/>
      <c r="AR30" s="468" t="str">
        <f>AE30</f>
        <v>CAPT. AUDI PRADHIPTO BRASALI</v>
      </c>
      <c r="AS30" s="468"/>
      <c r="AT30" s="468"/>
      <c r="AU30" s="468"/>
      <c r="AV30" s="468"/>
      <c r="AW30" s="468"/>
      <c r="AX30" s="468"/>
      <c r="AY30" s="431"/>
      <c r="AZ30" s="398"/>
    </row>
    <row r="31" ht="59.25" customHeight="1" spans="1:55">
      <c r="A31" s="152"/>
      <c r="B31" s="197"/>
      <c r="C31" s="197"/>
      <c r="D31" s="198" t="s">
        <v>113</v>
      </c>
      <c r="E31" s="154"/>
      <c r="F31" s="154"/>
      <c r="G31" s="154"/>
      <c r="H31" s="154"/>
      <c r="I31" s="154"/>
      <c r="J31" s="212"/>
      <c r="K31" s="212"/>
      <c r="L31" s="212"/>
      <c r="M31" s="156"/>
      <c r="N31" s="395"/>
      <c r="O31" s="424"/>
      <c r="P31" s="424"/>
      <c r="Q31" s="425" t="s">
        <v>113</v>
      </c>
      <c r="R31" s="154"/>
      <c r="S31" s="154"/>
      <c r="T31" s="154"/>
      <c r="U31" s="154"/>
      <c r="V31" s="154"/>
      <c r="W31" s="431"/>
      <c r="X31" s="431"/>
      <c r="Y31" s="431"/>
      <c r="Z31" s="398"/>
      <c r="AA31" s="395"/>
      <c r="AB31" s="424"/>
      <c r="AC31" s="424"/>
      <c r="AD31" s="425" t="s">
        <v>113</v>
      </c>
      <c r="AE31" s="154"/>
      <c r="AF31" s="154"/>
      <c r="AG31" s="154"/>
      <c r="AH31" s="154"/>
      <c r="AI31" s="154"/>
      <c r="AJ31" s="431"/>
      <c r="AK31" s="431"/>
      <c r="AL31" s="431"/>
      <c r="AM31" s="398"/>
      <c r="AN31" s="395"/>
      <c r="AO31" s="424"/>
      <c r="AP31" s="424"/>
      <c r="AQ31" s="425" t="s">
        <v>113</v>
      </c>
      <c r="AR31" s="154"/>
      <c r="AS31" s="154"/>
      <c r="AT31" s="154"/>
      <c r="AU31" s="154"/>
      <c r="AV31" s="154"/>
      <c r="AW31" s="431"/>
      <c r="AX31" s="431"/>
      <c r="AY31" s="431"/>
      <c r="AZ31" s="398"/>
    </row>
    <row r="32" ht="15.75" customHeight="1" spans="1:55">
      <c r="A32" s="152"/>
      <c r="B32" s="197"/>
      <c r="C32" s="197"/>
      <c r="D32" s="212"/>
      <c r="E32" s="212"/>
      <c r="F32" s="212"/>
      <c r="G32" s="212"/>
      <c r="H32" s="212"/>
      <c r="I32" s="212"/>
      <c r="J32" s="212"/>
      <c r="K32" s="212"/>
      <c r="L32" s="212"/>
      <c r="M32" s="156"/>
      <c r="N32" s="395"/>
      <c r="O32" s="424"/>
      <c r="P32" s="424"/>
      <c r="Q32" s="431"/>
      <c r="R32" s="431"/>
      <c r="S32" s="431"/>
      <c r="T32" s="431"/>
      <c r="U32" s="431"/>
      <c r="V32" s="431"/>
      <c r="W32" s="431"/>
      <c r="X32" s="431"/>
      <c r="Y32" s="431"/>
      <c r="Z32" s="398"/>
      <c r="AA32" s="395"/>
      <c r="AB32" s="424"/>
      <c r="AC32" s="424"/>
      <c r="AD32" s="431"/>
      <c r="AE32" s="431"/>
      <c r="AF32" s="431"/>
      <c r="AG32" s="431"/>
      <c r="AH32" s="431"/>
      <c r="AI32" s="431"/>
      <c r="AJ32" s="431"/>
      <c r="AK32" s="431"/>
      <c r="AL32" s="431"/>
      <c r="AM32" s="398"/>
      <c r="AN32" s="395"/>
      <c r="AO32" s="424"/>
      <c r="AP32" s="424"/>
      <c r="AQ32" s="431"/>
      <c r="AR32" s="431"/>
      <c r="AS32" s="431"/>
      <c r="AT32" s="431"/>
      <c r="AU32" s="431"/>
      <c r="AV32" s="431"/>
      <c r="AW32" s="431"/>
      <c r="AX32" s="431"/>
      <c r="AY32" s="431"/>
      <c r="AZ32" s="398"/>
    </row>
    <row r="33" ht="15.75" customHeight="1" spans="1:52">
      <c r="A33" s="152"/>
      <c r="B33" s="197"/>
      <c r="C33" s="197"/>
      <c r="D33" s="212"/>
      <c r="E33" s="212"/>
      <c r="F33" s="212"/>
      <c r="G33" s="212"/>
      <c r="H33" s="212"/>
      <c r="I33" s="212"/>
      <c r="J33" s="212"/>
      <c r="K33" s="212"/>
      <c r="L33" s="212"/>
      <c r="M33" s="156"/>
      <c r="N33" s="395"/>
      <c r="O33" s="424"/>
      <c r="P33" s="424"/>
      <c r="Q33" s="431"/>
      <c r="R33" s="431"/>
      <c r="S33" s="431"/>
      <c r="T33" s="431"/>
      <c r="U33" s="431"/>
      <c r="V33" s="431"/>
      <c r="W33" s="431"/>
      <c r="X33" s="431"/>
      <c r="Y33" s="431"/>
      <c r="Z33" s="398"/>
      <c r="AA33" s="395"/>
      <c r="AB33" s="424"/>
      <c r="AC33" s="424"/>
      <c r="AD33" s="431"/>
      <c r="AE33" s="431"/>
      <c r="AF33" s="431"/>
      <c r="AG33" s="431"/>
      <c r="AH33" s="431"/>
      <c r="AI33" s="431"/>
      <c r="AJ33" s="431"/>
      <c r="AK33" s="431"/>
      <c r="AL33" s="431"/>
      <c r="AM33" s="398"/>
      <c r="AN33" s="395"/>
      <c r="AO33" s="424"/>
      <c r="AP33" s="424"/>
      <c r="AQ33" s="431"/>
      <c r="AR33" s="431"/>
      <c r="AS33" s="431"/>
      <c r="AT33" s="431"/>
      <c r="AU33" s="431"/>
      <c r="AV33" s="431"/>
      <c r="AW33" s="431"/>
      <c r="AX33" s="431"/>
      <c r="AY33" s="431"/>
      <c r="AZ33" s="398"/>
    </row>
    <row r="34" ht="15.75" customHeight="1" spans="1:52">
      <c r="A34" s="152"/>
      <c r="B34" s="197" t="s">
        <v>114</v>
      </c>
      <c r="C34" s="197"/>
      <c r="D34" s="265">
        <f>BC11</f>
        <v>0</v>
      </c>
      <c r="E34" s="154"/>
      <c r="F34" s="154"/>
      <c r="G34" s="212" t="s">
        <v>115</v>
      </c>
      <c r="H34" s="212"/>
      <c r="I34" s="212"/>
      <c r="J34" s="212"/>
      <c r="K34" s="212"/>
      <c r="L34" s="212"/>
      <c r="M34" s="156"/>
      <c r="N34" s="395"/>
      <c r="O34" s="424" t="s">
        <v>114</v>
      </c>
      <c r="P34" s="424"/>
      <c r="Q34" s="469">
        <f>BC12</f>
        <v>0</v>
      </c>
      <c r="R34" s="154"/>
      <c r="S34" s="154"/>
      <c r="T34" s="431" t="s">
        <v>115</v>
      </c>
      <c r="U34" s="431"/>
      <c r="V34" s="431"/>
      <c r="W34" s="431"/>
      <c r="X34" s="431"/>
      <c r="Y34" s="431"/>
      <c r="Z34" s="398"/>
      <c r="AA34" s="395"/>
      <c r="AB34" s="424" t="s">
        <v>114</v>
      </c>
      <c r="AC34" s="424"/>
      <c r="AD34" s="469">
        <f>BC13</f>
        <v>0</v>
      </c>
      <c r="AE34" s="154"/>
      <c r="AF34" s="154"/>
      <c r="AG34" s="431" t="s">
        <v>115</v>
      </c>
      <c r="AH34" s="431"/>
      <c r="AI34" s="431"/>
      <c r="AJ34" s="431"/>
      <c r="AK34" s="431"/>
      <c r="AL34" s="431"/>
      <c r="AM34" s="398"/>
      <c r="AN34" s="395"/>
      <c r="AO34" s="424" t="s">
        <v>114</v>
      </c>
      <c r="AP34" s="424"/>
      <c r="AQ34" s="469">
        <f>BC14</f>
        <v>0</v>
      </c>
      <c r="AR34" s="154"/>
      <c r="AS34" s="154"/>
      <c r="AT34" s="431" t="s">
        <v>115</v>
      </c>
      <c r="AU34" s="431"/>
      <c r="AV34" s="431"/>
      <c r="AW34" s="431"/>
      <c r="AX34" s="431"/>
      <c r="AY34" s="431"/>
      <c r="AZ34" s="398"/>
    </row>
    <row r="35" ht="95.25" customHeight="1" spans="1:52">
      <c r="A35" s="267"/>
      <c r="B35" s="268"/>
      <c r="C35" s="268"/>
      <c r="D35" s="269"/>
      <c r="E35" s="269"/>
      <c r="F35" s="269"/>
      <c r="G35" s="269"/>
      <c r="H35" s="269"/>
      <c r="I35" s="269"/>
      <c r="J35" s="269"/>
      <c r="K35" s="269"/>
      <c r="L35" s="269"/>
      <c r="M35" s="270"/>
      <c r="N35" s="470"/>
      <c r="O35" s="471"/>
      <c r="P35" s="471"/>
      <c r="Q35" s="472"/>
      <c r="R35" s="472"/>
      <c r="S35" s="472"/>
      <c r="T35" s="472"/>
      <c r="U35" s="472"/>
      <c r="V35" s="472"/>
      <c r="W35" s="472"/>
      <c r="X35" s="472"/>
      <c r="Y35" s="472"/>
      <c r="Z35" s="473"/>
      <c r="AA35" s="470"/>
      <c r="AB35" s="471"/>
      <c r="AC35" s="471"/>
      <c r="AD35" s="472"/>
      <c r="AE35" s="472"/>
      <c r="AF35" s="472"/>
      <c r="AG35" s="472"/>
      <c r="AH35" s="472"/>
      <c r="AI35" s="472"/>
      <c r="AJ35" s="472"/>
      <c r="AK35" s="472"/>
      <c r="AL35" s="472"/>
      <c r="AM35" s="473"/>
      <c r="AN35" s="470"/>
      <c r="AO35" s="471"/>
      <c r="AP35" s="471"/>
      <c r="AQ35" s="472"/>
      <c r="AR35" s="472"/>
      <c r="AS35" s="472"/>
      <c r="AT35" s="472"/>
      <c r="AU35" s="472"/>
      <c r="AV35" s="472"/>
      <c r="AW35" s="472"/>
      <c r="AX35" s="472"/>
      <c r="AY35" s="472"/>
      <c r="AZ35" s="473"/>
    </row>
    <row r="36" ht="15.75" customHeight="1"/>
    <row r="37" ht="15.75" customHeight="1" spans="1:52">
      <c r="A37" s="52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2">
    <mergeCell ref="A2:F2"/>
    <mergeCell ref="N2:S2"/>
    <mergeCell ref="AA2:AF2"/>
    <mergeCell ref="AN2:AS2"/>
    <mergeCell ref="BH2:BI2"/>
    <mergeCell ref="BH3:BI3"/>
    <mergeCell ref="B4:F4"/>
    <mergeCell ref="J4:L4"/>
    <mergeCell ref="O4:S4"/>
    <mergeCell ref="W4:Y4"/>
    <mergeCell ref="AB4:AF4"/>
    <mergeCell ref="AJ4:AL4"/>
    <mergeCell ref="AO4:AS4"/>
    <mergeCell ref="AW4:AY4"/>
    <mergeCell ref="B6:D6"/>
    <mergeCell ref="E6:F6"/>
    <mergeCell ref="H6:L6"/>
    <mergeCell ref="O6:Q6"/>
    <mergeCell ref="R6:S6"/>
    <mergeCell ref="U6:Y6"/>
    <mergeCell ref="AB6:AD6"/>
    <mergeCell ref="AE6:AF6"/>
    <mergeCell ref="AH6:AL6"/>
    <mergeCell ref="AO6:AQ6"/>
    <mergeCell ref="AR6:AS6"/>
    <mergeCell ref="AU6:AY6"/>
    <mergeCell ref="B7:D7"/>
    <mergeCell ref="E7:F7"/>
    <mergeCell ref="H7:L7"/>
    <mergeCell ref="O7:Q7"/>
    <mergeCell ref="R7:S7"/>
    <mergeCell ref="U7:Y7"/>
    <mergeCell ref="AB7:AD7"/>
    <mergeCell ref="AE7:AF7"/>
    <mergeCell ref="AH7:AL7"/>
    <mergeCell ref="AO7:AQ7"/>
    <mergeCell ref="AR7:AS7"/>
    <mergeCell ref="AU7:AY7"/>
    <mergeCell ref="B8:D8"/>
    <mergeCell ref="E8:F8"/>
    <mergeCell ref="H8:L8"/>
    <mergeCell ref="O8:Q8"/>
    <mergeCell ref="R8:S8"/>
    <mergeCell ref="U8:Y8"/>
    <mergeCell ref="AB8:AD8"/>
    <mergeCell ref="AE8:AF8"/>
    <mergeCell ref="AH8:AL8"/>
    <mergeCell ref="AO8:AQ8"/>
    <mergeCell ref="AR8:AS8"/>
    <mergeCell ref="AU8:AY8"/>
    <mergeCell ref="B9:D9"/>
    <mergeCell ref="E9:F9"/>
    <mergeCell ref="H9:L9"/>
    <mergeCell ref="O9:Q9"/>
    <mergeCell ref="R9:S9"/>
    <mergeCell ref="U9:Y9"/>
    <mergeCell ref="AB9:AD9"/>
    <mergeCell ref="AE9:AF9"/>
    <mergeCell ref="AH9:AL9"/>
    <mergeCell ref="AO9:AQ9"/>
    <mergeCell ref="AR9:AS9"/>
    <mergeCell ref="AU9:AY9"/>
    <mergeCell ref="G11:L11"/>
    <mergeCell ref="T11:Y11"/>
    <mergeCell ref="AG11:AL11"/>
    <mergeCell ref="AT11:AY11"/>
    <mergeCell ref="G12:L12"/>
    <mergeCell ref="T12:Y12"/>
    <mergeCell ref="AG12:AL12"/>
    <mergeCell ref="AT12:AY12"/>
    <mergeCell ref="G13:L13"/>
    <mergeCell ref="T13:Y13"/>
    <mergeCell ref="AG13:AL13"/>
    <mergeCell ref="AT13:AY13"/>
    <mergeCell ref="I15:L15"/>
    <mergeCell ref="V15:Y15"/>
    <mergeCell ref="AI15:AL15"/>
    <mergeCell ref="AV15:AY15"/>
    <mergeCell ref="E16:H16"/>
    <mergeCell ref="I16:L16"/>
    <mergeCell ref="R16:U16"/>
    <mergeCell ref="V16:Y16"/>
    <mergeCell ref="AE16:AH16"/>
    <mergeCell ref="AI16:AL16"/>
    <mergeCell ref="AR16:AU16"/>
    <mergeCell ref="AV16:AY16"/>
    <mergeCell ref="G17:L17"/>
    <mergeCell ref="T17:Y17"/>
    <mergeCell ref="AG17:AL17"/>
    <mergeCell ref="AT17:AY17"/>
    <mergeCell ref="G19:L19"/>
    <mergeCell ref="T19:Y19"/>
    <mergeCell ref="AG19:AL19"/>
    <mergeCell ref="AT19:AY19"/>
    <mergeCell ref="G20:L20"/>
    <mergeCell ref="T20:Y20"/>
    <mergeCell ref="AG20:AL20"/>
    <mergeCell ref="AT20:AY20"/>
    <mergeCell ref="G21:L21"/>
    <mergeCell ref="T21:Y21"/>
    <mergeCell ref="AG21:AL21"/>
    <mergeCell ref="AT21:AY21"/>
    <mergeCell ref="G22:L22"/>
    <mergeCell ref="T22:Y22"/>
    <mergeCell ref="AG22:AL22"/>
    <mergeCell ref="AT22:AY22"/>
    <mergeCell ref="G23:L23"/>
    <mergeCell ref="T23:Y23"/>
    <mergeCell ref="AG23:AL23"/>
    <mergeCell ref="AT23:AY23"/>
    <mergeCell ref="G25:L25"/>
    <mergeCell ref="T25:Y25"/>
    <mergeCell ref="AG25:AL25"/>
    <mergeCell ref="AT25:AY25"/>
    <mergeCell ref="G26:L26"/>
    <mergeCell ref="T26:Y26"/>
    <mergeCell ref="AG26:AL26"/>
    <mergeCell ref="AT26:AY26"/>
    <mergeCell ref="G27:L27"/>
    <mergeCell ref="T27:Y27"/>
    <mergeCell ref="AG27:AL27"/>
    <mergeCell ref="AT27:AY27"/>
    <mergeCell ref="E30:L30"/>
    <mergeCell ref="D31:I31"/>
    <mergeCell ref="Q31:V31"/>
    <mergeCell ref="AD31:AI31"/>
    <mergeCell ref="AQ31:AV31"/>
    <mergeCell ref="D34:F34"/>
    <mergeCell ref="Q34:S34"/>
    <mergeCell ref="AD34:AF34"/>
    <mergeCell ref="AQ34:AS34"/>
    <mergeCell ref="A37:B37"/>
  </mergeCells>
  <pageMargins left="0.156944444444444" right="0.0388888888888889" top="0.196527777777778" bottom="0.0784722222222222" header="0" footer="0"/>
  <pageSetup paperSize="9" orientation="landscape"/>
  <headerFooter/>
  <colBreaks count="1" manualBreakCount="1">
    <brk id="52" max="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Z1000"/>
  <sheetViews>
    <sheetView workbookViewId="0">
      <selection activeCell="A1" sqref="A1"/>
    </sheetView>
  </sheetViews>
  <sheetFormatPr defaultColWidth="12.6271186440678" defaultRowHeight="15" customHeight="1"/>
  <cols>
    <col min="1" max="1" width="1.88135593220339" customWidth="1"/>
    <col min="2" max="2" width="10.3813559322034" customWidth="1"/>
    <col min="3" max="3" width="11.1271186440678" customWidth="1"/>
    <col min="4" max="4" width="9" customWidth="1"/>
    <col min="5" max="5" width="10.5" customWidth="1"/>
    <col min="6" max="6" width="17.1271186440678" customWidth="1"/>
    <col min="7" max="7" width="8.25423728813559" customWidth="1"/>
    <col min="8" max="8" width="11.5" customWidth="1"/>
    <col min="9" max="9" width="7" customWidth="1"/>
    <col min="10" max="10" width="8.75423728813559" customWidth="1"/>
    <col min="11" max="12" width="9.5" customWidth="1"/>
    <col min="13" max="13" width="10.2542372881356" customWidth="1"/>
    <col min="14" max="14" width="8.38135593220339" customWidth="1"/>
    <col min="15" max="15" width="11.1271186440678" customWidth="1"/>
    <col min="16" max="16" width="13.1271186440678" customWidth="1"/>
    <col min="17" max="17" width="2.5" customWidth="1"/>
    <col min="18" max="18" width="11.1271186440678" customWidth="1"/>
    <col min="19" max="19" width="7.6271186440678" customWidth="1"/>
    <col min="20" max="20" width="2.1271186440678" customWidth="1"/>
    <col min="21" max="26" width="11.5" customWidth="1"/>
  </cols>
  <sheetData>
    <row r="1" ht="15.75" customHeight="1" spans="1:26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67.5" customHeight="1" spans="1:26">
      <c r="A2" s="63"/>
      <c r="B2" s="64" t="s">
        <v>28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  <c r="T2" s="63" t="s">
        <v>29</v>
      </c>
      <c r="U2" s="63"/>
      <c r="V2" s="63"/>
      <c r="W2" s="63"/>
      <c r="X2" s="63"/>
      <c r="Y2" s="63"/>
      <c r="Z2" s="63"/>
    </row>
    <row r="3" ht="22.5" customHeight="1" spans="1:26">
      <c r="A3" s="63"/>
      <c r="B3" s="67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8"/>
      <c r="T3" s="63"/>
      <c r="U3" s="63"/>
      <c r="V3" s="63"/>
      <c r="W3" s="63"/>
      <c r="X3" s="63"/>
      <c r="Y3" s="63"/>
      <c r="Z3" s="63"/>
    </row>
    <row r="4" ht="18.75" customHeight="1" spans="1:26">
      <c r="A4" s="63"/>
      <c r="B4" s="69" t="s">
        <v>30</v>
      </c>
      <c r="C4" s="70" t="s">
        <v>180</v>
      </c>
      <c r="D4" s="71"/>
      <c r="E4" s="72"/>
      <c r="F4" s="349" t="s">
        <v>32</v>
      </c>
      <c r="G4" s="350" t="s">
        <v>33</v>
      </c>
      <c r="H4" s="351"/>
      <c r="I4" s="73" t="s">
        <v>34</v>
      </c>
      <c r="J4" s="350" t="s">
        <v>44</v>
      </c>
      <c r="K4" s="76"/>
      <c r="L4" s="76"/>
      <c r="M4" s="349" t="s">
        <v>36</v>
      </c>
      <c r="N4" s="350" t="str">
        <f>'260'!BH11</f>
        <v>WMKJ</v>
      </c>
      <c r="O4" s="76"/>
      <c r="P4" s="352" t="s">
        <v>37</v>
      </c>
      <c r="Q4" s="353"/>
      <c r="R4" s="74">
        <f>'260'!BC19</f>
        <v>71119</v>
      </c>
      <c r="S4" s="354"/>
      <c r="T4" s="63"/>
      <c r="U4" s="63"/>
      <c r="V4" s="63"/>
      <c r="W4" s="63"/>
      <c r="X4" s="63"/>
      <c r="Y4" s="63"/>
      <c r="Z4" s="63"/>
    </row>
    <row r="5" ht="6" customHeight="1" spans="1:26">
      <c r="A5" s="63"/>
      <c r="B5" s="69"/>
      <c r="C5" s="78"/>
      <c r="D5" s="78"/>
      <c r="E5" s="78"/>
      <c r="F5" s="76"/>
      <c r="G5" s="76"/>
      <c r="H5" s="76"/>
      <c r="I5" s="76"/>
      <c r="J5" s="76"/>
      <c r="K5" s="76"/>
      <c r="L5" s="76"/>
      <c r="M5" s="349"/>
      <c r="N5" s="76"/>
      <c r="O5" s="76"/>
      <c r="P5" s="77"/>
      <c r="Q5" s="76"/>
      <c r="R5" s="82"/>
      <c r="S5" s="354"/>
      <c r="T5" s="63"/>
      <c r="U5" s="63"/>
      <c r="V5" s="63"/>
      <c r="W5" s="63"/>
      <c r="X5" s="63"/>
      <c r="Y5" s="63"/>
      <c r="Z5" s="63"/>
    </row>
    <row r="6" ht="18.75" customHeight="1" spans="1:26">
      <c r="A6" s="63"/>
      <c r="B6" s="69" t="s">
        <v>38</v>
      </c>
      <c r="C6" s="80">
        <f ca="1">TODAY()</f>
        <v>46283</v>
      </c>
      <c r="D6" s="71"/>
      <c r="E6" s="72"/>
      <c r="F6" s="355" t="s">
        <v>39</v>
      </c>
      <c r="G6" s="356" t="str">
        <f>J4</f>
        <v>WSSS</v>
      </c>
      <c r="H6" s="357"/>
      <c r="I6" s="355" t="s">
        <v>40</v>
      </c>
      <c r="J6" s="356" t="s">
        <v>33</v>
      </c>
      <c r="K6" s="358"/>
      <c r="L6" s="358"/>
      <c r="M6" s="355" t="s">
        <v>36</v>
      </c>
      <c r="N6" s="356" t="str">
        <f>'260'!BH12</f>
        <v>WIPP</v>
      </c>
      <c r="O6" s="358"/>
      <c r="P6" s="359" t="s">
        <v>37</v>
      </c>
      <c r="Q6" s="358"/>
      <c r="R6" s="356">
        <f>'260'!BC20</f>
        <v>71120</v>
      </c>
      <c r="S6" s="354"/>
      <c r="T6" s="63"/>
      <c r="U6" s="63"/>
      <c r="V6" s="63"/>
      <c r="W6" s="63"/>
      <c r="X6" s="63"/>
      <c r="Y6" s="63"/>
      <c r="Z6" s="63"/>
    </row>
    <row r="7" ht="6" customHeight="1" spans="1:26">
      <c r="A7" s="63"/>
      <c r="B7" s="69"/>
      <c r="C7" s="360"/>
      <c r="D7" s="82"/>
      <c r="E7" s="82"/>
      <c r="F7" s="358"/>
      <c r="G7" s="358"/>
      <c r="H7" s="358"/>
      <c r="I7" s="358"/>
      <c r="J7" s="358"/>
      <c r="K7" s="358"/>
      <c r="L7" s="358"/>
      <c r="M7" s="358"/>
      <c r="N7" s="358"/>
      <c r="O7" s="358"/>
      <c r="P7" s="359"/>
      <c r="Q7" s="358"/>
      <c r="R7" s="361"/>
      <c r="S7" s="354"/>
      <c r="T7" s="63"/>
      <c r="U7" s="63"/>
      <c r="V7" s="63"/>
      <c r="W7" s="63"/>
      <c r="X7" s="63"/>
      <c r="Y7" s="63"/>
      <c r="Z7" s="63"/>
    </row>
    <row r="8" ht="18.75" customHeight="1" spans="1:26">
      <c r="A8" s="63"/>
      <c r="B8" s="69" t="s">
        <v>41</v>
      </c>
      <c r="C8" s="83" t="str">
        <f>'260'!BB3</f>
        <v>PKAZK</v>
      </c>
      <c r="D8" s="362"/>
      <c r="E8" s="82"/>
      <c r="F8" s="363" t="s">
        <v>42</v>
      </c>
      <c r="G8" s="364" t="str">
        <f>J6</f>
        <v>WIII</v>
      </c>
      <c r="H8" s="365"/>
      <c r="I8" s="363" t="s">
        <v>43</v>
      </c>
      <c r="J8" s="364" t="s">
        <v>52</v>
      </c>
      <c r="K8" s="366"/>
      <c r="L8" s="366"/>
      <c r="M8" s="363" t="s">
        <v>36</v>
      </c>
      <c r="N8" s="364">
        <f>'260'!BH13</f>
        <v>0</v>
      </c>
      <c r="O8" s="366"/>
      <c r="P8" s="367" t="s">
        <v>37</v>
      </c>
      <c r="Q8" s="366"/>
      <c r="R8" s="364">
        <f>'260'!BC21</f>
        <v>0</v>
      </c>
      <c r="S8" s="354"/>
      <c r="T8" s="63"/>
      <c r="U8" s="63"/>
      <c r="V8" s="63"/>
      <c r="W8" s="63"/>
      <c r="X8" s="63"/>
      <c r="Y8" s="63"/>
      <c r="Z8" s="63"/>
    </row>
    <row r="9" ht="5.25" customHeight="1" spans="1:26">
      <c r="A9" s="63"/>
      <c r="B9" s="90"/>
      <c r="C9" s="82"/>
      <c r="D9" s="82"/>
      <c r="E9" s="82"/>
      <c r="F9" s="368"/>
      <c r="G9" s="368"/>
      <c r="H9" s="366"/>
      <c r="I9" s="368"/>
      <c r="J9" s="366"/>
      <c r="K9" s="368"/>
      <c r="L9" s="368"/>
      <c r="M9" s="366"/>
      <c r="N9" s="366"/>
      <c r="O9" s="366"/>
      <c r="P9" s="367"/>
      <c r="Q9" s="366"/>
      <c r="R9" s="369"/>
      <c r="S9" s="354"/>
      <c r="T9" s="63"/>
      <c r="U9" s="63"/>
      <c r="V9" s="63"/>
      <c r="W9" s="63"/>
      <c r="X9" s="63"/>
      <c r="Y9" s="63"/>
      <c r="Z9" s="63"/>
    </row>
    <row r="10" ht="15.75" customHeight="1" spans="1:26">
      <c r="A10" s="63"/>
      <c r="B10" s="93"/>
      <c r="C10" s="82"/>
      <c r="D10" s="82"/>
      <c r="E10" s="82"/>
      <c r="F10" s="363" t="s">
        <v>46</v>
      </c>
      <c r="G10" s="364" t="str">
        <f>J8</f>
        <v>WMKJ</v>
      </c>
      <c r="H10" s="365"/>
      <c r="I10" s="363" t="s">
        <v>47</v>
      </c>
      <c r="J10" s="364" t="s">
        <v>33</v>
      </c>
      <c r="K10" s="366"/>
      <c r="L10" s="366"/>
      <c r="M10" s="363" t="s">
        <v>36</v>
      </c>
      <c r="N10" s="364">
        <f>'260'!BH14</f>
        <v>4</v>
      </c>
      <c r="O10" s="366"/>
      <c r="P10" s="367" t="s">
        <v>37</v>
      </c>
      <c r="Q10" s="366"/>
      <c r="R10" s="364">
        <f>'260'!BC22</f>
        <v>0</v>
      </c>
      <c r="S10" s="354"/>
      <c r="T10" s="63"/>
      <c r="U10" s="63"/>
      <c r="V10" s="63"/>
      <c r="W10" s="63"/>
      <c r="X10" s="63"/>
      <c r="Y10" s="63"/>
      <c r="Z10" s="63"/>
    </row>
    <row r="11" ht="6" customHeight="1" spans="1:26">
      <c r="A11" s="63"/>
      <c r="B11" s="93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354"/>
      <c r="T11" s="63"/>
      <c r="U11" s="63"/>
      <c r="V11" s="63"/>
      <c r="W11" s="63"/>
      <c r="X11" s="63"/>
      <c r="Y11" s="63"/>
      <c r="Z11" s="63"/>
    </row>
    <row r="12" ht="18.75" customHeight="1" spans="1:26">
      <c r="A12" s="63"/>
      <c r="B12" s="93"/>
      <c r="C12" s="82" t="s">
        <v>48</v>
      </c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94"/>
      <c r="S12" s="354"/>
      <c r="T12" s="63"/>
      <c r="U12" s="63"/>
      <c r="V12" s="63"/>
      <c r="W12" s="63"/>
      <c r="X12" s="63"/>
      <c r="Y12" s="63"/>
      <c r="Z12" s="63"/>
    </row>
    <row r="13" ht="90.75" customHeight="1" spans="1:26">
      <c r="A13" s="63"/>
      <c r="B13" s="93"/>
      <c r="C13" s="95" t="s">
        <v>33</v>
      </c>
      <c r="D13" s="96" t="e">
        <f>#REF!</f>
        <v>#REF!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8"/>
      <c r="S13" s="370"/>
      <c r="T13" s="63"/>
      <c r="U13" s="63"/>
      <c r="V13" s="63"/>
      <c r="W13" s="63"/>
      <c r="X13" s="63"/>
      <c r="Y13" s="63"/>
      <c r="Z13" s="63"/>
    </row>
    <row r="14" ht="58.5" customHeight="1" spans="1:26">
      <c r="A14" s="63"/>
      <c r="B14" s="93"/>
      <c r="C14" s="95" t="s">
        <v>44</v>
      </c>
      <c r="D14" s="96" t="e">
        <f>#REF!</f>
        <v>#REF!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8"/>
      <c r="S14" s="370"/>
      <c r="T14" s="63"/>
      <c r="U14" s="63"/>
      <c r="V14" s="63"/>
      <c r="W14" s="63"/>
      <c r="X14" s="63"/>
      <c r="Y14" s="63"/>
      <c r="Z14" s="63"/>
    </row>
    <row r="15" ht="87" customHeight="1" spans="1:26">
      <c r="A15" s="63"/>
      <c r="B15" s="93"/>
      <c r="C15" s="95" t="s">
        <v>52</v>
      </c>
      <c r="D15" s="96" t="e">
        <f>#REF!</f>
        <v>#REF!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  <c r="S15" s="370"/>
      <c r="T15" s="63"/>
      <c r="U15" s="63"/>
      <c r="V15" s="63"/>
      <c r="W15" s="63"/>
      <c r="X15" s="63"/>
      <c r="Y15" s="63"/>
      <c r="Z15" s="63"/>
    </row>
    <row r="16" ht="108" customHeight="1" spans="1:26">
      <c r="A16" s="63"/>
      <c r="B16" s="93"/>
      <c r="C16" s="95" t="s">
        <v>35</v>
      </c>
      <c r="D16" s="96" t="e">
        <f>#REF!</f>
        <v>#REF!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8"/>
      <c r="S16" s="370"/>
      <c r="T16" s="63"/>
      <c r="U16" s="63"/>
      <c r="V16" s="63"/>
      <c r="W16" s="63"/>
      <c r="X16" s="63"/>
      <c r="Y16" s="63"/>
      <c r="Z16" s="63"/>
    </row>
    <row r="17" ht="60" customHeight="1" spans="1:26">
      <c r="A17" s="63"/>
      <c r="B17" s="93"/>
      <c r="C17" s="95" t="s">
        <v>55</v>
      </c>
      <c r="D17" s="96" t="e">
        <f>#REF!</f>
        <v>#REF!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8"/>
      <c r="S17" s="371"/>
      <c r="T17" s="63"/>
      <c r="U17" s="63"/>
      <c r="V17" s="63"/>
      <c r="W17" s="63"/>
      <c r="X17" s="63"/>
      <c r="Y17" s="63"/>
      <c r="Z17" s="63"/>
    </row>
    <row r="18" ht="15.75" customHeight="1" spans="1:26">
      <c r="A18" s="63"/>
      <c r="B18" s="93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101"/>
      <c r="S18" s="354"/>
      <c r="T18" s="63"/>
      <c r="U18" s="63"/>
      <c r="V18" s="63"/>
      <c r="W18" s="63"/>
      <c r="X18" s="63"/>
      <c r="Y18" s="63"/>
      <c r="Z18" s="63"/>
    </row>
    <row r="19" ht="15.75" customHeight="1" spans="1:26">
      <c r="A19" s="63"/>
      <c r="B19" s="93"/>
      <c r="C19" s="102"/>
      <c r="D19" s="102" t="s">
        <v>57</v>
      </c>
      <c r="E19" s="102" t="s">
        <v>58</v>
      </c>
      <c r="F19" s="103" t="s">
        <v>59</v>
      </c>
      <c r="G19" s="104"/>
      <c r="H19" s="104"/>
      <c r="I19" s="104"/>
      <c r="J19" s="105"/>
      <c r="K19" s="102" t="s">
        <v>57</v>
      </c>
      <c r="L19" s="102" t="s">
        <v>57</v>
      </c>
      <c r="M19" s="102" t="s">
        <v>58</v>
      </c>
      <c r="N19" s="103" t="s">
        <v>59</v>
      </c>
      <c r="O19" s="104"/>
      <c r="P19" s="104"/>
      <c r="Q19" s="104"/>
      <c r="R19" s="105"/>
      <c r="S19" s="372"/>
      <c r="T19" s="63"/>
      <c r="U19" s="63"/>
      <c r="V19" s="63"/>
      <c r="W19" s="63"/>
      <c r="X19" s="63"/>
      <c r="Y19" s="63"/>
      <c r="Z19" s="63"/>
    </row>
    <row r="20" ht="15.75" customHeight="1" spans="1:26">
      <c r="A20" s="63"/>
      <c r="B20" s="93"/>
      <c r="C20" s="107"/>
      <c r="D20" s="108" t="s">
        <v>60</v>
      </c>
      <c r="E20" s="107"/>
      <c r="F20" s="109"/>
      <c r="G20" s="20"/>
      <c r="H20" s="20"/>
      <c r="I20" s="20"/>
      <c r="J20" s="110"/>
      <c r="K20" s="108" t="s">
        <v>60</v>
      </c>
      <c r="L20" s="108" t="s">
        <v>60</v>
      </c>
      <c r="M20" s="107"/>
      <c r="N20" s="109"/>
      <c r="O20" s="20"/>
      <c r="P20" s="20"/>
      <c r="Q20" s="20"/>
      <c r="R20" s="110"/>
      <c r="S20" s="372"/>
      <c r="T20" s="63"/>
      <c r="U20" s="63"/>
      <c r="V20" s="63"/>
      <c r="W20" s="63"/>
      <c r="X20" s="63"/>
      <c r="Y20" s="63"/>
      <c r="Z20" s="63"/>
    </row>
    <row r="21" ht="48" customHeight="1" spans="1:26">
      <c r="A21" s="63"/>
      <c r="B21" s="93"/>
      <c r="C21" s="38" t="s">
        <v>32</v>
      </c>
      <c r="D21" s="95" t="str">
        <f>G4</f>
        <v>WIII</v>
      </c>
      <c r="E21" s="117">
        <f>'260'!BE4</f>
        <v>0.381944444444444</v>
      </c>
      <c r="F21" s="112" t="s">
        <v>181</v>
      </c>
      <c r="G21" s="97"/>
      <c r="H21" s="97"/>
      <c r="I21" s="97"/>
      <c r="J21" s="98"/>
      <c r="K21" s="373" t="s">
        <v>42</v>
      </c>
      <c r="L21" s="374" t="str">
        <f>G8</f>
        <v>WIII</v>
      </c>
      <c r="M21" s="375">
        <f>'260'!BE6</f>
        <v>0.541666666666667</v>
      </c>
      <c r="N21" s="376"/>
      <c r="O21" s="97"/>
      <c r="P21" s="97"/>
      <c r="Q21" s="97"/>
      <c r="R21" s="98"/>
      <c r="S21" s="372"/>
      <c r="T21" s="63"/>
      <c r="U21" s="63"/>
      <c r="V21" s="63"/>
      <c r="W21" s="63"/>
      <c r="X21" s="63"/>
      <c r="Y21" s="63"/>
      <c r="Z21" s="63"/>
    </row>
    <row r="22" ht="51.75" customHeight="1" spans="1:26">
      <c r="A22" s="63"/>
      <c r="B22" s="93"/>
      <c r="C22" s="38" t="s">
        <v>34</v>
      </c>
      <c r="D22" s="95" t="str">
        <f>J4</f>
        <v>WSSS</v>
      </c>
      <c r="E22" s="117">
        <f>'260'!BF4</f>
        <v>0.458333333333333</v>
      </c>
      <c r="F22" s="112" t="s">
        <v>182</v>
      </c>
      <c r="G22" s="97"/>
      <c r="H22" s="97"/>
      <c r="I22" s="97"/>
      <c r="J22" s="98"/>
      <c r="K22" s="373" t="s">
        <v>43</v>
      </c>
      <c r="L22" s="374" t="str">
        <f>J8</f>
        <v>WMKJ</v>
      </c>
      <c r="M22" s="375">
        <f>'260'!BF6</f>
        <v>0.607638888888889</v>
      </c>
      <c r="N22" s="376"/>
      <c r="O22" s="97"/>
      <c r="P22" s="97"/>
      <c r="Q22" s="97"/>
      <c r="R22" s="98"/>
      <c r="S22" s="372"/>
      <c r="T22" s="63"/>
      <c r="U22" s="63"/>
      <c r="V22" s="63"/>
      <c r="W22" s="63"/>
      <c r="X22" s="63"/>
      <c r="Y22" s="63"/>
      <c r="Z22" s="63"/>
    </row>
    <row r="23" ht="45" customHeight="1" spans="1:26">
      <c r="A23" s="63"/>
      <c r="B23" s="93"/>
      <c r="C23" s="10" t="s">
        <v>39</v>
      </c>
      <c r="D23" s="377" t="str">
        <f>G6</f>
        <v>WSSS</v>
      </c>
      <c r="E23" s="378">
        <f>'260'!BE5</f>
        <v>0.486111111111111</v>
      </c>
      <c r="F23" s="379" t="s">
        <v>182</v>
      </c>
      <c r="G23" s="97"/>
      <c r="H23" s="97"/>
      <c r="I23" s="97"/>
      <c r="J23" s="98"/>
      <c r="K23" s="373" t="s">
        <v>46</v>
      </c>
      <c r="L23" s="380" t="str">
        <f>G10</f>
        <v>WMKJ</v>
      </c>
      <c r="M23" s="375">
        <f>'260'!BE7</f>
        <v>0.625</v>
      </c>
      <c r="N23" s="376"/>
      <c r="O23" s="97"/>
      <c r="P23" s="97"/>
      <c r="Q23" s="97"/>
      <c r="R23" s="98"/>
      <c r="S23" s="372"/>
      <c r="T23" s="63"/>
      <c r="U23" s="63"/>
      <c r="V23" s="63"/>
      <c r="W23" s="63"/>
      <c r="X23" s="63"/>
      <c r="Y23" s="63"/>
      <c r="Z23" s="63"/>
    </row>
    <row r="24" ht="45" customHeight="1" spans="1:26">
      <c r="A24" s="63"/>
      <c r="B24" s="93"/>
      <c r="C24" s="10" t="s">
        <v>40</v>
      </c>
      <c r="D24" s="381" t="str">
        <f>J6</f>
        <v>WIII</v>
      </c>
      <c r="E24" s="378">
        <f>'260'!BF5</f>
        <v>0.5625</v>
      </c>
      <c r="F24" s="379" t="s">
        <v>183</v>
      </c>
      <c r="G24" s="97"/>
      <c r="H24" s="97"/>
      <c r="I24" s="97"/>
      <c r="J24" s="98"/>
      <c r="K24" s="373" t="s">
        <v>47</v>
      </c>
      <c r="L24" s="374" t="str">
        <f>J10</f>
        <v>WIII</v>
      </c>
      <c r="M24" s="375">
        <f>'260'!BF7</f>
        <v>0.697916666666667</v>
      </c>
      <c r="N24" s="376"/>
      <c r="O24" s="97"/>
      <c r="P24" s="97"/>
      <c r="Q24" s="97"/>
      <c r="R24" s="98"/>
      <c r="S24" s="372"/>
      <c r="T24" s="63"/>
      <c r="U24" s="63"/>
      <c r="V24" s="63"/>
      <c r="W24" s="63"/>
      <c r="X24" s="63"/>
      <c r="Y24" s="63"/>
      <c r="Z24" s="63"/>
    </row>
    <row r="25" ht="31.5" customHeight="1" spans="1:26">
      <c r="A25" s="63"/>
      <c r="B25" s="93"/>
      <c r="C25" s="58"/>
      <c r="D25" s="58"/>
      <c r="E25" s="119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120"/>
      <c r="S25" s="372"/>
      <c r="T25" s="63"/>
      <c r="U25" s="63"/>
      <c r="V25" s="63"/>
      <c r="W25" s="63"/>
      <c r="X25" s="63"/>
      <c r="Y25" s="63"/>
      <c r="Z25" s="63"/>
    </row>
    <row r="26" ht="15.75" customHeight="1" spans="1:26">
      <c r="A26" s="63"/>
      <c r="B26" s="93"/>
      <c r="C26" s="102"/>
      <c r="D26" s="121" t="s">
        <v>57</v>
      </c>
      <c r="E26" s="103" t="s">
        <v>63</v>
      </c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5"/>
      <c r="S26" s="372"/>
      <c r="T26" s="63"/>
      <c r="U26" s="63"/>
      <c r="V26" s="63"/>
      <c r="W26" s="63"/>
      <c r="X26" s="63"/>
      <c r="Y26" s="63"/>
      <c r="Z26" s="63"/>
    </row>
    <row r="27" ht="15.75" customHeight="1" spans="1:26">
      <c r="A27" s="63"/>
      <c r="B27" s="93"/>
      <c r="C27" s="107"/>
      <c r="D27" s="122" t="s">
        <v>60</v>
      </c>
      <c r="E27" s="10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10"/>
      <c r="S27" s="372"/>
      <c r="T27" s="63"/>
      <c r="U27" s="63"/>
      <c r="V27" s="63"/>
      <c r="W27" s="63"/>
      <c r="X27" s="63"/>
      <c r="Y27" s="63"/>
      <c r="Z27" s="63"/>
    </row>
    <row r="28" ht="3" customHeight="1" spans="1:26">
      <c r="A28" s="63"/>
      <c r="B28" s="93"/>
      <c r="C28" s="123"/>
      <c r="D28" s="123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6"/>
      <c r="S28" s="382"/>
      <c r="T28" s="63"/>
      <c r="U28" s="63"/>
      <c r="V28" s="63"/>
      <c r="W28" s="63"/>
      <c r="X28" s="63"/>
      <c r="Y28" s="63"/>
      <c r="Z28" s="63"/>
    </row>
    <row r="29" ht="262.5" customHeight="1" spans="1:26">
      <c r="A29" s="63"/>
      <c r="B29" s="93"/>
      <c r="C29" s="383"/>
      <c r="D29" s="129" t="s">
        <v>33</v>
      </c>
      <c r="E29" s="130" t="e">
        <f>#REF!</f>
        <v>#REF!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8"/>
      <c r="S29" s="382"/>
      <c r="T29" s="63"/>
      <c r="U29" s="63"/>
      <c r="V29" s="63"/>
      <c r="W29" s="63"/>
      <c r="X29" s="63"/>
      <c r="Y29" s="63"/>
      <c r="Z29" s="63"/>
    </row>
    <row r="30" ht="303.75" customHeight="1" spans="1:26">
      <c r="A30" s="63"/>
      <c r="B30" s="93"/>
      <c r="C30" s="384"/>
      <c r="D30" s="95" t="s">
        <v>44</v>
      </c>
      <c r="E30" s="385" t="e">
        <f>#REF!</f>
        <v>#REF!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8"/>
      <c r="S30" s="382"/>
      <c r="T30" s="63"/>
      <c r="U30" s="63"/>
      <c r="V30" s="63"/>
      <c r="W30" s="63"/>
      <c r="X30" s="63"/>
      <c r="Y30" s="63"/>
      <c r="Z30" s="63"/>
    </row>
    <row r="31" ht="210.75" customHeight="1" spans="1:26">
      <c r="A31" s="63"/>
      <c r="B31" s="93"/>
      <c r="C31" s="384"/>
      <c r="D31" s="131" t="s">
        <v>52</v>
      </c>
      <c r="E31" s="385" t="e">
        <f>#REF!</f>
        <v>#REF!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382"/>
      <c r="T31" s="63"/>
      <c r="U31" s="63"/>
      <c r="V31" s="63"/>
      <c r="W31" s="63"/>
      <c r="X31" s="63"/>
      <c r="Y31" s="63"/>
      <c r="Z31" s="63"/>
    </row>
    <row r="32" ht="291" customHeight="1" spans="1:26">
      <c r="A32" s="63"/>
      <c r="B32" s="93"/>
      <c r="C32" s="384"/>
      <c r="D32" s="131" t="s">
        <v>35</v>
      </c>
      <c r="E32" s="385" t="e">
        <f>#REF!</f>
        <v>#REF!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8"/>
      <c r="S32" s="382"/>
      <c r="T32" s="63"/>
      <c r="U32" s="63"/>
      <c r="V32" s="63"/>
      <c r="W32" s="63"/>
      <c r="X32" s="63"/>
      <c r="Y32" s="63"/>
      <c r="Z32" s="63"/>
    </row>
    <row r="33" ht="142.5" customHeight="1" spans="1:26">
      <c r="A33" s="63"/>
      <c r="B33" s="93"/>
      <c r="C33" s="95"/>
      <c r="D33" s="131" t="s">
        <v>55</v>
      </c>
      <c r="E33" s="385" t="e">
        <f>#REF!</f>
        <v>#REF!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8"/>
      <c r="S33" s="382"/>
      <c r="T33" s="63"/>
      <c r="U33" s="63"/>
      <c r="V33" s="63"/>
      <c r="W33" s="63"/>
      <c r="X33" s="63"/>
      <c r="Y33" s="63"/>
      <c r="Z33" s="63"/>
    </row>
    <row r="34" ht="21" customHeight="1" spans="1:26">
      <c r="A34" s="63"/>
      <c r="B34" s="93"/>
      <c r="C34" s="135" t="s">
        <v>64</v>
      </c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8"/>
      <c r="S34" s="354"/>
      <c r="T34" s="63"/>
      <c r="U34" s="63"/>
      <c r="V34" s="63"/>
      <c r="W34" s="63"/>
      <c r="X34" s="63"/>
      <c r="Y34" s="63"/>
      <c r="Z34" s="63"/>
    </row>
    <row r="35" ht="7.5" customHeight="1" spans="1:26">
      <c r="A35" s="63"/>
      <c r="B35" s="93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354"/>
      <c r="T35" s="63"/>
      <c r="U35" s="63"/>
      <c r="V35" s="63"/>
      <c r="W35" s="63"/>
      <c r="X35" s="63"/>
      <c r="Y35" s="63"/>
      <c r="Z35" s="63"/>
    </row>
    <row r="36" ht="15.75" customHeight="1" spans="1:26">
      <c r="A36" s="63"/>
      <c r="B36" s="93"/>
      <c r="C36" s="82"/>
      <c r="D36" s="82"/>
      <c r="E36" s="82"/>
      <c r="F36" s="82"/>
      <c r="G36" s="82"/>
      <c r="H36" s="58" t="s">
        <v>65</v>
      </c>
      <c r="I36" s="82"/>
      <c r="J36" s="82"/>
      <c r="K36" s="82"/>
      <c r="L36" s="82"/>
      <c r="M36" s="82"/>
      <c r="N36" s="82"/>
      <c r="O36" s="82"/>
      <c r="P36" s="58" t="s">
        <v>66</v>
      </c>
      <c r="Q36" s="82"/>
      <c r="R36" s="82"/>
      <c r="S36" s="354"/>
      <c r="T36" s="63"/>
      <c r="U36" s="63"/>
      <c r="V36" s="63"/>
      <c r="W36" s="63"/>
      <c r="X36" s="63"/>
      <c r="Y36" s="63"/>
      <c r="Z36" s="63"/>
    </row>
    <row r="37" ht="15.75" customHeight="1" spans="1:26">
      <c r="A37" s="63"/>
      <c r="B37" s="93"/>
      <c r="C37" s="82"/>
      <c r="D37" s="82"/>
      <c r="E37" s="82"/>
      <c r="F37" s="82"/>
      <c r="G37" s="82"/>
      <c r="H37" s="58" t="s">
        <v>67</v>
      </c>
      <c r="I37" s="82"/>
      <c r="J37" s="82"/>
      <c r="K37" s="82"/>
      <c r="L37" s="82"/>
      <c r="M37" s="82"/>
      <c r="N37" s="82"/>
      <c r="O37" s="82"/>
      <c r="P37" s="58" t="s">
        <v>67</v>
      </c>
      <c r="Q37" s="82"/>
      <c r="R37" s="82"/>
      <c r="S37" s="354"/>
      <c r="T37" s="63"/>
      <c r="U37" s="63"/>
      <c r="V37" s="63"/>
      <c r="W37" s="63"/>
      <c r="X37" s="63"/>
      <c r="Y37" s="63"/>
      <c r="Z37" s="63"/>
    </row>
    <row r="38" ht="19.5" customHeight="1" spans="1:26">
      <c r="A38" s="63"/>
      <c r="B38" s="93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354"/>
      <c r="T38" s="63"/>
      <c r="U38" s="63"/>
      <c r="V38" s="63"/>
      <c r="W38" s="63"/>
      <c r="X38" s="63"/>
      <c r="Y38" s="63"/>
      <c r="Z38" s="63"/>
    </row>
    <row r="39" ht="19.5" customHeight="1" spans="1:26">
      <c r="A39" s="63"/>
      <c r="B39" s="93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354"/>
      <c r="T39" s="63"/>
      <c r="U39" s="63"/>
      <c r="V39" s="63"/>
      <c r="W39" s="63"/>
      <c r="X39" s="63"/>
      <c r="Y39" s="63"/>
      <c r="Z39" s="63"/>
    </row>
    <row r="40" ht="15.75" customHeight="1" spans="1:26">
      <c r="A40" s="63"/>
      <c r="B40" s="93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354"/>
      <c r="T40" s="63"/>
      <c r="U40" s="63"/>
      <c r="V40" s="63"/>
      <c r="W40" s="63"/>
      <c r="X40" s="63"/>
      <c r="Y40" s="63"/>
      <c r="Z40" s="63"/>
    </row>
    <row r="41" ht="15.75" customHeight="1" spans="1:26">
      <c r="A41" s="63"/>
      <c r="B41" s="93"/>
      <c r="C41" s="82"/>
      <c r="D41" s="82"/>
      <c r="E41" s="82"/>
      <c r="F41" s="82"/>
      <c r="G41" s="136" t="s">
        <v>68</v>
      </c>
      <c r="K41" s="82"/>
      <c r="L41" s="82"/>
      <c r="M41" s="82"/>
      <c r="N41" s="82"/>
      <c r="O41" s="386" t="str">
        <f>'260'!BC17</f>
        <v>CAPT. AUDI PRADHIPTO BRASALI</v>
      </c>
      <c r="S41" s="354"/>
      <c r="T41" s="63"/>
      <c r="U41" s="63"/>
      <c r="V41" s="63"/>
      <c r="W41" s="63"/>
      <c r="X41" s="63"/>
      <c r="Y41" s="63"/>
      <c r="Z41" s="63"/>
    </row>
    <row r="42" ht="15.75" customHeight="1" spans="1:26">
      <c r="A42" s="63"/>
      <c r="B42" s="93"/>
      <c r="C42" s="82"/>
      <c r="D42" s="82"/>
      <c r="E42" s="82"/>
      <c r="F42" s="82"/>
      <c r="G42" s="82"/>
      <c r="H42" s="82" t="s">
        <v>69</v>
      </c>
      <c r="I42" s="82"/>
      <c r="J42" s="82"/>
      <c r="K42" s="82"/>
      <c r="L42" s="82"/>
      <c r="M42" s="82"/>
      <c r="N42" s="82"/>
      <c r="O42" s="82"/>
      <c r="P42" s="82" t="s">
        <v>70</v>
      </c>
      <c r="Q42" s="82"/>
      <c r="R42" s="82"/>
      <c r="S42" s="354"/>
      <c r="T42" s="63"/>
      <c r="U42" s="63"/>
      <c r="V42" s="63"/>
      <c r="W42" s="63"/>
      <c r="X42" s="63"/>
      <c r="Y42" s="63"/>
      <c r="Z42" s="63"/>
    </row>
    <row r="43" ht="6.75" customHeight="1" spans="1:26">
      <c r="A43" s="63"/>
      <c r="B43" s="137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9"/>
      <c r="T43" s="63"/>
      <c r="U43" s="63"/>
      <c r="V43" s="63"/>
      <c r="W43" s="63"/>
      <c r="X43" s="63"/>
      <c r="Y43" s="63"/>
      <c r="Z43" s="63"/>
    </row>
    <row r="44" ht="15.75" customHeight="1" spans="1:26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 spans="1:26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 spans="1:2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 spans="1:26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 spans="1:26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 spans="1:26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 spans="1:26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 spans="1:26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 spans="1:26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 spans="1:26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 spans="1:26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 spans="1:26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 spans="1:2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 spans="1:26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 spans="1:26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 spans="1:26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 spans="1:26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 spans="1:26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 spans="1:26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 spans="1:26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 spans="1:26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 spans="1:26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 spans="1:2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 spans="1:26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 spans="1:26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 spans="1:26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 spans="1:26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 spans="1:26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 spans="1:26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 spans="1:26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 spans="1:26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 spans="1:26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 spans="1:2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 spans="1:26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 spans="1:26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 spans="1:26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 spans="1:26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 spans="1:26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 spans="1:26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 spans="1:26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 spans="1:26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 spans="1:26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 spans="1:2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 spans="1:26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 spans="1:26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 spans="1:26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 spans="1:26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 spans="1:26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 spans="1:26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 spans="1:26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 spans="1:26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 spans="1:26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 spans="1:2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 spans="1:26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 spans="1:26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 spans="1:26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 spans="1:26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 spans="1:26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 spans="1:26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 spans="1:26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 spans="1:26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 spans="1:26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 spans="1:2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 spans="1:26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 spans="1:26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 spans="1:26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 spans="1:26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 spans="1:26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 spans="1:26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 spans="1:26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 spans="1:26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 spans="1:26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 spans="1:2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 spans="1:26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 spans="1:26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 spans="1:26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 spans="1:26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 spans="1:26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 spans="1:26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 spans="1:26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 spans="1:26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 spans="1:26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 spans="1: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 spans="1:26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 spans="1:26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 spans="1:26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 spans="1:26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 spans="1:26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 spans="1:26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 spans="1:26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 spans="1:26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 spans="1:26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 spans="1:2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 spans="1:26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 spans="1:26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 spans="1:26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 spans="1:26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 spans="1:26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 spans="1:26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 spans="1:26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 spans="1:26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 spans="1:26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 spans="1:2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 spans="1:26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 spans="1:26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 spans="1:26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 spans="1:26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 spans="1:26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 spans="1:26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 spans="1:26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 spans="1:26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 spans="1:26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 spans="1:2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 spans="1:26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 spans="1:26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 spans="1:26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 spans="1:26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 spans="1:26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 spans="1:26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 spans="1:26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 spans="1:26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 spans="1:26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 spans="1:2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 spans="1:26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 spans="1:26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 spans="1:26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 spans="1:26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 spans="1:26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 spans="1:26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 spans="1:26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 spans="1:26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 spans="1:26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 spans="1:2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 spans="1:26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 spans="1:26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 spans="1:26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 spans="1:26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 spans="1:26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 spans="1:26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 spans="1:26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 spans="1:26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 spans="1:26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 spans="1:2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 spans="1:26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 spans="1:26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 spans="1:26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 spans="1:26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 spans="1:26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 spans="1:26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 spans="1:26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 spans="1:26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 spans="1:26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 spans="1:2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 spans="1:26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 spans="1:26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 spans="1:26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 spans="1:26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 spans="1:26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 spans="1:26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 spans="1:26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 spans="1:26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 spans="1:26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 spans="1:2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 spans="1:26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 spans="1:26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 spans="1:26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 spans="1:26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 spans="1:26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 spans="1:26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 spans="1:26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 spans="1:26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 spans="1:26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 spans="1:2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 spans="1:26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 spans="1:26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 spans="1:26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 spans="1:26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 spans="1:26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 spans="1:26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 spans="1:26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 spans="1:26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 spans="1:26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 spans="1: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 spans="1:26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 spans="1:26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 spans="1:26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 spans="1:26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 spans="1:26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 spans="1:26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 spans="1:26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 spans="1:26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 spans="1:26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 spans="1:2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 spans="1:26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 spans="1:26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 spans="1:26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 spans="1:26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 spans="1:26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 spans="1:26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2:S2"/>
    <mergeCell ref="C4:E4"/>
    <mergeCell ref="C6:E6"/>
    <mergeCell ref="D13:R13"/>
    <mergeCell ref="D14:R14"/>
    <mergeCell ref="D15:R15"/>
    <mergeCell ref="D16:R16"/>
    <mergeCell ref="D17:R17"/>
    <mergeCell ref="F21:J21"/>
    <mergeCell ref="N21:R21"/>
    <mergeCell ref="F22:J22"/>
    <mergeCell ref="N22:R22"/>
    <mergeCell ref="F23:J23"/>
    <mergeCell ref="N23:R23"/>
    <mergeCell ref="F24:J24"/>
    <mergeCell ref="N24:R24"/>
    <mergeCell ref="E29:R29"/>
    <mergeCell ref="E30:R30"/>
    <mergeCell ref="E31:R31"/>
    <mergeCell ref="E32:R32"/>
    <mergeCell ref="E33:R33"/>
    <mergeCell ref="C34:R34"/>
    <mergeCell ref="G41:J41"/>
    <mergeCell ref="O41:R41"/>
    <mergeCell ref="C19:C20"/>
    <mergeCell ref="C26:C27"/>
    <mergeCell ref="E19:E20"/>
    <mergeCell ref="M19:M20"/>
    <mergeCell ref="F19:J20"/>
    <mergeCell ref="N19:R20"/>
    <mergeCell ref="E26:R27"/>
  </mergeCells>
  <printOptions horizontalCentered="1" verticalCentered="1"/>
  <pageMargins left="0.119444444444444" right="0.0798611111111111" top="0" bottom="0" header="0" footer="0"/>
  <pageSetup paperSize="9" scale="51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Y1000"/>
  <sheetViews>
    <sheetView workbookViewId="0">
      <selection activeCell="A1" sqref="A1"/>
    </sheetView>
  </sheetViews>
  <sheetFormatPr defaultColWidth="12.6271186440678" defaultRowHeight="15" customHeight="1"/>
  <cols>
    <col min="1" max="1" width="13.8813559322034" customWidth="1"/>
    <col min="2" max="25" width="7.88135593220339" customWidth="1"/>
  </cols>
  <sheetData>
    <row r="1" ht="20.25" spans="1:25">
      <c r="A1" s="298" t="s">
        <v>184</v>
      </c>
      <c r="B1" s="299" t="s">
        <v>185</v>
      </c>
      <c r="C1" s="298"/>
    </row>
    <row r="2" ht="20.25" spans="1:25">
      <c r="A2" s="298" t="s">
        <v>186</v>
      </c>
      <c r="B2" s="300" t="s">
        <v>187</v>
      </c>
      <c r="K2" s="301"/>
    </row>
    <row r="3" ht="15.05" spans="1:25">
      <c r="B3" s="52" t="s">
        <v>188</v>
      </c>
    </row>
    <row r="4" ht="15.05" spans="1:25">
      <c r="A4" s="52"/>
      <c r="B4" s="300" t="s">
        <v>189</v>
      </c>
    </row>
    <row r="6" ht="19.05" spans="1:25">
      <c r="B6" s="299" t="s">
        <v>190</v>
      </c>
    </row>
    <row r="7" ht="26.9" spans="1:25">
      <c r="B7" s="52" t="s">
        <v>191</v>
      </c>
      <c r="O7" s="302" t="s">
        <v>192</v>
      </c>
      <c r="P7" s="303"/>
      <c r="Q7" s="303" t="s">
        <v>193</v>
      </c>
      <c r="R7" s="304"/>
    </row>
    <row r="8" ht="15.8" spans="1:25">
      <c r="B8" s="52" t="s">
        <v>194</v>
      </c>
    </row>
    <row r="9" ht="26.15" spans="1:25">
      <c r="B9" s="52" t="s">
        <v>195</v>
      </c>
      <c r="O9" s="305" t="s">
        <v>196</v>
      </c>
      <c r="P9" s="306"/>
      <c r="Q9" s="306"/>
      <c r="R9" s="306"/>
      <c r="S9" s="307"/>
      <c r="T9" s="307"/>
      <c r="U9" s="308"/>
    </row>
    <row r="10" ht="26.15" spans="1:25">
      <c r="B10" s="52" t="s">
        <v>197</v>
      </c>
      <c r="O10" s="309" t="s">
        <v>198</v>
      </c>
      <c r="P10" s="310"/>
      <c r="Q10" s="310"/>
      <c r="R10" s="310"/>
      <c r="S10" s="52"/>
      <c r="T10" s="52"/>
      <c r="U10" s="311"/>
    </row>
    <row r="11" ht="26.15" spans="1:25">
      <c r="B11" s="52" t="s">
        <v>199</v>
      </c>
      <c r="O11" s="309" t="s">
        <v>200</v>
      </c>
      <c r="P11" s="310"/>
      <c r="Q11" s="310"/>
      <c r="R11" s="310"/>
      <c r="S11" s="52"/>
      <c r="T11" s="52"/>
      <c r="U11" s="311"/>
    </row>
    <row r="12" ht="26.9" spans="1:25">
      <c r="B12" s="52" t="s">
        <v>201</v>
      </c>
      <c r="O12" s="312" t="s">
        <v>202</v>
      </c>
      <c r="P12" s="313"/>
      <c r="Q12" s="313"/>
      <c r="R12" s="313"/>
      <c r="S12" s="314"/>
      <c r="T12" s="314"/>
      <c r="U12" s="315"/>
    </row>
    <row r="13" ht="15.8" spans="1:25">
      <c r="B13" s="52" t="s">
        <v>203</v>
      </c>
    </row>
    <row r="14" ht="15.05" spans="1:25">
      <c r="B14" s="52" t="s">
        <v>204</v>
      </c>
      <c r="K14" s="310" t="s">
        <v>205</v>
      </c>
      <c r="L14" s="310" t="s">
        <v>206</v>
      </c>
      <c r="M14" s="310" t="s">
        <v>207</v>
      </c>
      <c r="O14" s="300" t="s">
        <v>208</v>
      </c>
      <c r="V14" s="316" t="s">
        <v>209</v>
      </c>
      <c r="W14" s="317"/>
      <c r="X14" s="317"/>
      <c r="Y14" s="318"/>
    </row>
    <row r="15" ht="15.05" spans="1:25">
      <c r="B15" s="52" t="s">
        <v>210</v>
      </c>
      <c r="K15" s="310"/>
      <c r="L15" s="310" t="s">
        <v>211</v>
      </c>
      <c r="M15" s="310" t="s">
        <v>212</v>
      </c>
      <c r="V15" s="319" t="s">
        <v>213</v>
      </c>
      <c r="W15" s="320"/>
      <c r="X15" s="320"/>
      <c r="Y15" s="321"/>
    </row>
    <row r="16" ht="15.8" spans="1:25">
      <c r="B16" s="52" t="s">
        <v>214</v>
      </c>
      <c r="V16" s="322" t="s">
        <v>215</v>
      </c>
      <c r="W16" s="323"/>
      <c r="X16" s="323"/>
      <c r="Y16" s="324"/>
    </row>
    <row r="18" ht="15.05" spans="1:20">
      <c r="K18" s="325" t="s">
        <v>216</v>
      </c>
      <c r="Q18" s="326">
        <v>5506110</v>
      </c>
      <c r="R18" s="327" t="s">
        <v>217</v>
      </c>
      <c r="S18" s="327"/>
      <c r="T18" s="328"/>
    </row>
    <row r="19" ht="18.3" spans="1:20">
      <c r="B19" s="299" t="s">
        <v>218</v>
      </c>
      <c r="K19" s="300" t="s">
        <v>219</v>
      </c>
      <c r="Q19" s="329">
        <v>5506111</v>
      </c>
      <c r="R19" s="330" t="s">
        <v>220</v>
      </c>
      <c r="S19" s="330"/>
      <c r="T19" s="331"/>
    </row>
    <row r="20" ht="15.05" spans="1:20">
      <c r="Q20" s="329">
        <v>5506126</v>
      </c>
      <c r="R20" s="330" t="s">
        <v>221</v>
      </c>
      <c r="S20" s="330"/>
      <c r="T20" s="331"/>
    </row>
    <row r="21" ht="15.75" customHeight="1" spans="1:20">
      <c r="B21" s="52" t="s">
        <v>222</v>
      </c>
      <c r="K21" s="325" t="s">
        <v>223</v>
      </c>
      <c r="Q21" s="329">
        <v>5505497</v>
      </c>
      <c r="R21" s="330" t="s">
        <v>221</v>
      </c>
      <c r="S21" s="330"/>
      <c r="T21" s="331"/>
    </row>
    <row r="22" ht="15.75" customHeight="1" spans="1:20">
      <c r="K22" s="300" t="s">
        <v>224</v>
      </c>
      <c r="Q22" s="332">
        <v>5505163</v>
      </c>
      <c r="R22" s="333" t="s">
        <v>225</v>
      </c>
      <c r="S22" s="333"/>
      <c r="T22" s="334"/>
    </row>
    <row r="23" ht="15.75" customHeight="1"/>
    <row r="24" ht="15.75" customHeight="1" spans="1:20">
      <c r="K24" s="325" t="s">
        <v>226</v>
      </c>
    </row>
    <row r="25" ht="15.75" customHeight="1" spans="1:20">
      <c r="A25" s="52" t="s">
        <v>227</v>
      </c>
      <c r="K25" s="300" t="s">
        <v>228</v>
      </c>
    </row>
    <row r="26" ht="15.75" customHeight="1" spans="1:20">
      <c r="A26" s="52" t="s">
        <v>229</v>
      </c>
      <c r="R26" s="300" t="s">
        <v>230</v>
      </c>
    </row>
    <row r="27" ht="15.75" customHeight="1" spans="1:20">
      <c r="A27" s="52" t="s">
        <v>231</v>
      </c>
      <c r="K27" s="335" t="s">
        <v>232</v>
      </c>
      <c r="L27" s="336"/>
      <c r="M27" s="336"/>
      <c r="N27" s="336"/>
      <c r="O27" s="337"/>
    </row>
    <row r="28" ht="15.75" customHeight="1" spans="1:20">
      <c r="A28" s="52" t="s">
        <v>233</v>
      </c>
      <c r="K28" s="338" t="s">
        <v>234</v>
      </c>
      <c r="L28" s="339"/>
      <c r="M28" s="339"/>
      <c r="N28" s="339" t="s">
        <v>235</v>
      </c>
      <c r="O28" s="340"/>
    </row>
    <row r="29" ht="15.75" customHeight="1" spans="1:20">
      <c r="A29" s="52" t="s">
        <v>236</v>
      </c>
      <c r="K29" s="341"/>
      <c r="L29" s="339"/>
      <c r="M29" s="339"/>
      <c r="N29" s="339" t="s">
        <v>237</v>
      </c>
      <c r="O29" s="340"/>
    </row>
    <row r="30" ht="15.75" customHeight="1" spans="1:20">
      <c r="A30" s="52" t="s">
        <v>238</v>
      </c>
      <c r="K30" s="342"/>
      <c r="L30" s="343"/>
      <c r="M30" s="343"/>
      <c r="N30" s="343"/>
      <c r="O30" s="344"/>
    </row>
    <row r="31" ht="15.75" customHeight="1" spans="1:20">
      <c r="A31" s="52" t="s">
        <v>239</v>
      </c>
      <c r="B31" s="52" t="s">
        <v>240</v>
      </c>
      <c r="I31" s="325" t="s">
        <v>241</v>
      </c>
      <c r="K31" s="325"/>
    </row>
    <row r="32" ht="15.75" customHeight="1" spans="1:20">
      <c r="I32" s="300" t="s">
        <v>242</v>
      </c>
      <c r="K32" s="300"/>
    </row>
    <row r="33" ht="15.75" customHeight="1" spans="1:1">
      <c r="A33" s="300" t="s">
        <v>243</v>
      </c>
    </row>
    <row r="34" ht="15.75" customHeight="1" spans="1:1">
      <c r="A34" s="300"/>
    </row>
    <row r="35" ht="15.75" customHeight="1" spans="1:1">
      <c r="A35" s="52" t="s">
        <v>244</v>
      </c>
    </row>
    <row r="36" ht="15.75" customHeight="1"/>
    <row r="37" ht="15.75" customHeight="1" spans="1:1">
      <c r="A37" s="300" t="s">
        <v>245</v>
      </c>
    </row>
    <row r="38" ht="15.75" customHeight="1" spans="1:1">
      <c r="A38" s="52" t="s">
        <v>246</v>
      </c>
    </row>
    <row r="39" ht="15.75" customHeight="1" spans="1:1">
      <c r="A39" s="52" t="s">
        <v>247</v>
      </c>
    </row>
    <row r="40" ht="15.75" customHeight="1" spans="1:1">
      <c r="A40" s="52" t="s">
        <v>248</v>
      </c>
    </row>
    <row r="41" ht="15.75" customHeight="1" spans="1:1">
      <c r="A41" s="52"/>
    </row>
    <row r="42" ht="15.75" customHeight="1" spans="1:1">
      <c r="A42" s="300" t="s">
        <v>249</v>
      </c>
    </row>
    <row r="43" ht="15.75" customHeight="1" spans="1:1">
      <c r="A43" s="52" t="s">
        <v>250</v>
      </c>
    </row>
    <row r="44" ht="15.75" customHeight="1"/>
    <row r="45" ht="15.75" customHeight="1" spans="1:1">
      <c r="A45" s="300" t="s">
        <v>251</v>
      </c>
    </row>
    <row r="46" ht="15.75" customHeight="1" spans="1:1">
      <c r="A46" s="300"/>
    </row>
    <row r="47" ht="15.75" customHeight="1" spans="1:1">
      <c r="A47" s="300" t="s">
        <v>252</v>
      </c>
    </row>
    <row r="48" ht="15.75" customHeight="1" spans="1:1">
      <c r="A48" s="300"/>
    </row>
    <row r="49" ht="15.75" customHeight="1" spans="1:1">
      <c r="A49" s="300" t="s">
        <v>253</v>
      </c>
    </row>
    <row r="50" ht="15.75" customHeight="1" spans="1:1">
      <c r="A50" s="300"/>
    </row>
    <row r="51" ht="15.75" customHeight="1" spans="1:1">
      <c r="A51" s="300" t="s">
        <v>254</v>
      </c>
    </row>
    <row r="52" ht="15.75" customHeight="1" spans="1:1">
      <c r="A52" s="300"/>
    </row>
    <row r="53" ht="15.75" customHeight="1" spans="1:1">
      <c r="A53" s="52" t="s">
        <v>255</v>
      </c>
    </row>
    <row r="54" ht="15.75" customHeight="1"/>
    <row r="55" ht="15.75" customHeight="1" spans="1:1">
      <c r="A55" s="300" t="s">
        <v>256</v>
      </c>
    </row>
    <row r="56" ht="15.75" customHeight="1" spans="1:1">
      <c r="A56" s="300"/>
    </row>
    <row r="57" ht="15.75" customHeight="1" spans="1:1">
      <c r="A57" s="300" t="s">
        <v>257</v>
      </c>
    </row>
    <row r="58" ht="15.75" customHeight="1" spans="1:1">
      <c r="A58" s="300"/>
    </row>
    <row r="59" ht="15.75" customHeight="1" spans="1:1">
      <c r="A59" s="52" t="s">
        <v>258</v>
      </c>
    </row>
    <row r="60" ht="15.75" customHeight="1"/>
    <row r="61" ht="15.75" customHeight="1" spans="1:1">
      <c r="A61" s="300" t="s">
        <v>259</v>
      </c>
    </row>
    <row r="62" ht="15.75" customHeight="1"/>
    <row r="63" ht="15.75" customHeight="1" spans="1:1">
      <c r="A63" s="300" t="s">
        <v>256</v>
      </c>
    </row>
    <row r="64" ht="15.75" customHeight="1" spans="1:1">
      <c r="A64" s="300"/>
    </row>
    <row r="65" ht="15.75" customHeight="1" spans="1:1">
      <c r="A65" s="52" t="s">
        <v>260</v>
      </c>
    </row>
    <row r="66" ht="15.75" customHeight="1"/>
    <row r="67" ht="15.75" customHeight="1" spans="1:1">
      <c r="A67" s="300" t="s">
        <v>261</v>
      </c>
    </row>
    <row r="68" ht="15.75" customHeight="1" spans="1:1">
      <c r="A68" s="300"/>
    </row>
    <row r="69" ht="15.75" customHeight="1" spans="1:1">
      <c r="A69" s="300" t="s">
        <v>262</v>
      </c>
    </row>
    <row r="70" ht="15.75" customHeight="1" spans="1:1">
      <c r="A70" s="300"/>
    </row>
    <row r="71" ht="15.75" customHeight="1" spans="1:1">
      <c r="A71" s="300" t="s">
        <v>263</v>
      </c>
    </row>
    <row r="72" ht="15.75" customHeight="1" spans="1:1">
      <c r="A72" s="300"/>
    </row>
    <row r="73" ht="15.75" customHeight="1" spans="1:1">
      <c r="A73" s="300" t="s">
        <v>264</v>
      </c>
    </row>
    <row r="74" ht="15.75" customHeight="1" spans="1:1">
      <c r="A74" s="300"/>
    </row>
    <row r="75" ht="15.75" customHeight="1" spans="1:1">
      <c r="A75" s="300" t="s">
        <v>265</v>
      </c>
    </row>
    <row r="76" ht="15.75" customHeight="1" spans="1:1">
      <c r="A76" s="300"/>
    </row>
    <row r="77" ht="15.75" customHeight="1" spans="1:1">
      <c r="A77" s="300" t="s">
        <v>256</v>
      </c>
    </row>
    <row r="78" ht="15.75" customHeight="1" spans="1:1">
      <c r="A78" s="300"/>
    </row>
    <row r="79" ht="15.75" customHeight="1" spans="1:1">
      <c r="A79" s="300" t="s">
        <v>266</v>
      </c>
    </row>
    <row r="80" ht="15.75" customHeight="1" spans="1:1">
      <c r="A80" s="300"/>
    </row>
    <row r="81" ht="15.75" customHeight="1" spans="1:1">
      <c r="A81" s="300" t="s">
        <v>267</v>
      </c>
    </row>
    <row r="82" ht="15.75" customHeight="1" spans="1:1">
      <c r="A82" s="300"/>
    </row>
    <row r="83" ht="15.75" customHeight="1" spans="1:1">
      <c r="A83" s="300" t="s">
        <v>268</v>
      </c>
    </row>
    <row r="84" ht="15.75" customHeight="1" spans="1:1">
      <c r="A84" s="300"/>
    </row>
    <row r="85" ht="15.75" customHeight="1" spans="1:1">
      <c r="A85" s="52" t="s">
        <v>269</v>
      </c>
    </row>
    <row r="86" ht="15.75" customHeight="1"/>
    <row r="87" ht="15.75" customHeight="1" spans="1:1">
      <c r="A87" s="300" t="s">
        <v>270</v>
      </c>
    </row>
    <row r="88" ht="15.75" customHeight="1" spans="1:1">
      <c r="A88" s="300"/>
    </row>
    <row r="89" ht="15.75" customHeight="1" spans="1:1">
      <c r="A89" s="300" t="s">
        <v>271</v>
      </c>
    </row>
    <row r="90" ht="15.75" customHeight="1" spans="1:1">
      <c r="A90" s="300"/>
    </row>
    <row r="91" ht="15.75" customHeight="1" spans="1:1">
      <c r="A91" s="300" t="s">
        <v>272</v>
      </c>
    </row>
    <row r="92" ht="15.75" customHeight="1"/>
    <row r="93" ht="15.75" customHeight="1" spans="1:1">
      <c r="A93" s="52" t="s">
        <v>273</v>
      </c>
    </row>
    <row r="94" ht="15.75" customHeight="1"/>
    <row r="95" ht="15.75" customHeight="1" spans="1:1">
      <c r="A95" s="345" t="s">
        <v>274</v>
      </c>
    </row>
    <row r="96" ht="15.75" customHeight="1" spans="1:1">
      <c r="A96" s="310" t="s">
        <v>275</v>
      </c>
    </row>
    <row r="97" ht="15.75" customHeight="1"/>
    <row r="98" ht="15.75" customHeight="1" spans="1:5">
      <c r="A98" s="310" t="s">
        <v>276</v>
      </c>
    </row>
    <row r="99" ht="15.75" customHeight="1"/>
    <row r="100" ht="15.75" customHeight="1" spans="1:5">
      <c r="A100" s="310" t="s">
        <v>277</v>
      </c>
    </row>
    <row r="101" ht="15.75" customHeight="1"/>
    <row r="102" ht="15.75" customHeight="1" spans="1:5">
      <c r="A102" s="346" t="s">
        <v>278</v>
      </c>
    </row>
    <row r="103" ht="15.75" customHeight="1" spans="1:5">
      <c r="A103" s="346" t="s">
        <v>279</v>
      </c>
    </row>
    <row r="104" ht="15.75" customHeight="1"/>
    <row r="105" ht="15.75" customHeight="1"/>
    <row r="106" ht="15.75" customHeight="1" spans="1:5">
      <c r="A106" s="347" t="s">
        <v>280</v>
      </c>
      <c r="B106" s="347"/>
      <c r="C106" s="347"/>
      <c r="D106" s="347"/>
      <c r="E106" s="347"/>
    </row>
    <row r="107" ht="15.75" customHeight="1" spans="1:5">
      <c r="A107" s="347" t="s">
        <v>281</v>
      </c>
      <c r="B107" s="347"/>
      <c r="C107" s="347"/>
      <c r="D107" s="347"/>
      <c r="E107" s="347"/>
    </row>
    <row r="108" ht="15.75" customHeight="1" spans="1:5">
      <c r="A108" s="348">
        <v>216</v>
      </c>
      <c r="B108" s="348">
        <v>66500</v>
      </c>
      <c r="C108" s="348" t="s">
        <v>115</v>
      </c>
      <c r="D108" s="347"/>
      <c r="E108" s="347"/>
    </row>
    <row r="109" ht="15.75" customHeight="1" spans="1:5">
      <c r="A109" s="348" t="s">
        <v>282</v>
      </c>
      <c r="B109" s="348">
        <v>66400</v>
      </c>
      <c r="C109" s="348" t="s">
        <v>115</v>
      </c>
      <c r="D109" s="347"/>
      <c r="E109" s="347"/>
    </row>
    <row r="110" ht="15.75" customHeight="1" spans="1:5">
      <c r="A110" s="348">
        <v>214</v>
      </c>
      <c r="B110" s="348">
        <v>69700</v>
      </c>
      <c r="C110" s="348" t="s">
        <v>115</v>
      </c>
      <c r="D110" s="347"/>
      <c r="E110" s="347"/>
    </row>
    <row r="111" ht="15.75" customHeight="1" spans="1:5">
      <c r="A111" s="347"/>
      <c r="B111" s="347"/>
      <c r="C111" s="347"/>
      <c r="D111" s="347"/>
      <c r="E111" s="347"/>
    </row>
    <row r="112" ht="15.75" customHeight="1" spans="1:5">
      <c r="A112" s="348" t="s">
        <v>282</v>
      </c>
      <c r="B112" s="347" t="s">
        <v>283</v>
      </c>
      <c r="C112" s="347"/>
      <c r="D112" s="347"/>
      <c r="E112" s="347"/>
    </row>
    <row r="113" ht="15.75" customHeight="1" spans="1:5">
      <c r="A113" s="348">
        <v>214</v>
      </c>
      <c r="B113" s="347" t="s">
        <v>284</v>
      </c>
      <c r="C113" s="347"/>
      <c r="D113" s="347"/>
      <c r="E113" s="347"/>
    </row>
    <row r="114" ht="15.75" customHeight="1" spans="1:5">
      <c r="A114" s="348">
        <v>216</v>
      </c>
      <c r="B114" s="347" t="s">
        <v>285</v>
      </c>
      <c r="C114" s="347"/>
      <c r="D114" s="347"/>
      <c r="E114" s="347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display="WMFPYFYX,iaa_cgk_ops@airasia.com"/>
    <hyperlink ref="B4" r:id="rId2" display="yuloktavinojulidar@airasia.com,mochamadruslani@airasia.com,nandangprianto@airasia.com,yudhonobudilaksono@airasia.com,ignatiussuryadi@airasia.com,rendisantana@airasia.com,allobudiyanto@airasia.com"/>
    <hyperlink ref="O14" r:id="rId3" display="dcapenang@dca.gov.my"/>
    <hyperlink ref="V14" r:id="rId4" display="www.meteosoekarnohatta.com"/>
    <hyperlink ref="K19" r:id="rId5" display="http://aamy-xensf01/Citrix/AIMSWeb/"/>
    <hyperlink ref="K22" r:id="rId6" display="http://www.aim-jakarta.co.id/"/>
    <hyperlink ref="K25" r:id="rId7" display="http://www.bom.gov.au/info/vaac/advisories.shtml"/>
    <hyperlink ref="R26" r:id="rId8" display="https://efpl.airnavindonesia.co.id/?link=login"/>
    <hyperlink ref="K28" r:id="rId9" display="http://chronos.atfm.co.id/"/>
    <hyperlink ref="I32" r:id="rId10" display="https://www.aviationweather.gov/adds/tafs?station_ids=wiii+wihh+wipp+wimm+warr+wadd+wadl+waaa+wsss+wmkk+wmkp+wmkj+wmsa+vtbs+vtbd+vtbu+vtcc&amp;std_trans=standard&amp;submit_both=Get+TAFs+and+METARs"/>
    <hyperlink ref="A33" r:id="rId11" display="WADDYOYE,  BAGUSHERMAWAN@AIRASIA.COM, IAA_DPS_OPS@AIRASIA.COM"/>
    <hyperlink ref="A37" r:id="rId12" display="saa_groundops@airasia.com, saa_gscontroller@airasia.com,  ferdiansyah@airasia.com"/>
    <hyperlink ref="A42" r:id="rId13" display="YBBBZRZX, drw.ops@menziesaviation.com, iaa_drw_ops@airasia.com, stevemcqueen@airasia.com, iaa_dps_ops@airasia.com, ferdiansyah@airasia.com"/>
    <hyperlink ref="A45" r:id="rId14" display=" aax_ops_per@airasia.com,"/>
    <hyperlink ref="A47" r:id="rId15" display="atc.messages@flightfocus.net, "/>
    <hyperlink ref="A49" r:id="rId16" display="iaa_dps_ramp@airasia.com."/>
    <hyperlink ref="A51" r:id="rId17" display="https://149.122.26.44/GDOPS/Index.aspx"/>
    <hyperlink ref="A55" r:id="rId18" display="https://crewnet.airasia.com/"/>
    <hyperlink ref="A57" r:id="rId19" display="http://172.30.4.58:1880/IframeContainer.aspx"/>
    <hyperlink ref="A61" r:id="rId20" display="https://www.pilotweb.nas.faa.gov/PilotWeb/"/>
    <hyperlink ref="A63" r:id="rId21" display="https://crewnet.airasia.com/"/>
    <hyperlink ref="A67" r:id="rId22" display="http://redwatch.merlot.aero/aircraft"/>
    <hyperlink ref="A69" r:id="rId23" display="http://redwatch.merlot.aero/crew"/>
    <hyperlink ref="A71" r:id="rId24" display="https://airasia.merlot.aero/"/>
    <hyperlink ref="A73" r:id="rId25" display="http://www.perthairport.com.au/index.aspx"/>
    <hyperlink ref="A75" r:id="rId26" display="http://www.wunderground.com/q/zmw:00000.1.94610"/>
    <hyperlink ref="A77" r:id="rId27" display="https://crewnet.airasia.com/"/>
    <hyperlink ref="A79" r:id="rId28" display="http://www.aerostratos.com/eaip/country.php"/>
    <hyperlink ref="A81" r:id="rId29" display="http://www.perthairport.com.au/FlightInformation/FlightSearch.aspx?Terminal=I&amp;FlightType=A"/>
    <hyperlink ref="A83" r:id="rId30" display="http://translate.google.co.id/"/>
    <hyperlink ref="A87" r:id="rId31" display="http://www.bom.gov.au/aviation/warnings/volcanic-ash/"/>
    <hyperlink ref="A89" r:id="rId32" display="http://www.faa.gov/air_traffic/publications/atpubs/aim/aim0501.html--&gt; icao codes"/>
    <hyperlink ref="A91" r:id="rId33" display="http://aim-jakarta.co.id/aim/index.php?link=logout"/>
  </hyperlinks>
  <pageMargins left="0.25" right="0.25" top="0.25" bottom="0.25" header="0" footer="0"/>
  <pageSetup paperSize="1" scale="50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Z1000"/>
  <sheetViews>
    <sheetView workbookViewId="0">
      <selection activeCell="A1" sqref="A1:H3"/>
    </sheetView>
  </sheetViews>
  <sheetFormatPr defaultColWidth="12.6271186440678" defaultRowHeight="15" customHeight="1"/>
  <cols>
    <col min="1" max="1" width="3.25423728813559" customWidth="1"/>
    <col min="2" max="2" width="24.2542372881356" customWidth="1"/>
    <col min="3" max="3" width="7.1271186440678" customWidth="1"/>
    <col min="4" max="4" width="12.7542372881356" customWidth="1"/>
    <col min="6" max="6" width="13.8813559322034" customWidth="1"/>
    <col min="7" max="7" width="16.7542372881356" customWidth="1"/>
    <col min="8" max="8" width="25.1271186440678" customWidth="1"/>
    <col min="9" max="26" width="8" customWidth="1"/>
  </cols>
  <sheetData>
    <row r="1" ht="15.05" spans="1:26">
      <c r="A1" s="271" t="s">
        <v>286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15.05" spans="1:26">
      <c r="A2" s="1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5.8" spans="1:26">
      <c r="A3" s="17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38.25" customHeight="1" spans="1:26">
      <c r="A4" s="272" t="s">
        <v>287</v>
      </c>
      <c r="B4" s="273" t="s">
        <v>86</v>
      </c>
      <c r="C4" s="273"/>
      <c r="D4" s="274" t="s">
        <v>77</v>
      </c>
      <c r="E4" s="274" t="s">
        <v>288</v>
      </c>
      <c r="F4" s="274" t="s">
        <v>289</v>
      </c>
      <c r="G4" s="275" t="s">
        <v>290</v>
      </c>
      <c r="H4" s="276" t="s">
        <v>291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20.25" customHeight="1" spans="1:26">
      <c r="A5" s="277"/>
      <c r="B5" s="278">
        <f ca="1">TODAY()</f>
        <v>46283</v>
      </c>
      <c r="C5" s="278"/>
      <c r="D5" s="279"/>
      <c r="E5" s="279"/>
      <c r="F5" s="279"/>
      <c r="G5" s="280"/>
      <c r="H5" s="281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8.75" customHeight="1" spans="1:26">
      <c r="A6" s="282">
        <v>2</v>
      </c>
      <c r="B6" s="31"/>
      <c r="C6" s="283" t="s">
        <v>292</v>
      </c>
      <c r="D6" s="284">
        <v>7510</v>
      </c>
      <c r="E6" s="284" t="s">
        <v>3</v>
      </c>
      <c r="F6" s="284" t="s">
        <v>145</v>
      </c>
      <c r="G6" s="285" t="s">
        <v>293</v>
      </c>
      <c r="H6" s="286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8.75" customHeight="1" spans="1:26">
      <c r="A7" s="282"/>
      <c r="B7" s="38"/>
      <c r="C7" s="283" t="s">
        <v>292</v>
      </c>
      <c r="D7" s="284">
        <v>7511</v>
      </c>
      <c r="E7" s="284" t="s">
        <v>145</v>
      </c>
      <c r="F7" s="284" t="s">
        <v>3</v>
      </c>
      <c r="G7" s="285" t="s">
        <v>294</v>
      </c>
      <c r="H7" s="286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8.75" customHeight="1" spans="1:26">
      <c r="A8" s="282"/>
      <c r="B8" s="38"/>
      <c r="C8" s="283" t="s">
        <v>292</v>
      </c>
      <c r="D8" s="284">
        <v>7552</v>
      </c>
      <c r="E8" s="284" t="s">
        <v>3</v>
      </c>
      <c r="F8" s="284" t="s">
        <v>295</v>
      </c>
      <c r="G8" s="285" t="s">
        <v>296</v>
      </c>
      <c r="H8" s="286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8.75" customHeight="1" spans="1:26">
      <c r="A9" s="282"/>
      <c r="B9" s="38"/>
      <c r="C9" s="283" t="s">
        <v>292</v>
      </c>
      <c r="D9" s="284">
        <v>7553</v>
      </c>
      <c r="E9" s="284" t="s">
        <v>295</v>
      </c>
      <c r="F9" s="284" t="s">
        <v>3</v>
      </c>
      <c r="G9" s="285" t="s">
        <v>294</v>
      </c>
      <c r="H9" s="286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6.5" customHeight="1" spans="1:26">
      <c r="A10" s="287"/>
      <c r="B10" s="287"/>
      <c r="C10" s="287"/>
      <c r="D10" s="288"/>
      <c r="E10" s="288"/>
      <c r="F10" s="288"/>
      <c r="G10" s="289"/>
      <c r="H10" s="286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6.5" customHeight="1" spans="1:26">
      <c r="A11" s="282">
        <v>1</v>
      </c>
      <c r="B11" s="38"/>
      <c r="C11" s="283" t="s">
        <v>292</v>
      </c>
      <c r="D11" s="284">
        <v>200</v>
      </c>
      <c r="E11" s="284" t="s">
        <v>3</v>
      </c>
      <c r="F11" s="284" t="s">
        <v>4</v>
      </c>
      <c r="G11" s="285" t="s">
        <v>297</v>
      </c>
      <c r="H11" s="286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8.35" spans="1:26">
      <c r="A12" s="282"/>
      <c r="B12" s="290"/>
      <c r="C12" s="283" t="s">
        <v>292</v>
      </c>
      <c r="D12" s="284">
        <v>129</v>
      </c>
      <c r="E12" s="284" t="s">
        <v>4</v>
      </c>
      <c r="F12" s="284" t="s">
        <v>298</v>
      </c>
      <c r="G12" s="285" t="s">
        <v>299</v>
      </c>
      <c r="H12" s="286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8.75" customHeight="1" spans="1:26">
      <c r="A13" s="282"/>
      <c r="B13" s="290"/>
      <c r="C13" s="283" t="s">
        <v>292</v>
      </c>
      <c r="D13" s="284">
        <v>108</v>
      </c>
      <c r="E13" s="284" t="s">
        <v>298</v>
      </c>
      <c r="F13" s="284" t="s">
        <v>299</v>
      </c>
      <c r="G13" s="285" t="s">
        <v>298</v>
      </c>
      <c r="H13" s="286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6.5" customHeight="1" spans="1:26">
      <c r="A14" s="287"/>
      <c r="B14" s="287"/>
      <c r="C14" s="283" t="s">
        <v>292</v>
      </c>
      <c r="D14" s="284">
        <v>109</v>
      </c>
      <c r="E14" s="284" t="s">
        <v>299</v>
      </c>
      <c r="F14" s="284" t="s">
        <v>298</v>
      </c>
      <c r="G14" s="285" t="s">
        <v>299</v>
      </c>
      <c r="H14" s="286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8.75" customHeight="1" spans="1:26">
      <c r="A15" s="282"/>
      <c r="B15" s="31"/>
      <c r="C15" s="283"/>
      <c r="D15" s="38"/>
      <c r="E15" s="38"/>
      <c r="F15" s="38"/>
      <c r="G15" s="289"/>
      <c r="H15" s="286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8.75" customHeight="1" spans="1:26">
      <c r="A16" s="282">
        <v>4</v>
      </c>
      <c r="B16" s="290"/>
      <c r="C16" s="283" t="s">
        <v>292</v>
      </c>
      <c r="D16" s="284">
        <v>7688</v>
      </c>
      <c r="E16" s="284" t="s">
        <v>3</v>
      </c>
      <c r="F16" s="284" t="s">
        <v>296</v>
      </c>
      <c r="G16" s="285" t="s">
        <v>145</v>
      </c>
      <c r="H16" s="286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8.75" customHeight="1" spans="1:26">
      <c r="A17" s="282"/>
      <c r="B17" s="290"/>
      <c r="C17" s="283" t="s">
        <v>292</v>
      </c>
      <c r="D17" s="284">
        <v>7689</v>
      </c>
      <c r="E17" s="284" t="s">
        <v>296</v>
      </c>
      <c r="F17" s="284" t="s">
        <v>3</v>
      </c>
      <c r="G17" s="285" t="s">
        <v>300</v>
      </c>
      <c r="H17" s="286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8.75" customHeight="1" spans="1:26">
      <c r="A18" s="282"/>
      <c r="B18" s="38"/>
      <c r="C18" s="283" t="s">
        <v>292</v>
      </c>
      <c r="D18" s="284">
        <v>7520</v>
      </c>
      <c r="E18" s="284" t="s">
        <v>3</v>
      </c>
      <c r="F18" s="284" t="s">
        <v>145</v>
      </c>
      <c r="G18" s="285" t="s">
        <v>293</v>
      </c>
      <c r="H18" s="286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8.75" customHeight="1" spans="1:26">
      <c r="A19" s="282"/>
      <c r="B19" s="38"/>
      <c r="C19" s="283" t="s">
        <v>292</v>
      </c>
      <c r="D19" s="284">
        <v>7521</v>
      </c>
      <c r="E19" s="284" t="s">
        <v>145</v>
      </c>
      <c r="F19" s="284" t="s">
        <v>3</v>
      </c>
      <c r="G19" s="285" t="s">
        <v>300</v>
      </c>
      <c r="H19" s="286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8.75" customHeight="1" spans="1:26">
      <c r="A20" s="282"/>
      <c r="B20" s="38"/>
      <c r="C20" s="95"/>
      <c r="D20" s="288"/>
      <c r="E20" s="38"/>
      <c r="F20" s="38"/>
      <c r="G20" s="289"/>
      <c r="H20" s="286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8.75" customHeight="1" spans="1:26">
      <c r="A21" s="287">
        <v>3</v>
      </c>
      <c r="B21" s="287"/>
      <c r="C21" s="283" t="s">
        <v>292</v>
      </c>
      <c r="D21" s="284">
        <v>7556</v>
      </c>
      <c r="E21" s="284" t="s">
        <v>3</v>
      </c>
      <c r="F21" s="284" t="s">
        <v>295</v>
      </c>
      <c r="G21" s="285" t="s">
        <v>296</v>
      </c>
      <c r="H21" s="286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8.75" customHeight="1" spans="1:26">
      <c r="A22" s="287"/>
      <c r="B22" s="287"/>
      <c r="C22" s="283" t="s">
        <v>292</v>
      </c>
      <c r="D22" s="284">
        <v>658</v>
      </c>
      <c r="E22" s="284" t="s">
        <v>295</v>
      </c>
      <c r="F22" s="284" t="s">
        <v>7</v>
      </c>
      <c r="G22" s="285" t="s">
        <v>175</v>
      </c>
      <c r="H22" s="286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8.75" customHeight="1" spans="1:26">
      <c r="A23" s="287"/>
      <c r="B23" s="287"/>
      <c r="C23" s="283" t="s">
        <v>292</v>
      </c>
      <c r="D23" s="284">
        <v>659</v>
      </c>
      <c r="E23" s="284" t="s">
        <v>7</v>
      </c>
      <c r="F23" s="284" t="s">
        <v>295</v>
      </c>
      <c r="G23" s="285" t="s">
        <v>296</v>
      </c>
      <c r="H23" s="286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6.5" customHeight="1" spans="1:26">
      <c r="A24" s="287"/>
      <c r="B24" s="287"/>
      <c r="C24" s="283" t="s">
        <v>292</v>
      </c>
      <c r="D24" s="284">
        <v>7557</v>
      </c>
      <c r="E24" s="284" t="s">
        <v>295</v>
      </c>
      <c r="F24" s="284" t="s">
        <v>3</v>
      </c>
      <c r="G24" s="285" t="s">
        <v>294</v>
      </c>
      <c r="H24" s="286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6.5" customHeight="1" spans="1:26">
      <c r="A25" s="287"/>
      <c r="B25" s="287"/>
      <c r="C25" s="287"/>
      <c r="D25" s="288"/>
      <c r="E25" s="288"/>
      <c r="F25" s="288"/>
      <c r="G25" s="289"/>
      <c r="H25" s="286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8.75" customHeight="1" spans="1:26">
      <c r="A26" s="282">
        <v>5</v>
      </c>
      <c r="B26" s="38"/>
      <c r="C26" s="283" t="s">
        <v>292</v>
      </c>
      <c r="D26" s="284">
        <v>202</v>
      </c>
      <c r="E26" s="284" t="s">
        <v>3</v>
      </c>
      <c r="F26" s="284" t="s">
        <v>4</v>
      </c>
      <c r="G26" s="285" t="s">
        <v>297</v>
      </c>
      <c r="H26" s="286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8.75" customHeight="1" spans="1:26">
      <c r="A27" s="282"/>
      <c r="B27" s="38"/>
      <c r="C27" s="283" t="s">
        <v>292</v>
      </c>
      <c r="D27" s="284">
        <v>280</v>
      </c>
      <c r="E27" s="284" t="s">
        <v>4</v>
      </c>
      <c r="F27" s="284" t="s">
        <v>80</v>
      </c>
      <c r="G27" s="285" t="s">
        <v>301</v>
      </c>
      <c r="H27" s="286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8.75" customHeight="1" spans="1:26">
      <c r="A28" s="282"/>
      <c r="B28" s="38"/>
      <c r="C28" s="283" t="s">
        <v>292</v>
      </c>
      <c r="D28" s="284">
        <v>281</v>
      </c>
      <c r="E28" s="284" t="s">
        <v>80</v>
      </c>
      <c r="F28" s="284" t="s">
        <v>4</v>
      </c>
      <c r="G28" s="285" t="s">
        <v>175</v>
      </c>
      <c r="H28" s="286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8.75" customHeight="1" spans="1:26">
      <c r="A29" s="282"/>
      <c r="B29" s="38"/>
      <c r="C29" s="283" t="s">
        <v>292</v>
      </c>
      <c r="D29" s="284">
        <v>203</v>
      </c>
      <c r="E29" s="284" t="s">
        <v>4</v>
      </c>
      <c r="F29" s="284" t="s">
        <v>3</v>
      </c>
      <c r="G29" s="285" t="s">
        <v>294</v>
      </c>
      <c r="H29" s="286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6.5" customHeight="1" spans="1:26">
      <c r="A30" s="287"/>
      <c r="B30" s="287"/>
      <c r="C30" s="287"/>
      <c r="D30" s="288"/>
      <c r="E30" s="288"/>
      <c r="F30" s="288"/>
      <c r="G30" s="289"/>
      <c r="H30" s="286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6.5" customHeight="1" spans="1:26">
      <c r="A31" s="287"/>
      <c r="B31" s="287"/>
      <c r="C31" s="283" t="s">
        <v>292</v>
      </c>
      <c r="D31" s="284">
        <v>7516</v>
      </c>
      <c r="E31" s="284" t="s">
        <v>3</v>
      </c>
      <c r="F31" s="284" t="s">
        <v>145</v>
      </c>
      <c r="G31" s="291" t="s">
        <v>293</v>
      </c>
      <c r="H31" s="286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6.5" customHeight="1" spans="1:26">
      <c r="A32" s="287"/>
      <c r="B32" s="287"/>
      <c r="C32" s="283" t="s">
        <v>292</v>
      </c>
      <c r="D32" s="284">
        <v>7517</v>
      </c>
      <c r="E32" s="284" t="s">
        <v>145</v>
      </c>
      <c r="F32" s="284" t="s">
        <v>3</v>
      </c>
      <c r="G32" s="291" t="s">
        <v>300</v>
      </c>
      <c r="H32" s="286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6.5" customHeight="1" spans="1:26">
      <c r="A33" s="287"/>
      <c r="B33" s="287"/>
      <c r="C33" s="287"/>
      <c r="D33" s="288"/>
      <c r="E33" s="288"/>
      <c r="F33" s="288"/>
      <c r="G33" s="289"/>
      <c r="H33" s="286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8.75" customHeight="1" spans="1:26">
      <c r="A34" s="282">
        <v>6</v>
      </c>
      <c r="B34" s="292"/>
      <c r="C34" s="283" t="s">
        <v>292</v>
      </c>
      <c r="D34" s="284">
        <v>700</v>
      </c>
      <c r="E34" s="284" t="s">
        <v>3</v>
      </c>
      <c r="F34" s="284" t="s">
        <v>302</v>
      </c>
      <c r="G34" s="285" t="s">
        <v>296</v>
      </c>
      <c r="H34" s="286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8.75" customHeight="1" spans="1:26">
      <c r="A35" s="282"/>
      <c r="B35" s="292"/>
      <c r="C35" s="283" t="s">
        <v>292</v>
      </c>
      <c r="D35" s="284">
        <v>701</v>
      </c>
      <c r="E35" s="284" t="s">
        <v>302</v>
      </c>
      <c r="F35" s="284" t="s">
        <v>3</v>
      </c>
      <c r="G35" s="285" t="s">
        <v>294</v>
      </c>
      <c r="H35" s="286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8.75" customHeight="1" spans="1:26">
      <c r="A36" s="282"/>
      <c r="B36" s="292"/>
      <c r="C36" s="283" t="s">
        <v>292</v>
      </c>
      <c r="D36" s="284">
        <v>614</v>
      </c>
      <c r="E36" s="284" t="s">
        <v>3</v>
      </c>
      <c r="F36" s="284" t="s">
        <v>293</v>
      </c>
      <c r="G36" s="285" t="s">
        <v>145</v>
      </c>
      <c r="H36" s="286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8.75" customHeight="1" spans="1:26">
      <c r="A37" s="282"/>
      <c r="B37" s="38"/>
      <c r="C37" s="283" t="s">
        <v>292</v>
      </c>
      <c r="D37" s="284">
        <v>615</v>
      </c>
      <c r="E37" s="284" t="s">
        <v>293</v>
      </c>
      <c r="F37" s="284" t="s">
        <v>3</v>
      </c>
      <c r="G37" s="285" t="s">
        <v>294</v>
      </c>
      <c r="H37" s="286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8.75" customHeight="1" spans="1:26">
      <c r="A38" s="282"/>
      <c r="B38" s="38"/>
      <c r="C38" s="95"/>
      <c r="D38" s="38"/>
      <c r="E38" s="38"/>
      <c r="F38" s="38"/>
      <c r="G38" s="289"/>
      <c r="H38" s="286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8.75" customHeight="1" spans="1:26">
      <c r="A39" s="282">
        <v>7</v>
      </c>
      <c r="B39" s="31"/>
      <c r="C39" s="283" t="s">
        <v>292</v>
      </c>
      <c r="D39" s="284">
        <v>262</v>
      </c>
      <c r="E39" s="284" t="s">
        <v>3</v>
      </c>
      <c r="F39" s="284" t="s">
        <v>7</v>
      </c>
      <c r="G39" s="285" t="s">
        <v>175</v>
      </c>
      <c r="H39" s="286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8.75" customHeight="1" spans="1:26">
      <c r="A40" s="282"/>
      <c r="B40" s="31"/>
      <c r="C40" s="283" t="s">
        <v>292</v>
      </c>
      <c r="D40" s="284">
        <v>263</v>
      </c>
      <c r="E40" s="284" t="s">
        <v>7</v>
      </c>
      <c r="F40" s="284" t="s">
        <v>3</v>
      </c>
      <c r="G40" s="285" t="s">
        <v>294</v>
      </c>
      <c r="H40" s="286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8.75" hidden="1" customHeight="1" spans="1:26">
      <c r="A41" s="293">
        <v>11</v>
      </c>
      <c r="B41" s="31"/>
      <c r="C41" s="283"/>
      <c r="D41" s="38" t="e">
        <f>[1]INPUT!B44</f>
        <v>#REF!</v>
      </c>
      <c r="E41" s="38" t="e">
        <f>[1]INPUT!C44</f>
        <v>#REF!</v>
      </c>
      <c r="F41" s="38" t="e">
        <f>[1]INPUT!D44</f>
        <v>#REF!</v>
      </c>
      <c r="G41" s="294"/>
      <c r="H41" s="286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8.75" hidden="1" customHeight="1" spans="1:26">
      <c r="A42" s="293">
        <v>12</v>
      </c>
      <c r="B42" s="31"/>
      <c r="C42" s="283"/>
      <c r="D42" s="38" t="e">
        <f>[1]INPUT!B45</f>
        <v>#REF!</v>
      </c>
      <c r="E42" s="38" t="e">
        <f>[1]INPUT!C45</f>
        <v>#REF!</v>
      </c>
      <c r="F42" s="38" t="e">
        <f>[1]INPUT!D45</f>
        <v>#REF!</v>
      </c>
      <c r="G42" s="294"/>
      <c r="H42" s="286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8.75" hidden="1" customHeight="1" spans="1:26">
      <c r="A43" s="282">
        <v>13</v>
      </c>
      <c r="B43" s="38"/>
      <c r="C43" s="95"/>
      <c r="D43" s="38" t="e">
        <f>[1]INPUT!B46</f>
        <v>#REF!</v>
      </c>
      <c r="E43" s="38" t="e">
        <f>[1]INPUT!C46</f>
        <v>#REF!</v>
      </c>
      <c r="F43" s="38" t="e">
        <f>[1]INPUT!D46</f>
        <v>#REF!</v>
      </c>
      <c r="G43" s="294"/>
      <c r="H43" s="286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8.75" hidden="1" customHeight="1" spans="1:26">
      <c r="A44" s="282">
        <v>14</v>
      </c>
      <c r="B44" s="38"/>
      <c r="C44" s="95"/>
      <c r="D44" s="38" t="e">
        <f>[1]INPUT!B47</f>
        <v>#REF!</v>
      </c>
      <c r="E44" s="38" t="e">
        <f>[1]INPUT!C47</f>
        <v>#REF!</v>
      </c>
      <c r="F44" s="38" t="e">
        <f>[1]INPUT!D47</f>
        <v>#REF!</v>
      </c>
      <c r="G44" s="294"/>
      <c r="H44" s="286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8.75" hidden="1" customHeight="1" spans="1:26">
      <c r="A45" s="282"/>
      <c r="B45" s="38"/>
      <c r="C45" s="95"/>
      <c r="D45" s="38" t="e">
        <f>[1]INPUT!B48</f>
        <v>#REF!</v>
      </c>
      <c r="E45" s="38" t="e">
        <f>[1]INPUT!C48</f>
        <v>#REF!</v>
      </c>
      <c r="F45" s="38" t="e">
        <f>[1]INPUT!D48</f>
        <v>#REF!</v>
      </c>
      <c r="G45" s="294"/>
      <c r="H45" s="286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9.5" customHeight="1" spans="1:26">
      <c r="A46" s="282"/>
      <c r="B46" s="38"/>
      <c r="C46" s="95"/>
      <c r="D46" s="113" t="e">
        <f>[1]INPUT!B44</f>
        <v>#REF!</v>
      </c>
      <c r="E46" s="113" t="e">
        <f>[1]INPUT!C44</f>
        <v>#REF!</v>
      </c>
      <c r="F46" s="113" t="e">
        <f>[1]INPUT!D44</f>
        <v>#REF!</v>
      </c>
      <c r="G46" s="295"/>
      <c r="H46" s="286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8.75" customHeight="1" spans="1:26">
      <c r="A47" s="282">
        <v>8</v>
      </c>
      <c r="B47" s="38"/>
      <c r="C47" s="283" t="s">
        <v>292</v>
      </c>
      <c r="D47" s="284">
        <v>250</v>
      </c>
      <c r="E47" s="284" t="s">
        <v>3</v>
      </c>
      <c r="F47" s="284" t="s">
        <v>303</v>
      </c>
      <c r="G47" s="285" t="s">
        <v>304</v>
      </c>
      <c r="H47" s="286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8.75" customHeight="1" spans="1:26">
      <c r="A48" s="282"/>
      <c r="B48" s="38"/>
      <c r="C48" s="283" t="s">
        <v>292</v>
      </c>
      <c r="D48" s="284">
        <v>251</v>
      </c>
      <c r="E48" s="284" t="s">
        <v>303</v>
      </c>
      <c r="F48" s="284" t="s">
        <v>3</v>
      </c>
      <c r="G48" s="285" t="s">
        <v>294</v>
      </c>
      <c r="H48" s="286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8.75" hidden="1" customHeight="1" spans="1:26">
      <c r="A49" s="296"/>
      <c r="B49" s="296"/>
      <c r="C49" s="297"/>
      <c r="D49" s="288">
        <v>7526</v>
      </c>
      <c r="E49" s="288" t="s">
        <v>3</v>
      </c>
      <c r="F49" s="288" t="s">
        <v>145</v>
      </c>
      <c r="G49" s="289"/>
      <c r="H49" s="286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8.75" hidden="1" customHeight="1" spans="1:26">
      <c r="A50" s="296"/>
      <c r="B50" s="296"/>
      <c r="C50" s="297"/>
      <c r="D50" s="288">
        <v>7527</v>
      </c>
      <c r="E50" s="288" t="s">
        <v>145</v>
      </c>
      <c r="F50" s="288" t="s">
        <v>3</v>
      </c>
      <c r="G50" s="289"/>
      <c r="H50" s="286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8.75" hidden="1" customHeight="1" spans="1:26">
      <c r="A51" s="296"/>
      <c r="B51" s="296"/>
      <c r="C51" s="297"/>
      <c r="D51" s="288">
        <v>7526</v>
      </c>
      <c r="E51" s="288" t="s">
        <v>3</v>
      </c>
      <c r="F51" s="288" t="s">
        <v>145</v>
      </c>
      <c r="G51" s="289"/>
      <c r="H51" s="286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8.75" customHeight="1" spans="1:26">
      <c r="A52" s="296"/>
      <c r="B52" s="296"/>
      <c r="C52" s="297"/>
      <c r="D52" s="288"/>
      <c r="E52" s="288"/>
      <c r="F52" s="288"/>
      <c r="G52" s="289"/>
      <c r="H52" s="286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8.75" customHeight="1" spans="1:26">
      <c r="A53" s="296">
        <v>9</v>
      </c>
      <c r="B53" s="296"/>
      <c r="C53" s="283" t="s">
        <v>292</v>
      </c>
      <c r="D53" s="284">
        <v>266</v>
      </c>
      <c r="E53" s="284" t="s">
        <v>3</v>
      </c>
      <c r="F53" s="284" t="s">
        <v>7</v>
      </c>
      <c r="G53" s="285" t="s">
        <v>175</v>
      </c>
      <c r="H53" s="286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8.75" customHeight="1" spans="1:26">
      <c r="A54" s="296"/>
      <c r="B54" s="296"/>
      <c r="C54" s="283" t="s">
        <v>292</v>
      </c>
      <c r="D54" s="284">
        <v>267</v>
      </c>
      <c r="E54" s="284" t="s">
        <v>7</v>
      </c>
      <c r="F54" s="284" t="s">
        <v>3</v>
      </c>
      <c r="G54" s="285" t="s">
        <v>294</v>
      </c>
      <c r="H54" s="286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8.75" customHeight="1" spans="1:26">
      <c r="A55" s="52"/>
      <c r="B55" s="52"/>
      <c r="C55" s="52"/>
      <c r="D55" s="256"/>
      <c r="E55" s="256"/>
      <c r="F55" s="256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8.75" customHeight="1" spans="1:26">
      <c r="A56" s="52"/>
      <c r="B56" s="52"/>
      <c r="C56" s="52"/>
      <c r="D56" s="256"/>
      <c r="E56" s="256"/>
      <c r="F56" s="256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8.75" customHeight="1" spans="1:26">
      <c r="A57" s="52"/>
      <c r="B57" s="52"/>
      <c r="C57" s="52"/>
      <c r="D57" s="256"/>
      <c r="E57" s="256"/>
      <c r="F57" s="256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8.75" customHeight="1" spans="1:26">
      <c r="A58" s="52"/>
      <c r="B58" s="52"/>
      <c r="C58" s="52"/>
      <c r="D58" s="256"/>
      <c r="E58" s="256"/>
      <c r="F58" s="256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8.75" customHeight="1" spans="1:26">
      <c r="A59" s="52"/>
      <c r="B59" s="52"/>
      <c r="C59" s="52"/>
      <c r="D59" s="256"/>
      <c r="E59" s="256"/>
      <c r="F59" s="256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8.75" customHeight="1" spans="1:26">
      <c r="A60" s="52"/>
      <c r="B60" s="52"/>
      <c r="C60" s="52"/>
      <c r="D60" s="256"/>
      <c r="E60" s="256"/>
      <c r="F60" s="256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8.75" customHeight="1" spans="1:26">
      <c r="A61" s="52"/>
      <c r="B61" s="52"/>
      <c r="C61" s="52"/>
      <c r="D61" s="256"/>
      <c r="E61" s="256"/>
      <c r="F61" s="256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8.75" customHeight="1" spans="1:26">
      <c r="A62" s="52"/>
      <c r="B62" s="52"/>
      <c r="C62" s="52"/>
      <c r="D62" s="256"/>
      <c r="E62" s="256"/>
      <c r="F62" s="256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8.75" customHeight="1" spans="1:26">
      <c r="A63" s="52"/>
      <c r="B63" s="52"/>
      <c r="C63" s="52"/>
      <c r="D63" s="256"/>
      <c r="E63" s="256"/>
      <c r="F63" s="256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8.75" customHeight="1" spans="1:26">
      <c r="A64" s="52"/>
      <c r="B64" s="52"/>
      <c r="C64" s="52"/>
      <c r="D64" s="256"/>
      <c r="E64" s="256"/>
      <c r="F64" s="256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8.75" customHeight="1" spans="1:26">
      <c r="A65" s="52"/>
      <c r="B65" s="52"/>
      <c r="C65" s="52"/>
      <c r="D65" s="256"/>
      <c r="E65" s="256"/>
      <c r="F65" s="256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8.75" customHeight="1" spans="1:26">
      <c r="A66" s="52"/>
      <c r="B66" s="52"/>
      <c r="C66" s="52"/>
      <c r="D66" s="256"/>
      <c r="E66" s="256"/>
      <c r="F66" s="256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8.75" customHeight="1" spans="1:26">
      <c r="A67" s="52"/>
      <c r="B67" s="52"/>
      <c r="C67" s="52"/>
      <c r="D67" s="256"/>
      <c r="E67" s="256"/>
      <c r="F67" s="256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8.75" customHeight="1" spans="1:26">
      <c r="A68" s="52"/>
      <c r="B68" s="52"/>
      <c r="C68" s="52"/>
      <c r="D68" s="256"/>
      <c r="E68" s="256"/>
      <c r="F68" s="256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8.75" customHeight="1" spans="1:26">
      <c r="A69" s="52"/>
      <c r="B69" s="52"/>
      <c r="C69" s="52"/>
      <c r="D69" s="256"/>
      <c r="E69" s="256"/>
      <c r="F69" s="256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8.75" customHeight="1" spans="1:26">
      <c r="A70" s="52"/>
      <c r="B70" s="52"/>
      <c r="C70" s="52"/>
      <c r="D70" s="256"/>
      <c r="E70" s="256"/>
      <c r="F70" s="256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8.75" customHeight="1" spans="1:26">
      <c r="A71" s="52"/>
      <c r="B71" s="52"/>
      <c r="C71" s="52"/>
      <c r="D71" s="256"/>
      <c r="E71" s="256"/>
      <c r="F71" s="256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8.75" customHeight="1" spans="1:26">
      <c r="A72" s="52"/>
      <c r="B72" s="52"/>
      <c r="C72" s="52"/>
      <c r="D72" s="256"/>
      <c r="E72" s="256"/>
      <c r="F72" s="256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8.75" customHeight="1" spans="1:26">
      <c r="A73" s="52"/>
      <c r="B73" s="52"/>
      <c r="C73" s="52"/>
      <c r="D73" s="256"/>
      <c r="E73" s="256"/>
      <c r="F73" s="256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8.75" customHeight="1" spans="1:26">
      <c r="A74" s="52"/>
      <c r="B74" s="52"/>
      <c r="C74" s="52"/>
      <c r="D74" s="256"/>
      <c r="E74" s="256"/>
      <c r="F74" s="256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8.75" customHeight="1" spans="1:26">
      <c r="A75" s="52"/>
      <c r="B75" s="52"/>
      <c r="C75" s="52"/>
      <c r="D75" s="256"/>
      <c r="E75" s="256"/>
      <c r="F75" s="256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8.75" customHeight="1" spans="1:26">
      <c r="A76" s="52"/>
      <c r="B76" s="52"/>
      <c r="C76" s="52"/>
      <c r="D76" s="256"/>
      <c r="E76" s="256"/>
      <c r="F76" s="256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8.75" customHeight="1" spans="1:26">
      <c r="A77" s="52"/>
      <c r="B77" s="52"/>
      <c r="C77" s="52"/>
      <c r="D77" s="256"/>
      <c r="E77" s="256"/>
      <c r="F77" s="256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8.75" customHeight="1" spans="1:26">
      <c r="A78" s="52"/>
      <c r="B78" s="52"/>
      <c r="C78" s="52"/>
      <c r="D78" s="256"/>
      <c r="E78" s="256"/>
      <c r="F78" s="256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8.75" customHeight="1" spans="1:26">
      <c r="A79" s="52"/>
      <c r="B79" s="52"/>
      <c r="C79" s="52"/>
      <c r="D79" s="256"/>
      <c r="E79" s="256"/>
      <c r="F79" s="256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8.75" customHeight="1" spans="1:26">
      <c r="A80" s="52"/>
      <c r="B80" s="52"/>
      <c r="C80" s="52"/>
      <c r="D80" s="256"/>
      <c r="E80" s="256"/>
      <c r="F80" s="256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8.75" customHeight="1" spans="1:26">
      <c r="A81" s="52"/>
      <c r="B81" s="52"/>
      <c r="C81" s="52"/>
      <c r="D81" s="256"/>
      <c r="E81" s="256"/>
      <c r="F81" s="256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8.75" customHeight="1" spans="1:26">
      <c r="A82" s="52"/>
      <c r="B82" s="52"/>
      <c r="C82" s="52"/>
      <c r="D82" s="256"/>
      <c r="E82" s="256"/>
      <c r="F82" s="256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8.75" customHeight="1" spans="1:26">
      <c r="A83" s="52"/>
      <c r="B83" s="52"/>
      <c r="C83" s="52"/>
      <c r="D83" s="256"/>
      <c r="E83" s="256"/>
      <c r="F83" s="256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8.75" customHeight="1" spans="1:26">
      <c r="A84" s="52"/>
      <c r="B84" s="52"/>
      <c r="C84" s="52"/>
      <c r="D84" s="256"/>
      <c r="E84" s="256"/>
      <c r="F84" s="256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8.75" customHeight="1" spans="1:26">
      <c r="A85" s="52"/>
      <c r="B85" s="52"/>
      <c r="C85" s="52"/>
      <c r="D85" s="256"/>
      <c r="E85" s="256"/>
      <c r="F85" s="256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8.75" customHeight="1" spans="1:26">
      <c r="A86" s="52"/>
      <c r="B86" s="52"/>
      <c r="C86" s="52"/>
      <c r="D86" s="256"/>
      <c r="E86" s="256"/>
      <c r="F86" s="256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8.75" customHeight="1" spans="1:26">
      <c r="A87" s="52"/>
      <c r="B87" s="52"/>
      <c r="C87" s="52"/>
      <c r="D87" s="256"/>
      <c r="E87" s="256"/>
      <c r="F87" s="256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8.75" customHeight="1" spans="1:26">
      <c r="A88" s="52"/>
      <c r="B88" s="52"/>
      <c r="C88" s="52"/>
      <c r="D88" s="256"/>
      <c r="E88" s="256"/>
      <c r="F88" s="256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8.75" customHeight="1" spans="1:26">
      <c r="A89" s="52"/>
      <c r="B89" s="52"/>
      <c r="C89" s="52"/>
      <c r="D89" s="256"/>
      <c r="E89" s="256"/>
      <c r="F89" s="256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8.75" customHeight="1" spans="1:26">
      <c r="A90" s="52"/>
      <c r="B90" s="52"/>
      <c r="C90" s="52"/>
      <c r="D90" s="256"/>
      <c r="E90" s="256"/>
      <c r="F90" s="256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8.75" customHeight="1" spans="1:26">
      <c r="A91" s="52"/>
      <c r="B91" s="52"/>
      <c r="C91" s="52"/>
      <c r="D91" s="256"/>
      <c r="E91" s="256"/>
      <c r="F91" s="256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8.75" customHeight="1" spans="1:26">
      <c r="A92" s="52"/>
      <c r="B92" s="52"/>
      <c r="C92" s="52"/>
      <c r="D92" s="256"/>
      <c r="E92" s="256"/>
      <c r="F92" s="256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8.75" customHeight="1" spans="1:26">
      <c r="A93" s="52"/>
      <c r="B93" s="52"/>
      <c r="C93" s="52"/>
      <c r="D93" s="256"/>
      <c r="E93" s="256"/>
      <c r="F93" s="256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8.75" customHeight="1" spans="1:26">
      <c r="A94" s="52"/>
      <c r="B94" s="52"/>
      <c r="C94" s="52"/>
      <c r="D94" s="256"/>
      <c r="E94" s="256"/>
      <c r="F94" s="256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8.75" customHeight="1" spans="1:26">
      <c r="A95" s="52"/>
      <c r="B95" s="52"/>
      <c r="C95" s="52"/>
      <c r="D95" s="256"/>
      <c r="E95" s="256"/>
      <c r="F95" s="256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8.75" customHeight="1" spans="1:26">
      <c r="A96" s="52"/>
      <c r="B96" s="52"/>
      <c r="C96" s="52"/>
      <c r="D96" s="256"/>
      <c r="E96" s="256"/>
      <c r="F96" s="256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8.75" customHeight="1" spans="1:26">
      <c r="A97" s="52"/>
      <c r="B97" s="52"/>
      <c r="C97" s="52"/>
      <c r="D97" s="256"/>
      <c r="E97" s="256"/>
      <c r="F97" s="256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8.75" customHeight="1" spans="1:26">
      <c r="A98" s="52"/>
      <c r="B98" s="52"/>
      <c r="C98" s="52"/>
      <c r="D98" s="256"/>
      <c r="E98" s="256"/>
      <c r="F98" s="256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8.75" customHeight="1" spans="1:26">
      <c r="A99" s="52"/>
      <c r="B99" s="52"/>
      <c r="C99" s="52"/>
      <c r="D99" s="256"/>
      <c r="E99" s="256"/>
      <c r="F99" s="256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8.75" customHeight="1" spans="1:26">
      <c r="A100" s="52"/>
      <c r="B100" s="52"/>
      <c r="C100" s="52"/>
      <c r="D100" s="256"/>
      <c r="E100" s="256"/>
      <c r="F100" s="256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8.75" customHeight="1" spans="1:26">
      <c r="A101" s="52"/>
      <c r="B101" s="52"/>
      <c r="C101" s="52"/>
      <c r="D101" s="256"/>
      <c r="E101" s="256"/>
      <c r="F101" s="256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8.75" customHeight="1" spans="1:26">
      <c r="A102" s="52"/>
      <c r="B102" s="52"/>
      <c r="C102" s="52"/>
      <c r="D102" s="256"/>
      <c r="E102" s="256"/>
      <c r="F102" s="256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8.75" customHeight="1" spans="1:26">
      <c r="A103" s="52"/>
      <c r="B103" s="52"/>
      <c r="C103" s="52"/>
      <c r="D103" s="256"/>
      <c r="E103" s="256"/>
      <c r="F103" s="256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8.75" customHeight="1" spans="1:26">
      <c r="A104" s="52"/>
      <c r="B104" s="52"/>
      <c r="C104" s="52"/>
      <c r="D104" s="256"/>
      <c r="E104" s="256"/>
      <c r="F104" s="256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8.75" customHeight="1" spans="1:26">
      <c r="A105" s="52"/>
      <c r="B105" s="52"/>
      <c r="C105" s="52"/>
      <c r="D105" s="256"/>
      <c r="E105" s="256"/>
      <c r="F105" s="256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8.75" customHeight="1" spans="1:26">
      <c r="A106" s="52"/>
      <c r="B106" s="52"/>
      <c r="C106" s="52"/>
      <c r="D106" s="256"/>
      <c r="E106" s="256"/>
      <c r="F106" s="256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8.75" customHeight="1" spans="1:26">
      <c r="A107" s="52"/>
      <c r="B107" s="52"/>
      <c r="C107" s="52"/>
      <c r="D107" s="256"/>
      <c r="E107" s="256"/>
      <c r="F107" s="256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8.75" customHeight="1" spans="1:26">
      <c r="A108" s="52"/>
      <c r="B108" s="52"/>
      <c r="C108" s="52"/>
      <c r="D108" s="256"/>
      <c r="E108" s="256"/>
      <c r="F108" s="256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8.75" customHeight="1" spans="1:26">
      <c r="A109" s="52"/>
      <c r="B109" s="52"/>
      <c r="C109" s="52"/>
      <c r="D109" s="256"/>
      <c r="E109" s="256"/>
      <c r="F109" s="256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8.75" customHeight="1" spans="1:26">
      <c r="A110" s="52"/>
      <c r="B110" s="52"/>
      <c r="C110" s="52"/>
      <c r="D110" s="256"/>
      <c r="E110" s="256"/>
      <c r="F110" s="256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8.75" customHeight="1" spans="1:26">
      <c r="A111" s="52"/>
      <c r="B111" s="52"/>
      <c r="C111" s="52"/>
      <c r="D111" s="256"/>
      <c r="E111" s="256"/>
      <c r="F111" s="256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8.75" customHeight="1" spans="1:26">
      <c r="A112" s="52"/>
      <c r="B112" s="52"/>
      <c r="C112" s="52"/>
      <c r="D112" s="256"/>
      <c r="E112" s="256"/>
      <c r="F112" s="256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8.75" customHeight="1" spans="1:26">
      <c r="A113" s="52"/>
      <c r="B113" s="52"/>
      <c r="C113" s="52"/>
      <c r="D113" s="256"/>
      <c r="E113" s="256"/>
      <c r="F113" s="256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8.75" customHeight="1" spans="1:26">
      <c r="A114" s="52"/>
      <c r="B114" s="52"/>
      <c r="C114" s="52"/>
      <c r="D114" s="256"/>
      <c r="E114" s="256"/>
      <c r="F114" s="256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8.75" customHeight="1" spans="1:26">
      <c r="A115" s="52"/>
      <c r="B115" s="52"/>
      <c r="C115" s="52"/>
      <c r="D115" s="256"/>
      <c r="E115" s="256"/>
      <c r="F115" s="256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8.75" customHeight="1" spans="1:26">
      <c r="A116" s="52"/>
      <c r="B116" s="52"/>
      <c r="C116" s="52"/>
      <c r="D116" s="256"/>
      <c r="E116" s="256"/>
      <c r="F116" s="256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8.75" customHeight="1" spans="1:26">
      <c r="A117" s="52"/>
      <c r="B117" s="52"/>
      <c r="C117" s="52"/>
      <c r="D117" s="256"/>
      <c r="E117" s="256"/>
      <c r="F117" s="256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8.75" customHeight="1" spans="1:26">
      <c r="A118" s="52"/>
      <c r="B118" s="52"/>
      <c r="C118" s="52"/>
      <c r="D118" s="256"/>
      <c r="E118" s="256"/>
      <c r="F118" s="256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8.75" customHeight="1" spans="1:26">
      <c r="A119" s="52"/>
      <c r="B119" s="52"/>
      <c r="C119" s="52"/>
      <c r="D119" s="256"/>
      <c r="E119" s="256"/>
      <c r="F119" s="256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8.75" customHeight="1" spans="1:26">
      <c r="A120" s="52"/>
      <c r="B120" s="52"/>
      <c r="C120" s="52"/>
      <c r="D120" s="256"/>
      <c r="E120" s="256"/>
      <c r="F120" s="256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8.75" customHeight="1" spans="1:26">
      <c r="A121" s="52"/>
      <c r="B121" s="52"/>
      <c r="C121" s="52"/>
      <c r="D121" s="256"/>
      <c r="E121" s="256"/>
      <c r="F121" s="256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8.75" customHeight="1" spans="1:26">
      <c r="A122" s="52"/>
      <c r="B122" s="52"/>
      <c r="C122" s="52"/>
      <c r="D122" s="256"/>
      <c r="E122" s="256"/>
      <c r="F122" s="256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8.75" customHeight="1" spans="1:26">
      <c r="A123" s="52"/>
      <c r="B123" s="52"/>
      <c r="C123" s="52"/>
      <c r="D123" s="256"/>
      <c r="E123" s="256"/>
      <c r="F123" s="256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8.75" customHeight="1" spans="1:26">
      <c r="A124" s="52"/>
      <c r="B124" s="52"/>
      <c r="C124" s="52"/>
      <c r="D124" s="256"/>
      <c r="E124" s="256"/>
      <c r="F124" s="256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8.75" customHeight="1" spans="1:26">
      <c r="A125" s="52"/>
      <c r="B125" s="52"/>
      <c r="C125" s="52"/>
      <c r="D125" s="256"/>
      <c r="E125" s="256"/>
      <c r="F125" s="256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8.75" customHeight="1" spans="1:26">
      <c r="A126" s="52"/>
      <c r="B126" s="52"/>
      <c r="C126" s="52"/>
      <c r="D126" s="256"/>
      <c r="E126" s="256"/>
      <c r="F126" s="256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8.75" customHeight="1" spans="1:26">
      <c r="A127" s="52"/>
      <c r="B127" s="52"/>
      <c r="C127" s="52"/>
      <c r="D127" s="256"/>
      <c r="E127" s="256"/>
      <c r="F127" s="256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8.75" customHeight="1" spans="1:26">
      <c r="A128" s="52"/>
      <c r="B128" s="52"/>
      <c r="C128" s="52"/>
      <c r="D128" s="256"/>
      <c r="E128" s="256"/>
      <c r="F128" s="256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8.75" customHeight="1" spans="1:26">
      <c r="A129" s="52"/>
      <c r="B129" s="52"/>
      <c r="C129" s="52"/>
      <c r="D129" s="256"/>
      <c r="E129" s="256"/>
      <c r="F129" s="256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8.75" customHeight="1" spans="1:26">
      <c r="A130" s="52"/>
      <c r="B130" s="52"/>
      <c r="C130" s="52"/>
      <c r="D130" s="256"/>
      <c r="E130" s="256"/>
      <c r="F130" s="256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8.75" customHeight="1" spans="1:26">
      <c r="A131" s="52"/>
      <c r="B131" s="52"/>
      <c r="C131" s="52"/>
      <c r="D131" s="256"/>
      <c r="E131" s="256"/>
      <c r="F131" s="256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8.75" customHeight="1" spans="1:26">
      <c r="A132" s="52"/>
      <c r="B132" s="52"/>
      <c r="C132" s="52"/>
      <c r="D132" s="256"/>
      <c r="E132" s="256"/>
      <c r="F132" s="256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8.75" customHeight="1" spans="1:26">
      <c r="A133" s="52"/>
      <c r="B133" s="52"/>
      <c r="C133" s="52"/>
      <c r="D133" s="256"/>
      <c r="E133" s="256"/>
      <c r="F133" s="256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8.75" customHeight="1" spans="1:26">
      <c r="A134" s="52"/>
      <c r="B134" s="52"/>
      <c r="C134" s="52"/>
      <c r="D134" s="256"/>
      <c r="E134" s="256"/>
      <c r="F134" s="256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8.75" customHeight="1" spans="1:26">
      <c r="A135" s="52"/>
      <c r="B135" s="52"/>
      <c r="C135" s="52"/>
      <c r="D135" s="256"/>
      <c r="E135" s="256"/>
      <c r="F135" s="256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8.75" customHeight="1" spans="1:26">
      <c r="A136" s="52"/>
      <c r="B136" s="52"/>
      <c r="C136" s="52"/>
      <c r="D136" s="256"/>
      <c r="E136" s="256"/>
      <c r="F136" s="256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8.75" customHeight="1" spans="1:26">
      <c r="A137" s="52"/>
      <c r="B137" s="52"/>
      <c r="C137" s="52"/>
      <c r="D137" s="256"/>
      <c r="E137" s="256"/>
      <c r="F137" s="256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8.75" customHeight="1" spans="1:26">
      <c r="A138" s="52"/>
      <c r="B138" s="52"/>
      <c r="C138" s="52"/>
      <c r="D138" s="256"/>
      <c r="E138" s="256"/>
      <c r="F138" s="256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8.75" customHeight="1" spans="1:26">
      <c r="A139" s="52"/>
      <c r="B139" s="52"/>
      <c r="C139" s="52"/>
      <c r="D139" s="256"/>
      <c r="E139" s="256"/>
      <c r="F139" s="256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8.75" customHeight="1" spans="1:26">
      <c r="A140" s="52"/>
      <c r="B140" s="52"/>
      <c r="C140" s="52"/>
      <c r="D140" s="256"/>
      <c r="E140" s="256"/>
      <c r="F140" s="256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8.75" customHeight="1" spans="1:26">
      <c r="A141" s="52"/>
      <c r="B141" s="52"/>
      <c r="C141" s="52"/>
      <c r="D141" s="256"/>
      <c r="E141" s="256"/>
      <c r="F141" s="256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8.75" customHeight="1" spans="1:26">
      <c r="A142" s="52"/>
      <c r="B142" s="52"/>
      <c r="C142" s="52"/>
      <c r="D142" s="256"/>
      <c r="E142" s="256"/>
      <c r="F142" s="256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8.75" customHeight="1" spans="1:26">
      <c r="A143" s="52"/>
      <c r="B143" s="52"/>
      <c r="C143" s="52"/>
      <c r="D143" s="256"/>
      <c r="E143" s="256"/>
      <c r="F143" s="256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8.75" customHeight="1" spans="1:26">
      <c r="A144" s="52"/>
      <c r="B144" s="52"/>
      <c r="C144" s="52"/>
      <c r="D144" s="256"/>
      <c r="E144" s="256"/>
      <c r="F144" s="256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8.75" customHeight="1" spans="1:26">
      <c r="A145" s="52"/>
      <c r="B145" s="52"/>
      <c r="C145" s="52"/>
      <c r="D145" s="256"/>
      <c r="E145" s="256"/>
      <c r="F145" s="256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8.75" customHeight="1" spans="1:26">
      <c r="A146" s="52"/>
      <c r="B146" s="52"/>
      <c r="C146" s="52"/>
      <c r="D146" s="256"/>
      <c r="E146" s="256"/>
      <c r="F146" s="256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8.75" customHeight="1" spans="1:26">
      <c r="A147" s="52"/>
      <c r="B147" s="52"/>
      <c r="C147" s="52"/>
      <c r="D147" s="256"/>
      <c r="E147" s="256"/>
      <c r="F147" s="256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8.75" customHeight="1" spans="1:26">
      <c r="A148" s="52"/>
      <c r="B148" s="52"/>
      <c r="C148" s="52"/>
      <c r="D148" s="256"/>
      <c r="E148" s="256"/>
      <c r="F148" s="256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8.75" customHeight="1" spans="1:26">
      <c r="A149" s="52"/>
      <c r="B149" s="52"/>
      <c r="C149" s="52"/>
      <c r="D149" s="256"/>
      <c r="E149" s="256"/>
      <c r="F149" s="256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8.75" customHeight="1" spans="1:26">
      <c r="A150" s="52"/>
      <c r="B150" s="52"/>
      <c r="C150" s="52"/>
      <c r="D150" s="256"/>
      <c r="E150" s="256"/>
      <c r="F150" s="256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8.75" customHeight="1" spans="1:26">
      <c r="A151" s="52"/>
      <c r="B151" s="52"/>
      <c r="C151" s="52"/>
      <c r="D151" s="256"/>
      <c r="E151" s="256"/>
      <c r="F151" s="256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8.75" customHeight="1" spans="1:26">
      <c r="A152" s="52"/>
      <c r="B152" s="52"/>
      <c r="C152" s="52"/>
      <c r="D152" s="256"/>
      <c r="E152" s="256"/>
      <c r="F152" s="256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8.75" customHeight="1" spans="1:26">
      <c r="A153" s="52"/>
      <c r="B153" s="52"/>
      <c r="C153" s="52"/>
      <c r="D153" s="256"/>
      <c r="E153" s="256"/>
      <c r="F153" s="256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8.75" customHeight="1" spans="1:26">
      <c r="A154" s="52"/>
      <c r="B154" s="52"/>
      <c r="C154" s="52"/>
      <c r="D154" s="256"/>
      <c r="E154" s="256"/>
      <c r="F154" s="256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8.75" customHeight="1" spans="1:26">
      <c r="A155" s="52"/>
      <c r="B155" s="52"/>
      <c r="C155" s="52"/>
      <c r="D155" s="256"/>
      <c r="E155" s="256"/>
      <c r="F155" s="256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8.75" customHeight="1" spans="1:26">
      <c r="A156" s="52"/>
      <c r="B156" s="52"/>
      <c r="C156" s="52"/>
      <c r="D156" s="256"/>
      <c r="E156" s="256"/>
      <c r="F156" s="256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8.75" customHeight="1" spans="1:26">
      <c r="A157" s="52"/>
      <c r="B157" s="52"/>
      <c r="C157" s="52"/>
      <c r="D157" s="256"/>
      <c r="E157" s="256"/>
      <c r="F157" s="256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8.75" customHeight="1" spans="1:26">
      <c r="A158" s="52"/>
      <c r="B158" s="52"/>
      <c r="C158" s="52"/>
      <c r="D158" s="256"/>
      <c r="E158" s="256"/>
      <c r="F158" s="256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8.75" customHeight="1" spans="1:26">
      <c r="A159" s="52"/>
      <c r="B159" s="52"/>
      <c r="C159" s="52"/>
      <c r="D159" s="256"/>
      <c r="E159" s="256"/>
      <c r="F159" s="256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8.75" customHeight="1" spans="1:26">
      <c r="A160" s="52"/>
      <c r="B160" s="52"/>
      <c r="C160" s="52"/>
      <c r="D160" s="256"/>
      <c r="E160" s="256"/>
      <c r="F160" s="256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8.75" customHeight="1" spans="1:26">
      <c r="A161" s="52"/>
      <c r="B161" s="52"/>
      <c r="C161" s="52"/>
      <c r="D161" s="256"/>
      <c r="E161" s="256"/>
      <c r="F161" s="256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8.75" customHeight="1" spans="1:26">
      <c r="A162" s="52"/>
      <c r="B162" s="52"/>
      <c r="C162" s="52"/>
      <c r="D162" s="256"/>
      <c r="E162" s="256"/>
      <c r="F162" s="256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8.75" customHeight="1" spans="1:26">
      <c r="A163" s="52"/>
      <c r="B163" s="52"/>
      <c r="C163" s="52"/>
      <c r="D163" s="256"/>
      <c r="E163" s="256"/>
      <c r="F163" s="256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8.75" customHeight="1" spans="1:26">
      <c r="A164" s="52"/>
      <c r="B164" s="52"/>
      <c r="C164" s="52"/>
      <c r="D164" s="256"/>
      <c r="E164" s="256"/>
      <c r="F164" s="256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8.75" customHeight="1" spans="1:26">
      <c r="A165" s="52"/>
      <c r="B165" s="52"/>
      <c r="C165" s="52"/>
      <c r="D165" s="256"/>
      <c r="E165" s="256"/>
      <c r="F165" s="256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8.75" customHeight="1" spans="1:26">
      <c r="A166" s="52"/>
      <c r="B166" s="52"/>
      <c r="C166" s="52"/>
      <c r="D166" s="256"/>
      <c r="E166" s="256"/>
      <c r="F166" s="256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8.75" customHeight="1" spans="1:26">
      <c r="A167" s="52"/>
      <c r="B167" s="52"/>
      <c r="C167" s="52"/>
      <c r="D167" s="256"/>
      <c r="E167" s="256"/>
      <c r="F167" s="256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8.75" customHeight="1" spans="1:26">
      <c r="A168" s="52"/>
      <c r="B168" s="52"/>
      <c r="C168" s="52"/>
      <c r="D168" s="256"/>
      <c r="E168" s="256"/>
      <c r="F168" s="256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8.75" customHeight="1" spans="1:26">
      <c r="A169" s="52"/>
      <c r="B169" s="52"/>
      <c r="C169" s="52"/>
      <c r="D169" s="256"/>
      <c r="E169" s="256"/>
      <c r="F169" s="256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8.75" customHeight="1" spans="1:26">
      <c r="A170" s="52"/>
      <c r="B170" s="52"/>
      <c r="C170" s="52"/>
      <c r="D170" s="256"/>
      <c r="E170" s="256"/>
      <c r="F170" s="256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8.75" customHeight="1" spans="1:26">
      <c r="A171" s="52"/>
      <c r="B171" s="52"/>
      <c r="C171" s="52"/>
      <c r="D171" s="256"/>
      <c r="E171" s="256"/>
      <c r="F171" s="256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8.75" customHeight="1" spans="1:26">
      <c r="A172" s="52"/>
      <c r="B172" s="52"/>
      <c r="C172" s="52"/>
      <c r="D172" s="256"/>
      <c r="E172" s="256"/>
      <c r="F172" s="256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8.75" customHeight="1" spans="1:26">
      <c r="A173" s="52"/>
      <c r="B173" s="52"/>
      <c r="C173" s="52"/>
      <c r="D173" s="256"/>
      <c r="E173" s="256"/>
      <c r="F173" s="256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8.75" customHeight="1" spans="1:26">
      <c r="A174" s="52"/>
      <c r="B174" s="52"/>
      <c r="C174" s="52"/>
      <c r="D174" s="256"/>
      <c r="E174" s="256"/>
      <c r="F174" s="256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8.75" customHeight="1" spans="1:26">
      <c r="A175" s="52"/>
      <c r="B175" s="52"/>
      <c r="C175" s="52"/>
      <c r="D175" s="256"/>
      <c r="E175" s="256"/>
      <c r="F175" s="256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8.75" customHeight="1" spans="1:26">
      <c r="A176" s="52"/>
      <c r="B176" s="52"/>
      <c r="C176" s="52"/>
      <c r="D176" s="256"/>
      <c r="E176" s="256"/>
      <c r="F176" s="256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8.75" customHeight="1" spans="1:26">
      <c r="A177" s="52"/>
      <c r="B177" s="52"/>
      <c r="C177" s="52"/>
      <c r="D177" s="256"/>
      <c r="E177" s="256"/>
      <c r="F177" s="256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8.75" customHeight="1" spans="1:26">
      <c r="A178" s="52"/>
      <c r="B178" s="52"/>
      <c r="C178" s="52"/>
      <c r="D178" s="256"/>
      <c r="E178" s="256"/>
      <c r="F178" s="256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8.75" customHeight="1" spans="1:26">
      <c r="A179" s="52"/>
      <c r="B179" s="52"/>
      <c r="C179" s="52"/>
      <c r="D179" s="256"/>
      <c r="E179" s="256"/>
      <c r="F179" s="256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8.75" customHeight="1" spans="1:26">
      <c r="A180" s="52"/>
      <c r="B180" s="52"/>
      <c r="C180" s="52"/>
      <c r="D180" s="256"/>
      <c r="E180" s="256"/>
      <c r="F180" s="256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8.75" customHeight="1" spans="1:26">
      <c r="A181" s="52"/>
      <c r="B181" s="52"/>
      <c r="C181" s="52"/>
      <c r="D181" s="256"/>
      <c r="E181" s="256"/>
      <c r="F181" s="256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8.75" customHeight="1" spans="1:26">
      <c r="A182" s="52"/>
      <c r="B182" s="52"/>
      <c r="C182" s="52"/>
      <c r="D182" s="256"/>
      <c r="E182" s="256"/>
      <c r="F182" s="256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8.75" customHeight="1" spans="1:26">
      <c r="A183" s="52"/>
      <c r="B183" s="52"/>
      <c r="C183" s="52"/>
      <c r="D183" s="256"/>
      <c r="E183" s="256"/>
      <c r="F183" s="256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8.75" customHeight="1" spans="1:26">
      <c r="A184" s="52"/>
      <c r="B184" s="52"/>
      <c r="C184" s="52"/>
      <c r="D184" s="256"/>
      <c r="E184" s="256"/>
      <c r="F184" s="256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8.75" customHeight="1" spans="1:26">
      <c r="A185" s="52"/>
      <c r="B185" s="52"/>
      <c r="C185" s="52"/>
      <c r="D185" s="256"/>
      <c r="E185" s="256"/>
      <c r="F185" s="256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8.75" customHeight="1" spans="1:26">
      <c r="A186" s="52"/>
      <c r="B186" s="52"/>
      <c r="C186" s="52"/>
      <c r="D186" s="256"/>
      <c r="E186" s="256"/>
      <c r="F186" s="256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8.75" customHeight="1" spans="1:26">
      <c r="A187" s="52"/>
      <c r="B187" s="52"/>
      <c r="C187" s="52"/>
      <c r="D187" s="256"/>
      <c r="E187" s="256"/>
      <c r="F187" s="256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8.75" customHeight="1" spans="1:26">
      <c r="A188" s="52"/>
      <c r="B188" s="52"/>
      <c r="C188" s="52"/>
      <c r="D188" s="256"/>
      <c r="E188" s="256"/>
      <c r="F188" s="256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8.75" customHeight="1" spans="1:26">
      <c r="A189" s="52"/>
      <c r="B189" s="52"/>
      <c r="C189" s="52"/>
      <c r="D189" s="256"/>
      <c r="E189" s="256"/>
      <c r="F189" s="256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8.75" customHeight="1" spans="1:26">
      <c r="A190" s="52"/>
      <c r="B190" s="52"/>
      <c r="C190" s="52"/>
      <c r="D190" s="256"/>
      <c r="E190" s="256"/>
      <c r="F190" s="256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8.75" customHeight="1" spans="1:26">
      <c r="A191" s="52"/>
      <c r="B191" s="52"/>
      <c r="C191" s="52"/>
      <c r="D191" s="256"/>
      <c r="E191" s="256"/>
      <c r="F191" s="256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8.75" customHeight="1" spans="1:26">
      <c r="A192" s="52"/>
      <c r="B192" s="52"/>
      <c r="C192" s="52"/>
      <c r="D192" s="256"/>
      <c r="E192" s="256"/>
      <c r="F192" s="256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8.75" customHeight="1" spans="1:26">
      <c r="A193" s="52"/>
      <c r="B193" s="52"/>
      <c r="C193" s="52"/>
      <c r="D193" s="256"/>
      <c r="E193" s="256"/>
      <c r="F193" s="256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8.75" customHeight="1" spans="1:26">
      <c r="A194" s="52"/>
      <c r="B194" s="52"/>
      <c r="C194" s="52"/>
      <c r="D194" s="256"/>
      <c r="E194" s="256"/>
      <c r="F194" s="256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8.75" customHeight="1" spans="1:26">
      <c r="A195" s="52"/>
      <c r="B195" s="52"/>
      <c r="C195" s="52"/>
      <c r="D195" s="256"/>
      <c r="E195" s="256"/>
      <c r="F195" s="256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8.75" customHeight="1" spans="1:26">
      <c r="A196" s="52"/>
      <c r="B196" s="52"/>
      <c r="C196" s="52"/>
      <c r="D196" s="256"/>
      <c r="E196" s="256"/>
      <c r="F196" s="256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8.75" customHeight="1" spans="1:26">
      <c r="A197" s="52"/>
      <c r="B197" s="52"/>
      <c r="C197" s="52"/>
      <c r="D197" s="256"/>
      <c r="E197" s="256"/>
      <c r="F197" s="256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8.75" customHeight="1" spans="1:26">
      <c r="A198" s="52"/>
      <c r="B198" s="52"/>
      <c r="C198" s="52"/>
      <c r="D198" s="256"/>
      <c r="E198" s="256"/>
      <c r="F198" s="256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8.75" customHeight="1" spans="1:26">
      <c r="A199" s="52"/>
      <c r="B199" s="52"/>
      <c r="C199" s="52"/>
      <c r="D199" s="256"/>
      <c r="E199" s="256"/>
      <c r="F199" s="256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8.75" customHeight="1" spans="1:26">
      <c r="A200" s="52"/>
      <c r="B200" s="52"/>
      <c r="C200" s="52"/>
      <c r="D200" s="256"/>
      <c r="E200" s="256"/>
      <c r="F200" s="256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8.75" customHeight="1" spans="1:26">
      <c r="A201" s="52"/>
      <c r="B201" s="52"/>
      <c r="C201" s="52"/>
      <c r="D201" s="256"/>
      <c r="E201" s="256"/>
      <c r="F201" s="256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8.75" customHeight="1" spans="1:26">
      <c r="A202" s="52"/>
      <c r="B202" s="52"/>
      <c r="C202" s="52"/>
      <c r="D202" s="256"/>
      <c r="E202" s="256"/>
      <c r="F202" s="256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8.75" customHeight="1" spans="1:26">
      <c r="A203" s="52"/>
      <c r="B203" s="52"/>
      <c r="C203" s="52"/>
      <c r="D203" s="256"/>
      <c r="E203" s="256"/>
      <c r="F203" s="256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8.75" customHeight="1" spans="1:26">
      <c r="A204" s="52"/>
      <c r="B204" s="52"/>
      <c r="C204" s="52"/>
      <c r="D204" s="256"/>
      <c r="E204" s="256"/>
      <c r="F204" s="256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8.75" customHeight="1" spans="1:26">
      <c r="A205" s="52"/>
      <c r="B205" s="52"/>
      <c r="C205" s="52"/>
      <c r="D205" s="256"/>
      <c r="E205" s="256"/>
      <c r="F205" s="256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8.75" customHeight="1" spans="1:26">
      <c r="A206" s="52"/>
      <c r="B206" s="52"/>
      <c r="C206" s="52"/>
      <c r="D206" s="256"/>
      <c r="E206" s="256"/>
      <c r="F206" s="256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8.75" customHeight="1" spans="1:26">
      <c r="A207" s="52"/>
      <c r="B207" s="52"/>
      <c r="C207" s="52"/>
      <c r="D207" s="256"/>
      <c r="E207" s="256"/>
      <c r="F207" s="256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8.75" customHeight="1" spans="1:26">
      <c r="A208" s="52"/>
      <c r="B208" s="52"/>
      <c r="C208" s="52"/>
      <c r="D208" s="256"/>
      <c r="E208" s="256"/>
      <c r="F208" s="256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8.75" customHeight="1" spans="1:26">
      <c r="A209" s="52"/>
      <c r="B209" s="52"/>
      <c r="C209" s="52"/>
      <c r="D209" s="256"/>
      <c r="E209" s="256"/>
      <c r="F209" s="256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8.75" customHeight="1" spans="1:26">
      <c r="A210" s="52"/>
      <c r="B210" s="52"/>
      <c r="C210" s="52"/>
      <c r="D210" s="256"/>
      <c r="E210" s="256"/>
      <c r="F210" s="256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8.75" customHeight="1" spans="1:26">
      <c r="A211" s="52"/>
      <c r="B211" s="52"/>
      <c r="C211" s="52"/>
      <c r="D211" s="256"/>
      <c r="E211" s="256"/>
      <c r="F211" s="256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8.75" customHeight="1" spans="1:26">
      <c r="A212" s="52"/>
      <c r="B212" s="52"/>
      <c r="C212" s="52"/>
      <c r="D212" s="256"/>
      <c r="E212" s="256"/>
      <c r="F212" s="256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8.75" customHeight="1" spans="1:26">
      <c r="A213" s="52"/>
      <c r="B213" s="52"/>
      <c r="C213" s="52"/>
      <c r="D213" s="256"/>
      <c r="E213" s="256"/>
      <c r="F213" s="256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8.75" customHeight="1" spans="1:26">
      <c r="A214" s="52"/>
      <c r="B214" s="52"/>
      <c r="C214" s="52"/>
      <c r="D214" s="256"/>
      <c r="E214" s="256"/>
      <c r="F214" s="256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8.75" customHeight="1" spans="1:26">
      <c r="A215" s="52"/>
      <c r="B215" s="52"/>
      <c r="C215" s="52"/>
      <c r="D215" s="256"/>
      <c r="E215" s="256"/>
      <c r="F215" s="256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8.75" customHeight="1" spans="1:26">
      <c r="A216" s="52"/>
      <c r="B216" s="52"/>
      <c r="C216" s="52"/>
      <c r="D216" s="256"/>
      <c r="E216" s="256"/>
      <c r="F216" s="256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8.75" customHeight="1" spans="1:26">
      <c r="A217" s="52"/>
      <c r="B217" s="52"/>
      <c r="C217" s="52"/>
      <c r="D217" s="256"/>
      <c r="E217" s="256"/>
      <c r="F217" s="256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8.75" customHeight="1" spans="1:26">
      <c r="A218" s="52"/>
      <c r="B218" s="52"/>
      <c r="C218" s="52"/>
      <c r="D218" s="256"/>
      <c r="E218" s="256"/>
      <c r="F218" s="256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8.75" customHeight="1" spans="1:26">
      <c r="A219" s="52"/>
      <c r="B219" s="52"/>
      <c r="C219" s="52"/>
      <c r="D219" s="256"/>
      <c r="E219" s="256"/>
      <c r="F219" s="256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8.75" customHeight="1" spans="1:26">
      <c r="A220" s="52"/>
      <c r="B220" s="52"/>
      <c r="C220" s="52"/>
      <c r="D220" s="256"/>
      <c r="E220" s="256"/>
      <c r="F220" s="256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8.75" customHeight="1" spans="1:26">
      <c r="A221" s="52"/>
      <c r="B221" s="52"/>
      <c r="C221" s="52"/>
      <c r="D221" s="256"/>
      <c r="E221" s="256"/>
      <c r="F221" s="256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8.75" customHeight="1" spans="1:26">
      <c r="A222" s="52"/>
      <c r="B222" s="52"/>
      <c r="C222" s="52"/>
      <c r="D222" s="256"/>
      <c r="E222" s="256"/>
      <c r="F222" s="256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8.75" customHeight="1" spans="1:26">
      <c r="A223" s="52"/>
      <c r="B223" s="52"/>
      <c r="C223" s="52"/>
      <c r="D223" s="256"/>
      <c r="E223" s="256"/>
      <c r="F223" s="256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8.75" customHeight="1" spans="1:26">
      <c r="A224" s="52"/>
      <c r="B224" s="52"/>
      <c r="C224" s="52"/>
      <c r="D224" s="256"/>
      <c r="E224" s="256"/>
      <c r="F224" s="256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8.75" customHeight="1" spans="1:26">
      <c r="A225" s="52"/>
      <c r="B225" s="52"/>
      <c r="C225" s="52"/>
      <c r="D225" s="256"/>
      <c r="E225" s="256"/>
      <c r="F225" s="256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8.75" customHeight="1" spans="1:26">
      <c r="A226" s="52"/>
      <c r="B226" s="52"/>
      <c r="C226" s="52"/>
      <c r="D226" s="256"/>
      <c r="E226" s="256"/>
      <c r="F226" s="256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8.75" customHeight="1" spans="1:26">
      <c r="A227" s="52"/>
      <c r="B227" s="52"/>
      <c r="C227" s="52"/>
      <c r="D227" s="256"/>
      <c r="E227" s="256"/>
      <c r="F227" s="256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8.75" customHeight="1" spans="1:26">
      <c r="A228" s="52"/>
      <c r="B228" s="52"/>
      <c r="C228" s="52"/>
      <c r="D228" s="256"/>
      <c r="E228" s="256"/>
      <c r="F228" s="256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8.75" customHeight="1" spans="1:26">
      <c r="A229" s="52"/>
      <c r="B229" s="52"/>
      <c r="C229" s="52"/>
      <c r="D229" s="256"/>
      <c r="E229" s="256"/>
      <c r="F229" s="256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8.75" customHeight="1" spans="1:26">
      <c r="A230" s="52"/>
      <c r="B230" s="52"/>
      <c r="C230" s="52"/>
      <c r="D230" s="256"/>
      <c r="E230" s="256"/>
      <c r="F230" s="256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8.75" customHeight="1" spans="1:26">
      <c r="A231" s="52"/>
      <c r="B231" s="52"/>
      <c r="C231" s="52"/>
      <c r="D231" s="256"/>
      <c r="E231" s="256"/>
      <c r="F231" s="256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8.75" customHeight="1" spans="1:26">
      <c r="A232" s="52"/>
      <c r="B232" s="52"/>
      <c r="C232" s="52"/>
      <c r="D232" s="256"/>
      <c r="E232" s="256"/>
      <c r="F232" s="256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8.75" customHeight="1" spans="1:26">
      <c r="A233" s="52"/>
      <c r="B233" s="52"/>
      <c r="C233" s="52"/>
      <c r="D233" s="256"/>
      <c r="E233" s="256"/>
      <c r="F233" s="256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8.75" customHeight="1" spans="1:26">
      <c r="A234" s="52"/>
      <c r="B234" s="52"/>
      <c r="C234" s="52"/>
      <c r="D234" s="256"/>
      <c r="E234" s="256"/>
      <c r="F234" s="256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8.75" customHeight="1" spans="1:26">
      <c r="A235" s="52"/>
      <c r="B235" s="52"/>
      <c r="C235" s="52"/>
      <c r="D235" s="256"/>
      <c r="E235" s="256"/>
      <c r="F235" s="256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8.75" customHeight="1" spans="1:26">
      <c r="A236" s="52"/>
      <c r="B236" s="52"/>
      <c r="C236" s="52"/>
      <c r="D236" s="256"/>
      <c r="E236" s="256"/>
      <c r="F236" s="256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8.75" customHeight="1" spans="1:26">
      <c r="A237" s="52"/>
      <c r="B237" s="52"/>
      <c r="C237" s="52"/>
      <c r="D237" s="256"/>
      <c r="E237" s="256"/>
      <c r="F237" s="256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8.75" customHeight="1" spans="1:26">
      <c r="A238" s="52"/>
      <c r="B238" s="52"/>
      <c r="C238" s="52"/>
      <c r="D238" s="256"/>
      <c r="E238" s="256"/>
      <c r="F238" s="256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8.75" customHeight="1" spans="1:26">
      <c r="A239" s="52"/>
      <c r="B239" s="52"/>
      <c r="C239" s="52"/>
      <c r="D239" s="256"/>
      <c r="E239" s="256"/>
      <c r="F239" s="256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8.75" customHeight="1" spans="1:26">
      <c r="A240" s="52"/>
      <c r="B240" s="52"/>
      <c r="C240" s="52"/>
      <c r="D240" s="256"/>
      <c r="E240" s="256"/>
      <c r="F240" s="256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8.75" customHeight="1" spans="1:26">
      <c r="A241" s="52"/>
      <c r="B241" s="52"/>
      <c r="C241" s="52"/>
      <c r="D241" s="256"/>
      <c r="E241" s="256"/>
      <c r="F241" s="256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8.75" customHeight="1" spans="1:26">
      <c r="A242" s="52"/>
      <c r="B242" s="52"/>
      <c r="C242" s="52"/>
      <c r="D242" s="256"/>
      <c r="E242" s="256"/>
      <c r="F242" s="256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8.75" customHeight="1" spans="1:26">
      <c r="A243" s="52"/>
      <c r="B243" s="52"/>
      <c r="C243" s="52"/>
      <c r="D243" s="256"/>
      <c r="E243" s="256"/>
      <c r="F243" s="256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8.75" customHeight="1" spans="1:26">
      <c r="A244" s="52"/>
      <c r="B244" s="52"/>
      <c r="C244" s="52"/>
      <c r="D244" s="256"/>
      <c r="E244" s="256"/>
      <c r="F244" s="256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8.75" customHeight="1" spans="1:26">
      <c r="A245" s="52"/>
      <c r="B245" s="52"/>
      <c r="C245" s="52"/>
      <c r="D245" s="256"/>
      <c r="E245" s="256"/>
      <c r="F245" s="256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8.75" customHeight="1" spans="1:26">
      <c r="A246" s="52"/>
      <c r="B246" s="52"/>
      <c r="C246" s="52"/>
      <c r="D246" s="256"/>
      <c r="E246" s="256"/>
      <c r="F246" s="256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8.75" customHeight="1" spans="1:26">
      <c r="A247" s="52"/>
      <c r="B247" s="52"/>
      <c r="C247" s="52"/>
      <c r="D247" s="256"/>
      <c r="E247" s="256"/>
      <c r="F247" s="256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8.75" customHeight="1" spans="1:26">
      <c r="A248" s="52"/>
      <c r="B248" s="52"/>
      <c r="C248" s="52"/>
      <c r="D248" s="256"/>
      <c r="E248" s="256"/>
      <c r="F248" s="256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8.75" customHeight="1" spans="1:26">
      <c r="A249" s="52"/>
      <c r="B249" s="52"/>
      <c r="C249" s="52"/>
      <c r="D249" s="256"/>
      <c r="E249" s="256"/>
      <c r="F249" s="256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8.75" customHeight="1" spans="1:26">
      <c r="A250" s="52"/>
      <c r="B250" s="52"/>
      <c r="C250" s="52"/>
      <c r="D250" s="256"/>
      <c r="E250" s="256"/>
      <c r="F250" s="256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8.75" customHeight="1" spans="1:26">
      <c r="A251" s="52"/>
      <c r="B251" s="52"/>
      <c r="C251" s="52"/>
      <c r="D251" s="256"/>
      <c r="E251" s="256"/>
      <c r="F251" s="256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8.75" customHeight="1" spans="1:26">
      <c r="A252" s="52"/>
      <c r="B252" s="52"/>
      <c r="C252" s="52"/>
      <c r="D252" s="256"/>
      <c r="E252" s="256"/>
      <c r="F252" s="256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8.75" customHeight="1" spans="1:26">
      <c r="A253" s="52"/>
      <c r="B253" s="52"/>
      <c r="C253" s="52"/>
      <c r="D253" s="256"/>
      <c r="E253" s="256"/>
      <c r="F253" s="256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8.75" customHeight="1" spans="1:26">
      <c r="A254" s="52"/>
      <c r="B254" s="52"/>
      <c r="C254" s="52"/>
      <c r="D254" s="256"/>
      <c r="E254" s="256"/>
      <c r="F254" s="256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3"/>
  </mergeCells>
  <pageMargins left="0.7" right="0.7" top="0.75" bottom="0.75" header="0" footer="0"/>
  <pageSetup paperSize="1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2:BK1000"/>
  <sheetViews>
    <sheetView workbookViewId="0">
      <selection activeCell="A1" sqref="A1"/>
    </sheetView>
  </sheetViews>
  <sheetFormatPr defaultColWidth="12.6271186440678" defaultRowHeight="15" customHeight="1"/>
  <cols>
    <col min="1" max="1" width="3.5" customWidth="1"/>
    <col min="2" max="2" width="3" customWidth="1"/>
    <col min="3" max="3" width="8" customWidth="1"/>
    <col min="4" max="4" width="1.6271186440678" customWidth="1"/>
    <col min="5" max="5" width="4.5" customWidth="1"/>
    <col min="6" max="6" width="6.88135593220339" customWidth="1"/>
    <col min="7" max="7" width="8.25423728813559" customWidth="1"/>
    <col min="8" max="8" width="2.38135593220339" customWidth="1"/>
    <col min="9" max="10" width="2.1271186440678" customWidth="1"/>
    <col min="11" max="11" width="2" customWidth="1"/>
    <col min="12" max="12" width="6.25423728813559" customWidth="1"/>
    <col min="13" max="13" width="2.75423728813559" customWidth="1"/>
    <col min="14" max="14" width="3.25423728813559" customWidth="1"/>
    <col min="15" max="15" width="3" customWidth="1"/>
    <col min="16" max="16" width="8" customWidth="1"/>
    <col min="17" max="17" width="1.6271186440678" customWidth="1"/>
    <col min="18" max="18" width="4.5" customWidth="1"/>
    <col min="19" max="19" width="5.88135593220339" customWidth="1"/>
    <col min="20" max="20" width="8.25423728813559" customWidth="1"/>
    <col min="21" max="21" width="2.38135593220339" customWidth="1"/>
    <col min="22" max="23" width="2.1271186440678" customWidth="1"/>
    <col min="24" max="24" width="2" customWidth="1"/>
    <col min="25" max="25" width="6.88135593220339" customWidth="1"/>
    <col min="26" max="26" width="3.88135593220339" customWidth="1"/>
    <col min="27" max="27" width="3.6271186440678" customWidth="1"/>
    <col min="28" max="28" width="3" customWidth="1"/>
    <col min="29" max="29" width="8" customWidth="1"/>
    <col min="30" max="30" width="1.6271186440678" customWidth="1"/>
    <col min="31" max="31" width="4.5" customWidth="1"/>
    <col min="32" max="32" width="5" customWidth="1"/>
    <col min="33" max="33" width="8.25423728813559" customWidth="1"/>
    <col min="34" max="34" width="2.38135593220339" customWidth="1"/>
    <col min="35" max="36" width="2.1271186440678" customWidth="1"/>
    <col min="37" max="37" width="2" customWidth="1"/>
    <col min="38" max="38" width="5.5" customWidth="1"/>
    <col min="39" max="39" width="5" customWidth="1"/>
    <col min="40" max="40" width="3.5" customWidth="1"/>
    <col min="41" max="41" width="3" customWidth="1"/>
    <col min="42" max="42" width="8" customWidth="1"/>
    <col min="43" max="43" width="1.6271186440678" customWidth="1"/>
    <col min="44" max="44" width="4.5" customWidth="1"/>
    <col min="45" max="45" width="6.1271186440678" customWidth="1"/>
    <col min="46" max="46" width="8.25423728813559" customWidth="1"/>
    <col min="47" max="47" width="2.38135593220339" customWidth="1"/>
    <col min="48" max="49" width="2.1271186440678" customWidth="1"/>
    <col min="50" max="50" width="2" customWidth="1"/>
    <col min="51" max="51" width="4.5" customWidth="1"/>
    <col min="52" max="52" width="4.6271186440678" customWidth="1"/>
    <col min="53" max="53" width="2" customWidth="1"/>
    <col min="54" max="54" width="10.1271186440678" customWidth="1"/>
    <col min="55" max="62" width="8" customWidth="1"/>
    <col min="63" max="63" width="12" customWidth="1"/>
  </cols>
  <sheetData>
    <row r="2" ht="18.4" spans="1:63">
      <c r="A2" s="140" t="str">
        <f>BB3</f>
        <v>PK-AZD</v>
      </c>
      <c r="B2" s="65"/>
      <c r="C2" s="65"/>
      <c r="D2" s="65"/>
      <c r="E2" s="65"/>
      <c r="F2" s="66"/>
      <c r="N2" s="141"/>
      <c r="AA2" s="141"/>
      <c r="AN2" s="141"/>
      <c r="BB2" s="142">
        <f ca="1">TODAY()</f>
        <v>46283</v>
      </c>
      <c r="BC2" s="143"/>
      <c r="BD2" s="143"/>
      <c r="BE2" s="143"/>
      <c r="BF2" s="143"/>
      <c r="BG2" s="143"/>
      <c r="BH2" s="144" t="s">
        <v>0</v>
      </c>
      <c r="BI2" s="15"/>
      <c r="BJ2" s="143"/>
      <c r="BK2" s="143"/>
    </row>
    <row r="3" ht="18.4" spans="1:63">
      <c r="A3" s="145" t="s">
        <v>71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7"/>
      <c r="N3" s="145" t="s">
        <v>71</v>
      </c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7"/>
      <c r="AA3" s="145" t="s">
        <v>71</v>
      </c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7"/>
      <c r="AN3" s="145" t="s">
        <v>71</v>
      </c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7"/>
      <c r="BB3" s="148" t="s">
        <v>157</v>
      </c>
      <c r="BC3" s="143"/>
      <c r="BD3" s="143"/>
      <c r="BE3" s="143"/>
      <c r="BF3" s="143"/>
      <c r="BG3" s="143"/>
      <c r="BH3" s="149">
        <f>BE4-BJ3</f>
        <v>0.243055555555556</v>
      </c>
      <c r="BI3" s="150"/>
      <c r="BJ3" s="151">
        <v>0.25</v>
      </c>
      <c r="BK3" s="143"/>
    </row>
    <row r="4" ht="18.4" spans="1:63">
      <c r="A4" s="152"/>
      <c r="B4" s="153" t="s">
        <v>73</v>
      </c>
      <c r="C4" s="154"/>
      <c r="D4" s="154"/>
      <c r="E4" s="154"/>
      <c r="F4" s="154"/>
      <c r="G4" s="153"/>
      <c r="H4" s="153"/>
      <c r="I4" s="153"/>
      <c r="J4" s="155">
        <v>1</v>
      </c>
      <c r="K4" s="65"/>
      <c r="L4" s="66"/>
      <c r="M4" s="156"/>
      <c r="N4" s="157"/>
      <c r="O4" s="153" t="s">
        <v>73</v>
      </c>
      <c r="P4" s="154"/>
      <c r="Q4" s="154"/>
      <c r="R4" s="154"/>
      <c r="S4" s="154"/>
      <c r="T4" s="153"/>
      <c r="U4" s="153"/>
      <c r="V4" s="153"/>
      <c r="W4" s="155">
        <v>2</v>
      </c>
      <c r="X4" s="65"/>
      <c r="Y4" s="66"/>
      <c r="Z4" s="156"/>
      <c r="AA4" s="152"/>
      <c r="AB4" s="158" t="s">
        <v>73</v>
      </c>
      <c r="AC4" s="154"/>
      <c r="AD4" s="154"/>
      <c r="AE4" s="154"/>
      <c r="AF4" s="154"/>
      <c r="AG4" s="158"/>
      <c r="AH4" s="158"/>
      <c r="AI4" s="158"/>
      <c r="AJ4" s="159">
        <v>3</v>
      </c>
      <c r="AK4" s="65"/>
      <c r="AL4" s="66"/>
      <c r="AM4" s="160"/>
      <c r="AN4" s="152"/>
      <c r="AO4" s="158" t="s">
        <v>73</v>
      </c>
      <c r="AP4" s="154"/>
      <c r="AQ4" s="154"/>
      <c r="AR4" s="154"/>
      <c r="AS4" s="154"/>
      <c r="AT4" s="158"/>
      <c r="AU4" s="158"/>
      <c r="AV4" s="158"/>
      <c r="AW4" s="159">
        <v>4</v>
      </c>
      <c r="AX4" s="65"/>
      <c r="AY4" s="66"/>
      <c r="AZ4" s="160"/>
      <c r="BB4" s="161" t="s">
        <v>305</v>
      </c>
      <c r="BC4" s="161" t="s">
        <v>3</v>
      </c>
      <c r="BD4" s="161" t="s">
        <v>303</v>
      </c>
      <c r="BE4" s="162">
        <v>0.493055555555556</v>
      </c>
      <c r="BF4" s="162">
        <v>0.645833333333333</v>
      </c>
      <c r="BG4" s="143"/>
      <c r="BH4" s="143"/>
      <c r="BI4" s="143"/>
      <c r="BJ4" s="143"/>
      <c r="BK4" s="143"/>
    </row>
    <row r="5" ht="18.4" spans="1:63">
      <c r="A5" s="152"/>
      <c r="B5" s="163"/>
      <c r="C5" s="163"/>
      <c r="D5" s="164"/>
      <c r="E5" s="165"/>
      <c r="F5" s="165"/>
      <c r="G5" s="165"/>
      <c r="H5" s="165"/>
      <c r="I5" s="165"/>
      <c r="J5" s="164"/>
      <c r="K5" s="164"/>
      <c r="L5" s="166"/>
      <c r="M5" s="156"/>
      <c r="N5" s="157"/>
      <c r="O5" s="163"/>
      <c r="P5" s="163"/>
      <c r="Q5" s="164"/>
      <c r="R5" s="165"/>
      <c r="S5" s="165"/>
      <c r="T5" s="165"/>
      <c r="U5" s="165"/>
      <c r="V5" s="165"/>
      <c r="W5" s="164"/>
      <c r="X5" s="164"/>
      <c r="Y5" s="166"/>
      <c r="Z5" s="156"/>
      <c r="AA5" s="152"/>
      <c r="AB5" s="167"/>
      <c r="AC5" s="167"/>
      <c r="AD5" s="168"/>
      <c r="AE5" s="169"/>
      <c r="AF5" s="169"/>
      <c r="AG5" s="169"/>
      <c r="AH5" s="169"/>
      <c r="AI5" s="169"/>
      <c r="AJ5" s="168"/>
      <c r="AK5" s="168"/>
      <c r="AL5" s="170"/>
      <c r="AM5" s="160"/>
      <c r="AN5" s="152"/>
      <c r="AO5" s="167"/>
      <c r="AP5" s="167"/>
      <c r="AQ5" s="168"/>
      <c r="AR5" s="169"/>
      <c r="AS5" s="169"/>
      <c r="AT5" s="169"/>
      <c r="AU5" s="169"/>
      <c r="AV5" s="169"/>
      <c r="AW5" s="168"/>
      <c r="AX5" s="168"/>
      <c r="AY5" s="170"/>
      <c r="AZ5" s="160"/>
      <c r="BB5" s="161" t="s">
        <v>306</v>
      </c>
      <c r="BC5" s="161" t="str">
        <f>BD4</f>
        <v>DMK</v>
      </c>
      <c r="BD5" s="161" t="s">
        <v>3</v>
      </c>
      <c r="BE5" s="162">
        <v>0.666666666666667</v>
      </c>
      <c r="BF5" s="162">
        <v>0.8125</v>
      </c>
      <c r="BG5" s="171" t="str">
        <f>BB3</f>
        <v>PK-AZD</v>
      </c>
      <c r="BH5" s="143"/>
      <c r="BI5" s="143"/>
      <c r="BJ5" s="143"/>
      <c r="BK5" s="143"/>
    </row>
    <row r="6" ht="18" customHeight="1" spans="1:63">
      <c r="A6" s="152"/>
      <c r="B6" s="172" t="s">
        <v>77</v>
      </c>
      <c r="C6" s="97"/>
      <c r="D6" s="98"/>
      <c r="E6" s="173" t="str">
        <f>BB4</f>
        <v>AWQ 258</v>
      </c>
      <c r="F6" s="98"/>
      <c r="G6" s="174" t="s">
        <v>78</v>
      </c>
      <c r="H6" s="173"/>
      <c r="I6" s="97"/>
      <c r="J6" s="97"/>
      <c r="K6" s="97"/>
      <c r="L6" s="98"/>
      <c r="M6" s="156"/>
      <c r="N6" s="157"/>
      <c r="O6" s="172" t="s">
        <v>77</v>
      </c>
      <c r="P6" s="97"/>
      <c r="Q6" s="98"/>
      <c r="R6" s="173" t="str">
        <f>BB5</f>
        <v>AWQ 259</v>
      </c>
      <c r="S6" s="98"/>
      <c r="T6" s="174" t="s">
        <v>78</v>
      </c>
      <c r="U6" s="175"/>
      <c r="V6" s="97"/>
      <c r="W6" s="97"/>
      <c r="X6" s="97"/>
      <c r="Y6" s="98"/>
      <c r="Z6" s="156"/>
      <c r="AA6" s="152"/>
      <c r="AB6" s="176" t="s">
        <v>77</v>
      </c>
      <c r="AC6" s="97"/>
      <c r="AD6" s="98"/>
      <c r="AE6" s="177" t="str">
        <f>BB6</f>
        <v>AWQ 202</v>
      </c>
      <c r="AF6" s="98"/>
      <c r="AG6" s="178" t="s">
        <v>78</v>
      </c>
      <c r="AH6" s="177"/>
      <c r="AI6" s="97"/>
      <c r="AJ6" s="97"/>
      <c r="AK6" s="97"/>
      <c r="AL6" s="98"/>
      <c r="AM6" s="160"/>
      <c r="AN6" s="152"/>
      <c r="AO6" s="176" t="s">
        <v>77</v>
      </c>
      <c r="AP6" s="97"/>
      <c r="AQ6" s="98"/>
      <c r="AR6" s="177" t="str">
        <f>BB7</f>
        <v>AWQ 203</v>
      </c>
      <c r="AS6" s="98"/>
      <c r="AT6" s="178" t="s">
        <v>78</v>
      </c>
      <c r="AU6" s="177"/>
      <c r="AV6" s="97"/>
      <c r="AW6" s="97"/>
      <c r="AX6" s="97"/>
      <c r="AY6" s="98"/>
      <c r="AZ6" s="160"/>
      <c r="BB6" s="179" t="s">
        <v>307</v>
      </c>
      <c r="BC6" s="179" t="s">
        <v>3</v>
      </c>
      <c r="BD6" s="179" t="s">
        <v>4</v>
      </c>
      <c r="BE6" s="180">
        <v>0.479166666666667</v>
      </c>
      <c r="BF6" s="180">
        <v>0.565972222222222</v>
      </c>
      <c r="BG6" s="143"/>
      <c r="BH6" s="181" t="s">
        <v>0</v>
      </c>
      <c r="BI6" s="15"/>
      <c r="BJ6" s="143"/>
      <c r="BK6" s="143"/>
    </row>
    <row r="7" ht="18" customHeight="1" spans="1:63">
      <c r="A7" s="152"/>
      <c r="B7" s="172" t="s">
        <v>81</v>
      </c>
      <c r="C7" s="97"/>
      <c r="D7" s="98"/>
      <c r="E7" s="182" t="str">
        <f>BB3</f>
        <v>PK-AZD</v>
      </c>
      <c r="F7" s="98"/>
      <c r="G7" s="174" t="s">
        <v>82</v>
      </c>
      <c r="H7" s="183">
        <f>BE4</f>
        <v>0.493055555555556</v>
      </c>
      <c r="I7" s="97"/>
      <c r="J7" s="97"/>
      <c r="K7" s="97"/>
      <c r="L7" s="98"/>
      <c r="M7" s="184"/>
      <c r="N7" s="157"/>
      <c r="O7" s="172" t="s">
        <v>81</v>
      </c>
      <c r="P7" s="97"/>
      <c r="Q7" s="98"/>
      <c r="R7" s="185" t="str">
        <f>BG5</f>
        <v>PK-AZD</v>
      </c>
      <c r="S7" s="98"/>
      <c r="T7" s="174" t="s">
        <v>82</v>
      </c>
      <c r="U7" s="186">
        <f>BE5</f>
        <v>0.666666666666667</v>
      </c>
      <c r="V7" s="97"/>
      <c r="W7" s="97"/>
      <c r="X7" s="97"/>
      <c r="Y7" s="98"/>
      <c r="Z7" s="184"/>
      <c r="AA7" s="152"/>
      <c r="AB7" s="176" t="s">
        <v>81</v>
      </c>
      <c r="AC7" s="97"/>
      <c r="AD7" s="98"/>
      <c r="AE7" s="187" t="str">
        <f>R7</f>
        <v>PK-AZD</v>
      </c>
      <c r="AF7" s="98"/>
      <c r="AG7" s="178" t="s">
        <v>82</v>
      </c>
      <c r="AH7" s="188">
        <f>BE6</f>
        <v>0.479166666666667</v>
      </c>
      <c r="AI7" s="97"/>
      <c r="AJ7" s="97"/>
      <c r="AK7" s="97"/>
      <c r="AL7" s="98"/>
      <c r="AM7" s="189"/>
      <c r="AN7" s="152"/>
      <c r="AO7" s="176" t="s">
        <v>81</v>
      </c>
      <c r="AP7" s="97"/>
      <c r="AQ7" s="98"/>
      <c r="AR7" s="187" t="str">
        <f>AE7</f>
        <v>PK-AZD</v>
      </c>
      <c r="AS7" s="98"/>
      <c r="AT7" s="178" t="s">
        <v>82</v>
      </c>
      <c r="AU7" s="188">
        <f>BE7</f>
        <v>0.583333333333333</v>
      </c>
      <c r="AV7" s="97"/>
      <c r="AW7" s="97"/>
      <c r="AX7" s="97"/>
      <c r="AY7" s="98"/>
      <c r="AZ7" s="189"/>
      <c r="BB7" s="179" t="s">
        <v>308</v>
      </c>
      <c r="BC7" s="179" t="str">
        <f>BD6</f>
        <v>KUL</v>
      </c>
      <c r="BD7" s="179" t="s">
        <v>3</v>
      </c>
      <c r="BE7" s="180">
        <v>0.583333333333333</v>
      </c>
      <c r="BF7" s="180">
        <v>0.670138888888889</v>
      </c>
      <c r="BG7" s="143"/>
      <c r="BH7" s="190">
        <f>BE4-BJ7</f>
        <v>0.368055555555556</v>
      </c>
      <c r="BI7" s="150"/>
      <c r="BJ7" s="191">
        <v>0.125</v>
      </c>
      <c r="BK7" s="143"/>
    </row>
    <row r="8" ht="18" customHeight="1" spans="1:63">
      <c r="A8" s="152"/>
      <c r="B8" s="172" t="s">
        <v>84</v>
      </c>
      <c r="C8" s="97"/>
      <c r="D8" s="98"/>
      <c r="E8" s="173" t="str">
        <f>BC4</f>
        <v>CGK</v>
      </c>
      <c r="F8" s="98"/>
      <c r="G8" s="174" t="s">
        <v>85</v>
      </c>
      <c r="H8" s="192">
        <f>BD11</f>
        <v>0</v>
      </c>
      <c r="I8" s="97"/>
      <c r="J8" s="97"/>
      <c r="K8" s="97"/>
      <c r="L8" s="98"/>
      <c r="M8" s="184"/>
      <c r="N8" s="157"/>
      <c r="O8" s="172" t="s">
        <v>84</v>
      </c>
      <c r="P8" s="97"/>
      <c r="Q8" s="98"/>
      <c r="R8" s="173" t="str">
        <f>BC5</f>
        <v>DMK</v>
      </c>
      <c r="S8" s="98"/>
      <c r="T8" s="174" t="s">
        <v>85</v>
      </c>
      <c r="U8" s="193">
        <f>BD12</f>
        <v>0</v>
      </c>
      <c r="V8" s="97"/>
      <c r="W8" s="97"/>
      <c r="X8" s="97"/>
      <c r="Y8" s="98"/>
      <c r="Z8" s="184"/>
      <c r="AA8" s="152"/>
      <c r="AB8" s="176" t="s">
        <v>84</v>
      </c>
      <c r="AC8" s="97"/>
      <c r="AD8" s="98"/>
      <c r="AE8" s="177" t="str">
        <f>BC6</f>
        <v>CGK</v>
      </c>
      <c r="AF8" s="98"/>
      <c r="AG8" s="178" t="s">
        <v>85</v>
      </c>
      <c r="AH8" s="194">
        <f>BD13</f>
        <v>0</v>
      </c>
      <c r="AI8" s="97"/>
      <c r="AJ8" s="97"/>
      <c r="AK8" s="97"/>
      <c r="AL8" s="98"/>
      <c r="AM8" s="189"/>
      <c r="AN8" s="152"/>
      <c r="AO8" s="176" t="s">
        <v>84</v>
      </c>
      <c r="AP8" s="97"/>
      <c r="AQ8" s="98"/>
      <c r="AR8" s="177" t="str">
        <f>BC7</f>
        <v>KUL</v>
      </c>
      <c r="AS8" s="98"/>
      <c r="AT8" s="178" t="s">
        <v>85</v>
      </c>
      <c r="AU8" s="194">
        <f>BD14</f>
        <v>0</v>
      </c>
      <c r="AV8" s="97"/>
      <c r="AW8" s="97"/>
      <c r="AX8" s="97"/>
      <c r="AY8" s="98"/>
      <c r="AZ8" s="189"/>
      <c r="BB8" s="143"/>
      <c r="BC8" s="143"/>
      <c r="BD8" s="143"/>
      <c r="BE8" s="143"/>
      <c r="BF8" s="143"/>
      <c r="BG8" s="143"/>
      <c r="BH8" s="143"/>
      <c r="BI8" s="143"/>
      <c r="BJ8" s="143"/>
      <c r="BK8" s="143"/>
    </row>
    <row r="9" ht="18" customHeight="1" spans="1:63">
      <c r="A9" s="152"/>
      <c r="B9" s="172" t="s">
        <v>86</v>
      </c>
      <c r="C9" s="97"/>
      <c r="D9" s="98"/>
      <c r="E9" s="195">
        <f ca="1">BB2-1</f>
        <v>46282</v>
      </c>
      <c r="F9" s="98"/>
      <c r="G9" s="174" t="s">
        <v>87</v>
      </c>
      <c r="H9" s="192">
        <f>BB11</f>
        <v>0</v>
      </c>
      <c r="I9" s="97"/>
      <c r="J9" s="97"/>
      <c r="K9" s="97"/>
      <c r="L9" s="98"/>
      <c r="M9" s="184"/>
      <c r="N9" s="157"/>
      <c r="O9" s="172" t="s">
        <v>86</v>
      </c>
      <c r="P9" s="97"/>
      <c r="Q9" s="98"/>
      <c r="R9" s="195">
        <f ca="1">E9+1</f>
        <v>46283</v>
      </c>
      <c r="S9" s="98"/>
      <c r="T9" s="174" t="s">
        <v>87</v>
      </c>
      <c r="U9" s="193">
        <f>BB12</f>
        <v>0</v>
      </c>
      <c r="V9" s="97"/>
      <c r="W9" s="97"/>
      <c r="X9" s="97"/>
      <c r="Y9" s="98"/>
      <c r="Z9" s="184"/>
      <c r="AA9" s="152"/>
      <c r="AB9" s="176" t="s">
        <v>86</v>
      </c>
      <c r="AC9" s="97"/>
      <c r="AD9" s="98"/>
      <c r="AE9" s="196">
        <f ca="1">R9</f>
        <v>46283</v>
      </c>
      <c r="AF9" s="98"/>
      <c r="AG9" s="178" t="s">
        <v>87</v>
      </c>
      <c r="AH9" s="194">
        <f>BB13</f>
        <v>0</v>
      </c>
      <c r="AI9" s="97"/>
      <c r="AJ9" s="97"/>
      <c r="AK9" s="97"/>
      <c r="AL9" s="98"/>
      <c r="AM9" s="189"/>
      <c r="AN9" s="152"/>
      <c r="AO9" s="176" t="s">
        <v>86</v>
      </c>
      <c r="AP9" s="97"/>
      <c r="AQ9" s="98"/>
      <c r="AR9" s="196">
        <f ca="1">AE9</f>
        <v>46283</v>
      </c>
      <c r="AS9" s="98"/>
      <c r="AT9" s="178" t="s">
        <v>87</v>
      </c>
      <c r="AU9" s="194">
        <f>BB14</f>
        <v>0</v>
      </c>
      <c r="AV9" s="97"/>
      <c r="AW9" s="97"/>
      <c r="AX9" s="97"/>
      <c r="AY9" s="98"/>
      <c r="AZ9" s="189"/>
      <c r="BB9" s="143"/>
      <c r="BC9" s="143"/>
      <c r="BD9" s="143"/>
      <c r="BE9" s="143"/>
      <c r="BF9" s="143"/>
      <c r="BG9" s="143"/>
      <c r="BH9" s="143"/>
      <c r="BI9" s="143"/>
      <c r="BJ9" s="143"/>
      <c r="BK9" s="143"/>
    </row>
    <row r="10" ht="23.25" customHeight="1" spans="1:63">
      <c r="A10" s="152"/>
      <c r="B10" s="197"/>
      <c r="C10" s="197"/>
      <c r="D10" s="198"/>
      <c r="E10" s="198"/>
      <c r="F10" s="199"/>
      <c r="G10" s="199"/>
      <c r="H10" s="200"/>
      <c r="I10" s="199"/>
      <c r="J10" s="199"/>
      <c r="K10" s="199"/>
      <c r="L10" s="199"/>
      <c r="M10" s="201"/>
      <c r="N10" s="157"/>
      <c r="O10" s="197"/>
      <c r="P10" s="197"/>
      <c r="Q10" s="198"/>
      <c r="R10" s="202"/>
      <c r="S10" s="203"/>
      <c r="T10" s="203"/>
      <c r="U10" s="204"/>
      <c r="V10" s="203"/>
      <c r="W10" s="203"/>
      <c r="X10" s="203"/>
      <c r="Y10" s="203"/>
      <c r="Z10" s="201"/>
      <c r="AA10" s="152"/>
      <c r="AB10" s="205"/>
      <c r="AC10" s="205"/>
      <c r="AD10" s="206"/>
      <c r="AE10" s="207"/>
      <c r="AF10" s="208"/>
      <c r="AG10" s="208"/>
      <c r="AH10" s="209"/>
      <c r="AI10" s="208"/>
      <c r="AJ10" s="208"/>
      <c r="AK10" s="208"/>
      <c r="AL10" s="208"/>
      <c r="AM10" s="210"/>
      <c r="AN10" s="152"/>
      <c r="AO10" s="205"/>
      <c r="AP10" s="205"/>
      <c r="AQ10" s="206"/>
      <c r="AR10" s="207"/>
      <c r="AS10" s="208"/>
      <c r="AT10" s="208"/>
      <c r="AU10" s="209"/>
      <c r="AV10" s="208"/>
      <c r="AW10" s="208"/>
      <c r="AX10" s="208"/>
      <c r="AY10" s="208"/>
      <c r="AZ10" s="210"/>
      <c r="BB10" s="211" t="s">
        <v>9</v>
      </c>
      <c r="BC10" s="211" t="s">
        <v>10</v>
      </c>
      <c r="BD10" s="211" t="s">
        <v>148</v>
      </c>
      <c r="BE10" s="211" t="s">
        <v>12</v>
      </c>
      <c r="BF10" s="211" t="s">
        <v>13</v>
      </c>
      <c r="BG10" s="211" t="s">
        <v>89</v>
      </c>
      <c r="BH10" s="211" t="s">
        <v>14</v>
      </c>
      <c r="BI10" s="211" t="s">
        <v>15</v>
      </c>
      <c r="BJ10" s="211" t="s">
        <v>16</v>
      </c>
      <c r="BK10" s="143"/>
    </row>
    <row r="11" ht="18.75" customHeight="1" spans="1:63">
      <c r="A11" s="152"/>
      <c r="B11" s="212" t="s">
        <v>91</v>
      </c>
      <c r="C11" s="212"/>
      <c r="D11" s="212"/>
      <c r="E11" s="213"/>
      <c r="F11" s="213"/>
      <c r="G11" s="214">
        <v>66000</v>
      </c>
      <c r="H11" s="97"/>
      <c r="I11" s="97"/>
      <c r="J11" s="97"/>
      <c r="K11" s="97"/>
      <c r="L11" s="98"/>
      <c r="M11" s="215"/>
      <c r="N11" s="157"/>
      <c r="O11" s="212" t="s">
        <v>91</v>
      </c>
      <c r="P11" s="212"/>
      <c r="Q11" s="212"/>
      <c r="R11" s="164"/>
      <c r="S11" s="164"/>
      <c r="T11" s="214">
        <v>66000</v>
      </c>
      <c r="U11" s="97"/>
      <c r="V11" s="97"/>
      <c r="W11" s="97"/>
      <c r="X11" s="97"/>
      <c r="Y11" s="98"/>
      <c r="Z11" s="215"/>
      <c r="AA11" s="152"/>
      <c r="AB11" s="216" t="s">
        <v>91</v>
      </c>
      <c r="AC11" s="216"/>
      <c r="AD11" s="216"/>
      <c r="AE11" s="168"/>
      <c r="AF11" s="168"/>
      <c r="AG11" s="217">
        <v>66000</v>
      </c>
      <c r="AH11" s="97"/>
      <c r="AI11" s="97"/>
      <c r="AJ11" s="97"/>
      <c r="AK11" s="97"/>
      <c r="AL11" s="98"/>
      <c r="AM11" s="218"/>
      <c r="AN11" s="152"/>
      <c r="AO11" s="216" t="s">
        <v>91</v>
      </c>
      <c r="AP11" s="216"/>
      <c r="AQ11" s="216"/>
      <c r="AR11" s="168"/>
      <c r="AS11" s="168"/>
      <c r="AT11" s="217">
        <v>66000</v>
      </c>
      <c r="AU11" s="97"/>
      <c r="AV11" s="97"/>
      <c r="AW11" s="97"/>
      <c r="AX11" s="97"/>
      <c r="AY11" s="98"/>
      <c r="AZ11" s="218"/>
      <c r="BB11" s="219"/>
      <c r="BC11" s="219">
        <v>0</v>
      </c>
      <c r="BD11" s="219">
        <v>0</v>
      </c>
      <c r="BE11" s="219">
        <v>1000</v>
      </c>
      <c r="BF11" s="219">
        <f>120+72</f>
        <v>192</v>
      </c>
      <c r="BG11" s="219"/>
      <c r="BH11" s="219" t="s">
        <v>309</v>
      </c>
      <c r="BI11" s="219">
        <v>0</v>
      </c>
      <c r="BJ11" s="220">
        <v>0</v>
      </c>
      <c r="BK11" s="143"/>
    </row>
    <row r="12" ht="18.75" customHeight="1" spans="1:63">
      <c r="A12" s="152"/>
      <c r="B12" s="212" t="s">
        <v>93</v>
      </c>
      <c r="C12" s="212"/>
      <c r="D12" s="212"/>
      <c r="E12" s="213"/>
      <c r="F12" s="213"/>
      <c r="G12" s="221">
        <f>H8</f>
        <v>0</v>
      </c>
      <c r="H12" s="97"/>
      <c r="I12" s="97"/>
      <c r="J12" s="97"/>
      <c r="K12" s="97"/>
      <c r="L12" s="98"/>
      <c r="M12" s="184"/>
      <c r="N12" s="157"/>
      <c r="O12" s="212" t="s">
        <v>93</v>
      </c>
      <c r="P12" s="212"/>
      <c r="Q12" s="212"/>
      <c r="R12" s="164"/>
      <c r="S12" s="164"/>
      <c r="T12" s="221">
        <f>U8</f>
        <v>0</v>
      </c>
      <c r="U12" s="97"/>
      <c r="V12" s="97"/>
      <c r="W12" s="97"/>
      <c r="X12" s="97"/>
      <c r="Y12" s="98"/>
      <c r="Z12" s="184"/>
      <c r="AA12" s="152"/>
      <c r="AB12" s="216" t="s">
        <v>93</v>
      </c>
      <c r="AC12" s="216"/>
      <c r="AD12" s="216"/>
      <c r="AE12" s="168"/>
      <c r="AF12" s="168"/>
      <c r="AG12" s="222">
        <f>AH8</f>
        <v>0</v>
      </c>
      <c r="AH12" s="97"/>
      <c r="AI12" s="97"/>
      <c r="AJ12" s="97"/>
      <c r="AK12" s="97"/>
      <c r="AL12" s="98"/>
      <c r="AM12" s="189"/>
      <c r="AN12" s="152"/>
      <c r="AO12" s="216" t="s">
        <v>93</v>
      </c>
      <c r="AP12" s="216"/>
      <c r="AQ12" s="216"/>
      <c r="AR12" s="168"/>
      <c r="AS12" s="168"/>
      <c r="AT12" s="222">
        <f>AU8</f>
        <v>0</v>
      </c>
      <c r="AU12" s="97"/>
      <c r="AV12" s="97"/>
      <c r="AW12" s="97"/>
      <c r="AX12" s="97"/>
      <c r="AY12" s="98"/>
      <c r="AZ12" s="189"/>
      <c r="BB12" s="219"/>
      <c r="BC12" s="219">
        <v>0</v>
      </c>
      <c r="BD12" s="219">
        <v>0</v>
      </c>
      <c r="BE12" s="219">
        <v>500</v>
      </c>
      <c r="BF12" s="219">
        <f>96+72</f>
        <v>168</v>
      </c>
      <c r="BG12" s="219"/>
      <c r="BH12" s="219" t="s">
        <v>44</v>
      </c>
      <c r="BI12" s="223">
        <v>1000</v>
      </c>
      <c r="BJ12" s="219">
        <v>162.5</v>
      </c>
      <c r="BK12" s="143"/>
    </row>
    <row r="13" ht="18.75" customHeight="1" spans="1:63">
      <c r="A13" s="152"/>
      <c r="B13" s="212" t="s">
        <v>94</v>
      </c>
      <c r="C13" s="212"/>
      <c r="D13" s="212"/>
      <c r="E13" s="213"/>
      <c r="F13" s="224" t="s">
        <v>95</v>
      </c>
      <c r="G13" s="225">
        <f>G11+G12</f>
        <v>66000</v>
      </c>
      <c r="H13" s="97"/>
      <c r="I13" s="97"/>
      <c r="J13" s="97"/>
      <c r="K13" s="97"/>
      <c r="L13" s="98"/>
      <c r="M13" s="184"/>
      <c r="N13" s="157"/>
      <c r="O13" s="212" t="s">
        <v>94</v>
      </c>
      <c r="P13" s="212"/>
      <c r="Q13" s="212"/>
      <c r="R13" s="164"/>
      <c r="S13" s="226" t="s">
        <v>95</v>
      </c>
      <c r="T13" s="225">
        <f>T11+T12</f>
        <v>66000</v>
      </c>
      <c r="U13" s="97"/>
      <c r="V13" s="97"/>
      <c r="W13" s="97"/>
      <c r="X13" s="97"/>
      <c r="Y13" s="98"/>
      <c r="Z13" s="184"/>
      <c r="AA13" s="152"/>
      <c r="AB13" s="216" t="s">
        <v>94</v>
      </c>
      <c r="AC13" s="216"/>
      <c r="AD13" s="216"/>
      <c r="AE13" s="168"/>
      <c r="AF13" s="227" t="s">
        <v>95</v>
      </c>
      <c r="AG13" s="228">
        <f>AG11+AG12</f>
        <v>66000</v>
      </c>
      <c r="AH13" s="97"/>
      <c r="AI13" s="97"/>
      <c r="AJ13" s="97"/>
      <c r="AK13" s="97"/>
      <c r="AL13" s="98"/>
      <c r="AM13" s="189"/>
      <c r="AN13" s="152"/>
      <c r="AO13" s="216" t="s">
        <v>94</v>
      </c>
      <c r="AP13" s="216"/>
      <c r="AQ13" s="216"/>
      <c r="AR13" s="168"/>
      <c r="AS13" s="227" t="s">
        <v>95</v>
      </c>
      <c r="AT13" s="228">
        <f>AT11+AT12</f>
        <v>66000</v>
      </c>
      <c r="AU13" s="97"/>
      <c r="AV13" s="97"/>
      <c r="AW13" s="97"/>
      <c r="AX13" s="97"/>
      <c r="AY13" s="98"/>
      <c r="AZ13" s="189"/>
      <c r="BB13" s="229"/>
      <c r="BC13" s="229"/>
      <c r="BD13" s="229"/>
      <c r="BE13" s="229"/>
      <c r="BF13" s="229"/>
      <c r="BG13" s="229"/>
      <c r="BH13" s="229"/>
      <c r="BI13" s="229"/>
      <c r="BJ13" s="230"/>
      <c r="BK13" s="143"/>
    </row>
    <row r="14" ht="18.75" customHeight="1" spans="1:63">
      <c r="A14" s="152"/>
      <c r="B14" s="212"/>
      <c r="C14" s="212"/>
      <c r="D14" s="212"/>
      <c r="E14" s="213"/>
      <c r="F14" s="213"/>
      <c r="G14" s="213"/>
      <c r="H14" s="213"/>
      <c r="I14" s="213"/>
      <c r="J14" s="213"/>
      <c r="K14" s="213"/>
      <c r="L14" s="213"/>
      <c r="M14" s="156"/>
      <c r="N14" s="157"/>
      <c r="O14" s="212"/>
      <c r="P14" s="212"/>
      <c r="Q14" s="212"/>
      <c r="R14" s="164"/>
      <c r="S14" s="164"/>
      <c r="T14" s="164"/>
      <c r="U14" s="164"/>
      <c r="V14" s="164"/>
      <c r="W14" s="164"/>
      <c r="X14" s="164"/>
      <c r="Y14" s="164"/>
      <c r="Z14" s="156"/>
      <c r="AA14" s="152"/>
      <c r="AB14" s="216"/>
      <c r="AC14" s="216"/>
      <c r="AD14" s="216"/>
      <c r="AE14" s="168"/>
      <c r="AF14" s="168"/>
      <c r="AG14" s="168"/>
      <c r="AH14" s="168"/>
      <c r="AI14" s="168"/>
      <c r="AJ14" s="168"/>
      <c r="AK14" s="168"/>
      <c r="AL14" s="168"/>
      <c r="AM14" s="160"/>
      <c r="AN14" s="152"/>
      <c r="AO14" s="216"/>
      <c r="AP14" s="216"/>
      <c r="AQ14" s="216"/>
      <c r="AR14" s="168"/>
      <c r="AS14" s="168"/>
      <c r="AT14" s="168"/>
      <c r="AU14" s="168"/>
      <c r="AV14" s="168"/>
      <c r="AW14" s="168"/>
      <c r="AX14" s="168"/>
      <c r="AY14" s="168"/>
      <c r="AZ14" s="160"/>
      <c r="BB14" s="229"/>
      <c r="BC14" s="229"/>
      <c r="BD14" s="229"/>
      <c r="BE14" s="229"/>
      <c r="BF14" s="229"/>
      <c r="BG14" s="229"/>
      <c r="BH14" s="229"/>
      <c r="BI14" s="231"/>
      <c r="BJ14" s="229"/>
      <c r="BK14" s="143"/>
    </row>
    <row r="15" ht="18.75" customHeight="1" spans="1:63">
      <c r="A15" s="152"/>
      <c r="B15" s="232" t="s">
        <v>96</v>
      </c>
      <c r="C15" s="233"/>
      <c r="D15" s="233"/>
      <c r="E15" s="234"/>
      <c r="F15" s="234"/>
      <c r="G15" s="234"/>
      <c r="H15" s="235"/>
      <c r="I15" s="236" t="s">
        <v>97</v>
      </c>
      <c r="J15" s="97"/>
      <c r="K15" s="97"/>
      <c r="L15" s="98"/>
      <c r="M15" s="156"/>
      <c r="N15" s="157"/>
      <c r="O15" s="232" t="s">
        <v>96</v>
      </c>
      <c r="P15" s="233"/>
      <c r="Q15" s="233"/>
      <c r="R15" s="237"/>
      <c r="S15" s="237"/>
      <c r="T15" s="237"/>
      <c r="U15" s="238"/>
      <c r="V15" s="239" t="s">
        <v>97</v>
      </c>
      <c r="W15" s="97"/>
      <c r="X15" s="97"/>
      <c r="Y15" s="98"/>
      <c r="Z15" s="156"/>
      <c r="AA15" s="152"/>
      <c r="AB15" s="240" t="s">
        <v>96</v>
      </c>
      <c r="AC15" s="241"/>
      <c r="AD15" s="241"/>
      <c r="AE15" s="242"/>
      <c r="AF15" s="242"/>
      <c r="AG15" s="242"/>
      <c r="AH15" s="243"/>
      <c r="AI15" s="244" t="s">
        <v>97</v>
      </c>
      <c r="AJ15" s="97"/>
      <c r="AK15" s="97"/>
      <c r="AL15" s="98"/>
      <c r="AM15" s="160"/>
      <c r="AN15" s="152"/>
      <c r="AO15" s="240" t="s">
        <v>96</v>
      </c>
      <c r="AP15" s="241"/>
      <c r="AQ15" s="241"/>
      <c r="AR15" s="242"/>
      <c r="AS15" s="242"/>
      <c r="AT15" s="242"/>
      <c r="AU15" s="243"/>
      <c r="AV15" s="244" t="s">
        <v>97</v>
      </c>
      <c r="AW15" s="97"/>
      <c r="AX15" s="97"/>
      <c r="AY15" s="98"/>
      <c r="AZ15" s="160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</row>
    <row r="16" ht="18.75" customHeight="1" spans="1:63">
      <c r="A16" s="152"/>
      <c r="B16" s="245" t="s">
        <v>98</v>
      </c>
      <c r="C16" s="246"/>
      <c r="D16" s="246"/>
      <c r="E16" s="236" t="s">
        <v>99</v>
      </c>
      <c r="F16" s="97"/>
      <c r="G16" s="97"/>
      <c r="H16" s="98"/>
      <c r="I16" s="236" t="s">
        <v>100</v>
      </c>
      <c r="J16" s="97"/>
      <c r="K16" s="97"/>
      <c r="L16" s="98"/>
      <c r="M16" s="156"/>
      <c r="N16" s="157"/>
      <c r="O16" s="245" t="s">
        <v>98</v>
      </c>
      <c r="P16" s="246"/>
      <c r="Q16" s="246"/>
      <c r="R16" s="239" t="s">
        <v>99</v>
      </c>
      <c r="S16" s="97"/>
      <c r="T16" s="97"/>
      <c r="U16" s="98"/>
      <c r="V16" s="239" t="s">
        <v>100</v>
      </c>
      <c r="W16" s="97"/>
      <c r="X16" s="97"/>
      <c r="Y16" s="98"/>
      <c r="Z16" s="156"/>
      <c r="AA16" s="152"/>
      <c r="AB16" s="247" t="s">
        <v>98</v>
      </c>
      <c r="AC16" s="248"/>
      <c r="AD16" s="248"/>
      <c r="AE16" s="244" t="s">
        <v>99</v>
      </c>
      <c r="AF16" s="97"/>
      <c r="AG16" s="97"/>
      <c r="AH16" s="98"/>
      <c r="AI16" s="244" t="s">
        <v>100</v>
      </c>
      <c r="AJ16" s="97"/>
      <c r="AK16" s="97"/>
      <c r="AL16" s="98"/>
      <c r="AM16" s="160"/>
      <c r="AN16" s="152"/>
      <c r="AO16" s="247" t="s">
        <v>98</v>
      </c>
      <c r="AP16" s="248"/>
      <c r="AQ16" s="248"/>
      <c r="AR16" s="244" t="s">
        <v>99</v>
      </c>
      <c r="AS16" s="97"/>
      <c r="AT16" s="97"/>
      <c r="AU16" s="98"/>
      <c r="AV16" s="244" t="s">
        <v>100</v>
      </c>
      <c r="AW16" s="97"/>
      <c r="AX16" s="97"/>
      <c r="AY16" s="98"/>
      <c r="AZ16" s="160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</row>
    <row r="17" ht="18.75" customHeight="1" spans="1:63">
      <c r="A17" s="152"/>
      <c r="B17" s="232" t="s">
        <v>94</v>
      </c>
      <c r="C17" s="233"/>
      <c r="D17" s="233"/>
      <c r="E17" s="235"/>
      <c r="F17" s="224" t="s">
        <v>101</v>
      </c>
      <c r="G17" s="249">
        <v>73500</v>
      </c>
      <c r="H17" s="97"/>
      <c r="I17" s="97"/>
      <c r="J17" s="97"/>
      <c r="K17" s="97"/>
      <c r="L17" s="98"/>
      <c r="M17" s="156"/>
      <c r="N17" s="157"/>
      <c r="O17" s="232" t="s">
        <v>94</v>
      </c>
      <c r="P17" s="233"/>
      <c r="Q17" s="233"/>
      <c r="R17" s="238"/>
      <c r="S17" s="226" t="s">
        <v>101</v>
      </c>
      <c r="T17" s="249">
        <f>G17</f>
        <v>73500</v>
      </c>
      <c r="U17" s="97"/>
      <c r="V17" s="97"/>
      <c r="W17" s="97"/>
      <c r="X17" s="97"/>
      <c r="Y17" s="98"/>
      <c r="Z17" s="156"/>
      <c r="AA17" s="152"/>
      <c r="AB17" s="240" t="s">
        <v>94</v>
      </c>
      <c r="AC17" s="241"/>
      <c r="AD17" s="241"/>
      <c r="AE17" s="243"/>
      <c r="AF17" s="227" t="s">
        <v>101</v>
      </c>
      <c r="AG17" s="228">
        <v>73500</v>
      </c>
      <c r="AH17" s="97"/>
      <c r="AI17" s="97"/>
      <c r="AJ17" s="97"/>
      <c r="AK17" s="97"/>
      <c r="AL17" s="98"/>
      <c r="AM17" s="160"/>
      <c r="AN17" s="152"/>
      <c r="AO17" s="240" t="s">
        <v>94</v>
      </c>
      <c r="AP17" s="241"/>
      <c r="AQ17" s="241"/>
      <c r="AR17" s="243"/>
      <c r="AS17" s="227" t="s">
        <v>101</v>
      </c>
      <c r="AT17" s="228">
        <v>73500</v>
      </c>
      <c r="AU17" s="97"/>
      <c r="AV17" s="97"/>
      <c r="AW17" s="97"/>
      <c r="AX17" s="97"/>
      <c r="AY17" s="98"/>
      <c r="AZ17" s="160"/>
      <c r="BB17" s="250" t="s">
        <v>19</v>
      </c>
      <c r="BC17" s="251" t="s">
        <v>310</v>
      </c>
      <c r="BD17" s="143"/>
      <c r="BE17" s="143"/>
      <c r="BF17" s="143"/>
      <c r="BG17" s="143"/>
      <c r="BH17" s="143"/>
      <c r="BI17" s="143"/>
      <c r="BJ17" s="143"/>
      <c r="BK17" s="143"/>
    </row>
    <row r="18" ht="18.75" customHeight="1" spans="1:63">
      <c r="A18" s="152"/>
      <c r="B18" s="212"/>
      <c r="C18" s="212"/>
      <c r="D18" s="212"/>
      <c r="E18" s="213"/>
      <c r="F18" s="213"/>
      <c r="G18" s="252"/>
      <c r="H18" s="252"/>
      <c r="I18" s="252"/>
      <c r="J18" s="252"/>
      <c r="K18" s="252"/>
      <c r="L18" s="252"/>
      <c r="M18" s="156"/>
      <c r="N18" s="157"/>
      <c r="O18" s="212"/>
      <c r="P18" s="212"/>
      <c r="Q18" s="212"/>
      <c r="R18" s="164"/>
      <c r="S18" s="164"/>
      <c r="T18" s="252"/>
      <c r="U18" s="252"/>
      <c r="V18" s="252"/>
      <c r="W18" s="252"/>
      <c r="X18" s="252"/>
      <c r="Y18" s="252"/>
      <c r="Z18" s="156"/>
      <c r="AA18" s="152"/>
      <c r="AB18" s="216"/>
      <c r="AC18" s="216"/>
      <c r="AD18" s="216"/>
      <c r="AE18" s="168"/>
      <c r="AF18" s="168"/>
      <c r="AG18" s="253"/>
      <c r="AH18" s="253"/>
      <c r="AI18" s="253"/>
      <c r="AJ18" s="253"/>
      <c r="AK18" s="253"/>
      <c r="AL18" s="253"/>
      <c r="AM18" s="160"/>
      <c r="AN18" s="152"/>
      <c r="AO18" s="216"/>
      <c r="AP18" s="216"/>
      <c r="AQ18" s="216"/>
      <c r="AR18" s="168"/>
      <c r="AS18" s="168"/>
      <c r="AT18" s="253"/>
      <c r="AU18" s="253"/>
      <c r="AV18" s="253"/>
      <c r="AW18" s="253"/>
      <c r="AX18" s="253"/>
      <c r="AY18" s="253"/>
      <c r="AZ18" s="160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</row>
    <row r="19" ht="18.75" customHeight="1" spans="1:63">
      <c r="A19" s="152"/>
      <c r="B19" s="232" t="s">
        <v>104</v>
      </c>
      <c r="C19" s="233"/>
      <c r="D19" s="233"/>
      <c r="E19" s="234"/>
      <c r="F19" s="235"/>
      <c r="G19" s="254">
        <f>G13</f>
        <v>66000</v>
      </c>
      <c r="H19" s="97"/>
      <c r="I19" s="97"/>
      <c r="J19" s="97"/>
      <c r="K19" s="97"/>
      <c r="L19" s="98"/>
      <c r="M19" s="184"/>
      <c r="N19" s="157"/>
      <c r="O19" s="232" t="s">
        <v>104</v>
      </c>
      <c r="P19" s="233"/>
      <c r="Q19" s="233"/>
      <c r="R19" s="237"/>
      <c r="S19" s="238"/>
      <c r="T19" s="254">
        <f>T13</f>
        <v>66000</v>
      </c>
      <c r="U19" s="97"/>
      <c r="V19" s="97"/>
      <c r="W19" s="97"/>
      <c r="X19" s="97"/>
      <c r="Y19" s="98"/>
      <c r="Z19" s="184"/>
      <c r="AA19" s="152"/>
      <c r="AB19" s="240" t="s">
        <v>104</v>
      </c>
      <c r="AC19" s="241"/>
      <c r="AD19" s="241"/>
      <c r="AE19" s="242"/>
      <c r="AF19" s="243"/>
      <c r="AG19" s="255">
        <f>AG13</f>
        <v>66000</v>
      </c>
      <c r="AH19" s="97"/>
      <c r="AI19" s="97"/>
      <c r="AJ19" s="97"/>
      <c r="AK19" s="97"/>
      <c r="AL19" s="98"/>
      <c r="AM19" s="189"/>
      <c r="AN19" s="152"/>
      <c r="AO19" s="240" t="s">
        <v>104</v>
      </c>
      <c r="AP19" s="241"/>
      <c r="AQ19" s="241"/>
      <c r="AR19" s="242"/>
      <c r="AS19" s="243"/>
      <c r="AT19" s="255">
        <f>AT13</f>
        <v>66000</v>
      </c>
      <c r="AU19" s="97"/>
      <c r="AV19" s="97"/>
      <c r="AW19" s="97"/>
      <c r="AX19" s="97"/>
      <c r="AY19" s="98"/>
      <c r="AZ19" s="189"/>
      <c r="BB19" s="250" t="s">
        <v>21</v>
      </c>
      <c r="BC19" s="256">
        <v>71137</v>
      </c>
      <c r="BD19" s="143"/>
      <c r="BE19" s="143"/>
      <c r="BF19" s="143"/>
      <c r="BG19" s="143"/>
      <c r="BH19" s="143"/>
      <c r="BI19" s="143"/>
      <c r="BJ19" s="143"/>
      <c r="BK19" s="143"/>
    </row>
    <row r="20" ht="18.75" customHeight="1" spans="1:63">
      <c r="A20" s="152"/>
      <c r="B20" s="232" t="s">
        <v>105</v>
      </c>
      <c r="C20" s="233"/>
      <c r="D20" s="233"/>
      <c r="E20" s="234"/>
      <c r="F20" s="235"/>
      <c r="G20" s="257">
        <f>BG11</f>
        <v>0</v>
      </c>
      <c r="H20" s="97"/>
      <c r="I20" s="97"/>
      <c r="J20" s="97"/>
      <c r="K20" s="97"/>
      <c r="L20" s="98"/>
      <c r="M20" s="184"/>
      <c r="N20" s="157"/>
      <c r="O20" s="232" t="s">
        <v>105</v>
      </c>
      <c r="P20" s="233"/>
      <c r="Q20" s="233"/>
      <c r="R20" s="237"/>
      <c r="S20" s="238"/>
      <c r="T20" s="257">
        <f>BG12</f>
        <v>0</v>
      </c>
      <c r="U20" s="97"/>
      <c r="V20" s="97"/>
      <c r="W20" s="97"/>
      <c r="X20" s="97"/>
      <c r="Y20" s="98"/>
      <c r="Z20" s="184"/>
      <c r="AA20" s="152"/>
      <c r="AB20" s="240" t="s">
        <v>105</v>
      </c>
      <c r="AC20" s="241"/>
      <c r="AD20" s="241"/>
      <c r="AE20" s="242"/>
      <c r="AF20" s="243"/>
      <c r="AG20" s="258">
        <f>BG13</f>
        <v>0</v>
      </c>
      <c r="AH20" s="97"/>
      <c r="AI20" s="97"/>
      <c r="AJ20" s="97"/>
      <c r="AK20" s="97"/>
      <c r="AL20" s="98"/>
      <c r="AM20" s="189"/>
      <c r="AN20" s="152"/>
      <c r="AO20" s="240" t="s">
        <v>105</v>
      </c>
      <c r="AP20" s="241"/>
      <c r="AQ20" s="241"/>
      <c r="AR20" s="242"/>
      <c r="AS20" s="243"/>
      <c r="AT20" s="258">
        <f>BG14</f>
        <v>0</v>
      </c>
      <c r="AU20" s="97"/>
      <c r="AV20" s="97"/>
      <c r="AW20" s="97"/>
      <c r="AX20" s="97"/>
      <c r="AY20" s="98"/>
      <c r="AZ20" s="189"/>
      <c r="BB20" s="250" t="s">
        <v>22</v>
      </c>
      <c r="BC20" s="256">
        <v>71141</v>
      </c>
      <c r="BD20" s="143"/>
      <c r="BE20" s="143"/>
      <c r="BF20" s="143"/>
      <c r="BG20" s="143"/>
      <c r="BH20" s="143"/>
      <c r="BI20" s="143"/>
      <c r="BJ20" s="143"/>
      <c r="BK20" s="143"/>
    </row>
    <row r="21" ht="18.75" customHeight="1" spans="1:63">
      <c r="A21" s="152"/>
      <c r="B21" s="232" t="s">
        <v>106</v>
      </c>
      <c r="C21" s="233"/>
      <c r="D21" s="233"/>
      <c r="E21" s="234"/>
      <c r="F21" s="235"/>
      <c r="G21" s="225">
        <f>G19-G20</f>
        <v>66000</v>
      </c>
      <c r="H21" s="97"/>
      <c r="I21" s="97"/>
      <c r="J21" s="97"/>
      <c r="K21" s="97"/>
      <c r="L21" s="98"/>
      <c r="M21" s="184"/>
      <c r="N21" s="157"/>
      <c r="O21" s="232" t="s">
        <v>106</v>
      </c>
      <c r="P21" s="233"/>
      <c r="Q21" s="233"/>
      <c r="R21" s="237"/>
      <c r="S21" s="238"/>
      <c r="T21" s="225">
        <f>T19-T20</f>
        <v>66000</v>
      </c>
      <c r="U21" s="97"/>
      <c r="V21" s="97"/>
      <c r="W21" s="97"/>
      <c r="X21" s="97"/>
      <c r="Y21" s="98"/>
      <c r="Z21" s="184"/>
      <c r="AA21" s="152"/>
      <c r="AB21" s="240" t="s">
        <v>106</v>
      </c>
      <c r="AC21" s="241"/>
      <c r="AD21" s="241"/>
      <c r="AE21" s="242"/>
      <c r="AF21" s="243"/>
      <c r="AG21" s="228">
        <f>AG19-AG20</f>
        <v>66000</v>
      </c>
      <c r="AH21" s="97"/>
      <c r="AI21" s="97"/>
      <c r="AJ21" s="97"/>
      <c r="AK21" s="97"/>
      <c r="AL21" s="98"/>
      <c r="AM21" s="189"/>
      <c r="AN21" s="152"/>
      <c r="AO21" s="240" t="s">
        <v>106</v>
      </c>
      <c r="AP21" s="241"/>
      <c r="AQ21" s="241"/>
      <c r="AR21" s="242"/>
      <c r="AS21" s="243"/>
      <c r="AT21" s="228">
        <f>AT19-AT20</f>
        <v>66000</v>
      </c>
      <c r="AU21" s="97"/>
      <c r="AV21" s="97"/>
      <c r="AW21" s="97"/>
      <c r="AX21" s="97"/>
      <c r="AY21" s="98"/>
      <c r="AZ21" s="189"/>
      <c r="BB21" s="259" t="s">
        <v>24</v>
      </c>
      <c r="BC21" s="260"/>
      <c r="BD21" s="143"/>
      <c r="BE21" s="143"/>
      <c r="BF21" s="143"/>
      <c r="BG21" s="143"/>
      <c r="BH21" s="143"/>
      <c r="BI21" s="143"/>
      <c r="BJ21" s="143"/>
      <c r="BK21" s="143"/>
    </row>
    <row r="22" ht="18.75" customHeight="1" spans="1:63">
      <c r="A22" s="152"/>
      <c r="B22" s="232" t="s">
        <v>107</v>
      </c>
      <c r="C22" s="233"/>
      <c r="D22" s="233"/>
      <c r="E22" s="234"/>
      <c r="F22" s="235"/>
      <c r="G22" s="221">
        <f>BE11</f>
        <v>1000</v>
      </c>
      <c r="H22" s="97"/>
      <c r="I22" s="97"/>
      <c r="J22" s="97"/>
      <c r="K22" s="97"/>
      <c r="L22" s="98"/>
      <c r="M22" s="184"/>
      <c r="N22" s="157"/>
      <c r="O22" s="232" t="s">
        <v>107</v>
      </c>
      <c r="P22" s="233"/>
      <c r="Q22" s="233"/>
      <c r="R22" s="237"/>
      <c r="S22" s="238"/>
      <c r="T22" s="221">
        <f>BE12</f>
        <v>500</v>
      </c>
      <c r="U22" s="97"/>
      <c r="V22" s="97"/>
      <c r="W22" s="97"/>
      <c r="X22" s="97"/>
      <c r="Y22" s="98"/>
      <c r="Z22" s="184"/>
      <c r="AA22" s="152"/>
      <c r="AB22" s="240" t="s">
        <v>107</v>
      </c>
      <c r="AC22" s="241"/>
      <c r="AD22" s="241"/>
      <c r="AE22" s="242"/>
      <c r="AF22" s="243"/>
      <c r="AG22" s="222">
        <f>BE13</f>
        <v>0</v>
      </c>
      <c r="AH22" s="97"/>
      <c r="AI22" s="97"/>
      <c r="AJ22" s="97"/>
      <c r="AK22" s="97"/>
      <c r="AL22" s="98"/>
      <c r="AM22" s="189"/>
      <c r="AN22" s="152"/>
      <c r="AO22" s="240" t="s">
        <v>107</v>
      </c>
      <c r="AP22" s="241"/>
      <c r="AQ22" s="241"/>
      <c r="AR22" s="242"/>
      <c r="AS22" s="243"/>
      <c r="AT22" s="222">
        <f>BE14</f>
        <v>0</v>
      </c>
      <c r="AU22" s="97"/>
      <c r="AV22" s="97"/>
      <c r="AW22" s="97"/>
      <c r="AX22" s="97"/>
      <c r="AY22" s="98"/>
      <c r="AZ22" s="189"/>
      <c r="BB22" s="259" t="s">
        <v>25</v>
      </c>
      <c r="BC22" s="260"/>
      <c r="BD22" s="143"/>
      <c r="BE22" s="143"/>
      <c r="BF22" s="143"/>
      <c r="BG22" s="143"/>
      <c r="BH22" s="143"/>
      <c r="BI22" s="143"/>
      <c r="BJ22" s="143"/>
      <c r="BK22" s="143"/>
    </row>
    <row r="23" ht="18.75" customHeight="1" spans="1:63">
      <c r="A23" s="152"/>
      <c r="B23" s="232" t="s">
        <v>108</v>
      </c>
      <c r="C23" s="233"/>
      <c r="D23" s="233"/>
      <c r="E23" s="234"/>
      <c r="F23" s="235"/>
      <c r="G23" s="261">
        <f>G21-G22</f>
        <v>65000</v>
      </c>
      <c r="H23" s="97"/>
      <c r="I23" s="97"/>
      <c r="J23" s="97"/>
      <c r="K23" s="97"/>
      <c r="L23" s="98"/>
      <c r="M23" s="184"/>
      <c r="N23" s="157"/>
      <c r="O23" s="232" t="s">
        <v>108</v>
      </c>
      <c r="P23" s="233"/>
      <c r="Q23" s="233"/>
      <c r="R23" s="237"/>
      <c r="S23" s="238"/>
      <c r="T23" s="261">
        <f>T21-T22</f>
        <v>65500</v>
      </c>
      <c r="U23" s="97"/>
      <c r="V23" s="97"/>
      <c r="W23" s="97"/>
      <c r="X23" s="97"/>
      <c r="Y23" s="98"/>
      <c r="Z23" s="184"/>
      <c r="AA23" s="152"/>
      <c r="AB23" s="240" t="s">
        <v>108</v>
      </c>
      <c r="AC23" s="241"/>
      <c r="AD23" s="241"/>
      <c r="AE23" s="242"/>
      <c r="AF23" s="243"/>
      <c r="AG23" s="262">
        <f>AG21-AG22</f>
        <v>66000</v>
      </c>
      <c r="AH23" s="97"/>
      <c r="AI23" s="97"/>
      <c r="AJ23" s="97"/>
      <c r="AK23" s="97"/>
      <c r="AL23" s="98"/>
      <c r="AM23" s="189"/>
      <c r="AN23" s="152"/>
      <c r="AO23" s="240" t="s">
        <v>108</v>
      </c>
      <c r="AP23" s="241"/>
      <c r="AQ23" s="241"/>
      <c r="AR23" s="242"/>
      <c r="AS23" s="243"/>
      <c r="AT23" s="262">
        <f>AT21-AT22</f>
        <v>66000</v>
      </c>
      <c r="AU23" s="97"/>
      <c r="AV23" s="97"/>
      <c r="AW23" s="97"/>
      <c r="AX23" s="97"/>
      <c r="AY23" s="98"/>
      <c r="AZ23" s="189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</row>
    <row r="24" ht="18.75" customHeight="1" spans="1:63">
      <c r="A24" s="152"/>
      <c r="B24" s="212"/>
      <c r="C24" s="212"/>
      <c r="D24" s="212"/>
      <c r="E24" s="213"/>
      <c r="F24" s="213"/>
      <c r="G24" s="252"/>
      <c r="H24" s="252"/>
      <c r="I24" s="252"/>
      <c r="J24" s="252"/>
      <c r="K24" s="252"/>
      <c r="L24" s="252"/>
      <c r="M24" s="156"/>
      <c r="N24" s="157"/>
      <c r="O24" s="212"/>
      <c r="P24" s="212"/>
      <c r="Q24" s="212"/>
      <c r="R24" s="164"/>
      <c r="S24" s="164"/>
      <c r="T24" s="252"/>
      <c r="U24" s="252"/>
      <c r="V24" s="252"/>
      <c r="W24" s="252"/>
      <c r="X24" s="252"/>
      <c r="Y24" s="252"/>
      <c r="Z24" s="156"/>
      <c r="AA24" s="152"/>
      <c r="AB24" s="216"/>
      <c r="AC24" s="216"/>
      <c r="AD24" s="216"/>
      <c r="AE24" s="168"/>
      <c r="AF24" s="168"/>
      <c r="AG24" s="253"/>
      <c r="AH24" s="253"/>
      <c r="AI24" s="253"/>
      <c r="AJ24" s="253"/>
      <c r="AK24" s="253"/>
      <c r="AL24" s="253"/>
      <c r="AM24" s="160"/>
      <c r="AN24" s="152"/>
      <c r="AO24" s="216"/>
      <c r="AP24" s="216"/>
      <c r="AQ24" s="216"/>
      <c r="AR24" s="168"/>
      <c r="AS24" s="168"/>
      <c r="AT24" s="253"/>
      <c r="AU24" s="253"/>
      <c r="AV24" s="253"/>
      <c r="AW24" s="253"/>
      <c r="AX24" s="253"/>
      <c r="AY24" s="253"/>
      <c r="AZ24" s="160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</row>
    <row r="25" ht="18.75" customHeight="1" spans="1:63">
      <c r="A25" s="152"/>
      <c r="B25" s="232" t="s">
        <v>109</v>
      </c>
      <c r="C25" s="233"/>
      <c r="D25" s="233"/>
      <c r="E25" s="234"/>
      <c r="F25" s="235"/>
      <c r="G25" s="263"/>
      <c r="H25" s="97"/>
      <c r="I25" s="97"/>
      <c r="J25" s="97"/>
      <c r="K25" s="97"/>
      <c r="L25" s="98"/>
      <c r="M25" s="156"/>
      <c r="N25" s="157"/>
      <c r="O25" s="232" t="s">
        <v>109</v>
      </c>
      <c r="P25" s="233"/>
      <c r="Q25" s="233"/>
      <c r="R25" s="237"/>
      <c r="S25" s="238"/>
      <c r="T25" s="263"/>
      <c r="U25" s="97"/>
      <c r="V25" s="97"/>
      <c r="W25" s="97"/>
      <c r="X25" s="97"/>
      <c r="Y25" s="98"/>
      <c r="Z25" s="156"/>
      <c r="AA25" s="152"/>
      <c r="AB25" s="240" t="s">
        <v>109</v>
      </c>
      <c r="AC25" s="241"/>
      <c r="AD25" s="241"/>
      <c r="AE25" s="242"/>
      <c r="AF25" s="243"/>
      <c r="AG25" s="264"/>
      <c r="AH25" s="97"/>
      <c r="AI25" s="97"/>
      <c r="AJ25" s="97"/>
      <c r="AK25" s="97"/>
      <c r="AL25" s="98"/>
      <c r="AM25" s="160"/>
      <c r="AN25" s="152"/>
      <c r="AO25" s="240" t="s">
        <v>109</v>
      </c>
      <c r="AP25" s="241"/>
      <c r="AQ25" s="241"/>
      <c r="AR25" s="242"/>
      <c r="AS25" s="243"/>
      <c r="AT25" s="264"/>
      <c r="AU25" s="97"/>
      <c r="AV25" s="97"/>
      <c r="AW25" s="97"/>
      <c r="AX25" s="97"/>
      <c r="AY25" s="98"/>
      <c r="AZ25" s="160"/>
      <c r="BB25" s="250" t="s">
        <v>26</v>
      </c>
      <c r="BC25" s="250" t="s">
        <v>27</v>
      </c>
      <c r="BD25" s="143"/>
      <c r="BE25" s="143"/>
      <c r="BF25" s="143"/>
      <c r="BG25" s="143"/>
      <c r="BH25" s="143"/>
      <c r="BI25" s="143"/>
      <c r="BJ25" s="143"/>
      <c r="BK25" s="143"/>
    </row>
    <row r="26" ht="18.75" customHeight="1" spans="1:63">
      <c r="A26" s="152"/>
      <c r="B26" s="232" t="s">
        <v>110</v>
      </c>
      <c r="C26" s="233"/>
      <c r="D26" s="233"/>
      <c r="E26" s="234"/>
      <c r="F26" s="235"/>
      <c r="G26" s="221">
        <f>BF11</f>
        <v>192</v>
      </c>
      <c r="H26" s="97"/>
      <c r="I26" s="97"/>
      <c r="J26" s="97"/>
      <c r="K26" s="97"/>
      <c r="L26" s="98"/>
      <c r="M26" s="184"/>
      <c r="N26" s="157"/>
      <c r="O26" s="232" t="s">
        <v>110</v>
      </c>
      <c r="P26" s="233"/>
      <c r="Q26" s="233"/>
      <c r="R26" s="237"/>
      <c r="S26" s="238"/>
      <c r="T26" s="221">
        <f>BF12</f>
        <v>168</v>
      </c>
      <c r="U26" s="97"/>
      <c r="V26" s="97"/>
      <c r="W26" s="97"/>
      <c r="X26" s="97"/>
      <c r="Y26" s="98"/>
      <c r="Z26" s="184"/>
      <c r="AA26" s="152"/>
      <c r="AB26" s="240" t="s">
        <v>110</v>
      </c>
      <c r="AC26" s="241"/>
      <c r="AD26" s="241"/>
      <c r="AE26" s="242"/>
      <c r="AF26" s="243"/>
      <c r="AG26" s="222">
        <f>BF13</f>
        <v>0</v>
      </c>
      <c r="AH26" s="97"/>
      <c r="AI26" s="97"/>
      <c r="AJ26" s="97"/>
      <c r="AK26" s="97"/>
      <c r="AL26" s="98"/>
      <c r="AM26" s="189"/>
      <c r="AN26" s="152"/>
      <c r="AO26" s="240" t="s">
        <v>110</v>
      </c>
      <c r="AP26" s="241"/>
      <c r="AQ26" s="241"/>
      <c r="AR26" s="242"/>
      <c r="AS26" s="243"/>
      <c r="AT26" s="222">
        <f>BF14</f>
        <v>0</v>
      </c>
      <c r="AU26" s="97"/>
      <c r="AV26" s="97"/>
      <c r="AW26" s="97"/>
      <c r="AX26" s="97"/>
      <c r="AY26" s="98"/>
      <c r="AZ26" s="189"/>
    </row>
    <row r="27" ht="18.75" customHeight="1" spans="1:63">
      <c r="A27" s="152"/>
      <c r="B27" s="232" t="s">
        <v>111</v>
      </c>
      <c r="C27" s="233"/>
      <c r="D27" s="233"/>
      <c r="E27" s="234"/>
      <c r="F27" s="235"/>
      <c r="G27" s="263"/>
      <c r="H27" s="97"/>
      <c r="I27" s="97"/>
      <c r="J27" s="97"/>
      <c r="K27" s="97"/>
      <c r="L27" s="98"/>
      <c r="M27" s="156"/>
      <c r="N27" s="157"/>
      <c r="O27" s="232" t="s">
        <v>111</v>
      </c>
      <c r="P27" s="233"/>
      <c r="Q27" s="233"/>
      <c r="R27" s="237"/>
      <c r="S27" s="238"/>
      <c r="T27" s="263"/>
      <c r="U27" s="97"/>
      <c r="V27" s="97"/>
      <c r="W27" s="97"/>
      <c r="X27" s="97"/>
      <c r="Y27" s="98"/>
      <c r="Z27" s="156"/>
      <c r="AA27" s="152"/>
      <c r="AB27" s="240" t="s">
        <v>111</v>
      </c>
      <c r="AC27" s="241"/>
      <c r="AD27" s="241"/>
      <c r="AE27" s="242"/>
      <c r="AF27" s="243"/>
      <c r="AG27" s="264"/>
      <c r="AH27" s="97"/>
      <c r="AI27" s="97"/>
      <c r="AJ27" s="97"/>
      <c r="AK27" s="97"/>
      <c r="AL27" s="98"/>
      <c r="AM27" s="160"/>
      <c r="AN27" s="152"/>
      <c r="AO27" s="240" t="s">
        <v>111</v>
      </c>
      <c r="AP27" s="241"/>
      <c r="AQ27" s="241"/>
      <c r="AR27" s="242"/>
      <c r="AS27" s="243"/>
      <c r="AT27" s="264"/>
      <c r="AU27" s="97"/>
      <c r="AV27" s="97"/>
      <c r="AW27" s="97"/>
      <c r="AX27" s="97"/>
      <c r="AY27" s="98"/>
      <c r="AZ27" s="160"/>
    </row>
    <row r="28" ht="15.75" customHeight="1" spans="1:63">
      <c r="A28" s="152"/>
      <c r="B28" s="197"/>
      <c r="C28" s="197"/>
      <c r="D28" s="212"/>
      <c r="E28" s="164"/>
      <c r="F28" s="164"/>
      <c r="G28" s="164"/>
      <c r="H28" s="164"/>
      <c r="I28" s="164"/>
      <c r="J28" s="164"/>
      <c r="K28" s="164"/>
      <c r="L28" s="164"/>
      <c r="M28" s="156"/>
      <c r="N28" s="157"/>
      <c r="O28" s="197"/>
      <c r="P28" s="197"/>
      <c r="Q28" s="212"/>
      <c r="R28" s="212"/>
      <c r="S28" s="212"/>
      <c r="T28" s="212"/>
      <c r="U28" s="212"/>
      <c r="V28" s="212"/>
      <c r="W28" s="212"/>
      <c r="X28" s="212"/>
      <c r="Y28" s="212"/>
      <c r="Z28" s="156"/>
      <c r="AA28" s="152"/>
      <c r="AB28" s="205"/>
      <c r="AC28" s="205"/>
      <c r="AD28" s="216"/>
      <c r="AE28" s="216"/>
      <c r="AF28" s="216"/>
      <c r="AG28" s="216"/>
      <c r="AH28" s="216"/>
      <c r="AI28" s="216"/>
      <c r="AJ28" s="216"/>
      <c r="AK28" s="216"/>
      <c r="AL28" s="216"/>
      <c r="AM28" s="160"/>
      <c r="AN28" s="152"/>
      <c r="AO28" s="205"/>
      <c r="AP28" s="205"/>
      <c r="AQ28" s="216"/>
      <c r="AR28" s="168"/>
      <c r="AS28" s="168"/>
      <c r="AT28" s="168"/>
      <c r="AU28" s="168"/>
      <c r="AV28" s="168"/>
      <c r="AW28" s="168"/>
      <c r="AX28" s="168"/>
      <c r="AY28" s="168"/>
      <c r="AZ28" s="160"/>
    </row>
    <row r="29" ht="15.75" customHeight="1" spans="1:63">
      <c r="A29" s="152"/>
      <c r="B29" s="197"/>
      <c r="C29" s="197"/>
      <c r="D29" s="212"/>
      <c r="E29" s="212"/>
      <c r="F29" s="212"/>
      <c r="G29" s="212"/>
      <c r="H29" s="212"/>
      <c r="I29" s="212"/>
      <c r="J29" s="212"/>
      <c r="K29" s="212"/>
      <c r="L29" s="212"/>
      <c r="M29" s="156"/>
      <c r="N29" s="157"/>
      <c r="O29" s="197"/>
      <c r="P29" s="197"/>
      <c r="Q29" s="212"/>
      <c r="R29" s="212"/>
      <c r="S29" s="212"/>
      <c r="T29" s="212"/>
      <c r="U29" s="212"/>
      <c r="V29" s="212"/>
      <c r="W29" s="212"/>
      <c r="X29" s="212"/>
      <c r="Y29" s="212"/>
      <c r="Z29" s="156"/>
      <c r="AA29" s="152"/>
      <c r="AB29" s="205"/>
      <c r="AC29" s="205"/>
      <c r="AD29" s="216"/>
      <c r="AE29" s="216"/>
      <c r="AF29" s="216"/>
      <c r="AG29" s="216"/>
      <c r="AH29" s="216"/>
      <c r="AI29" s="216"/>
      <c r="AJ29" s="216"/>
      <c r="AK29" s="216"/>
      <c r="AL29" s="216"/>
      <c r="AM29" s="160"/>
      <c r="AN29" s="152"/>
      <c r="AO29" s="205"/>
      <c r="AP29" s="205"/>
      <c r="AQ29" s="216"/>
      <c r="AR29" s="216"/>
      <c r="AS29" s="216"/>
      <c r="AT29" s="216"/>
      <c r="AU29" s="216"/>
      <c r="AV29" s="216"/>
      <c r="AW29" s="216"/>
      <c r="AX29" s="216"/>
      <c r="AY29" s="216"/>
      <c r="AZ29" s="160"/>
    </row>
    <row r="30" ht="15.75" customHeight="1" spans="1:63">
      <c r="A30" s="152"/>
      <c r="B30" s="197" t="s">
        <v>112</v>
      </c>
      <c r="C30" s="197"/>
      <c r="D30" s="212"/>
      <c r="E30" s="212" t="str">
        <f>BC17</f>
        <v>CAPT. REZA PAHLEVI </v>
      </c>
      <c r="F30" s="154"/>
      <c r="G30" s="154"/>
      <c r="H30" s="154"/>
      <c r="I30" s="154"/>
      <c r="J30" s="154"/>
      <c r="K30" s="154"/>
      <c r="L30" s="154"/>
      <c r="M30" s="156"/>
      <c r="N30" s="157"/>
      <c r="O30" s="197" t="s">
        <v>112</v>
      </c>
      <c r="P30" s="197"/>
      <c r="Q30" s="212"/>
      <c r="R30" s="212" t="str">
        <f>E30</f>
        <v>CAPT. REZA PAHLEVI </v>
      </c>
      <c r="S30" s="154"/>
      <c r="T30" s="154"/>
      <c r="U30" s="154"/>
      <c r="V30" s="154"/>
      <c r="W30" s="154"/>
      <c r="X30" s="154"/>
      <c r="Y30" s="212"/>
      <c r="Z30" s="156"/>
      <c r="AA30" s="152"/>
      <c r="AB30" s="205" t="s">
        <v>112</v>
      </c>
      <c r="AC30" s="205"/>
      <c r="AD30" s="216"/>
      <c r="AE30" s="216" t="str">
        <f>R30</f>
        <v>CAPT. REZA PAHLEVI </v>
      </c>
      <c r="AF30" s="154"/>
      <c r="AG30" s="154"/>
      <c r="AH30" s="154"/>
      <c r="AI30" s="154"/>
      <c r="AJ30" s="154"/>
      <c r="AK30" s="154"/>
      <c r="AL30" s="216"/>
      <c r="AM30" s="160"/>
      <c r="AN30" s="152"/>
      <c r="AO30" s="205" t="s">
        <v>112</v>
      </c>
      <c r="AP30" s="205"/>
      <c r="AQ30" s="216"/>
      <c r="AR30" s="216" t="str">
        <f>AE30</f>
        <v>CAPT. REZA PAHLEVI </v>
      </c>
      <c r="AS30" s="154"/>
      <c r="AT30" s="154"/>
      <c r="AU30" s="154"/>
      <c r="AV30" s="154"/>
      <c r="AW30" s="154"/>
      <c r="AX30" s="154"/>
      <c r="AY30" s="216"/>
      <c r="AZ30" s="160"/>
    </row>
    <row r="31" ht="59.25" customHeight="1" spans="1:63">
      <c r="A31" s="152"/>
      <c r="B31" s="197"/>
      <c r="C31" s="197"/>
      <c r="D31" s="198" t="s">
        <v>113</v>
      </c>
      <c r="E31" s="154"/>
      <c r="F31" s="154"/>
      <c r="G31" s="154"/>
      <c r="H31" s="154"/>
      <c r="I31" s="154"/>
      <c r="J31" s="212"/>
      <c r="K31" s="212"/>
      <c r="L31" s="212"/>
      <c r="M31" s="156"/>
      <c r="N31" s="157"/>
      <c r="O31" s="197"/>
      <c r="P31" s="197"/>
      <c r="Q31" s="198" t="s">
        <v>113</v>
      </c>
      <c r="R31" s="154"/>
      <c r="S31" s="154"/>
      <c r="T31" s="154"/>
      <c r="U31" s="154"/>
      <c r="V31" s="154"/>
      <c r="W31" s="212"/>
      <c r="X31" s="212"/>
      <c r="Y31" s="212"/>
      <c r="Z31" s="156"/>
      <c r="AA31" s="152"/>
      <c r="AB31" s="205"/>
      <c r="AC31" s="205"/>
      <c r="AD31" s="206" t="s">
        <v>113</v>
      </c>
      <c r="AE31" s="154"/>
      <c r="AF31" s="154"/>
      <c r="AG31" s="154"/>
      <c r="AH31" s="154"/>
      <c r="AI31" s="154"/>
      <c r="AJ31" s="216"/>
      <c r="AK31" s="216"/>
      <c r="AL31" s="216"/>
      <c r="AM31" s="160"/>
      <c r="AN31" s="152"/>
      <c r="AO31" s="205"/>
      <c r="AP31" s="205"/>
      <c r="AQ31" s="206" t="s">
        <v>113</v>
      </c>
      <c r="AR31" s="154"/>
      <c r="AS31" s="154"/>
      <c r="AT31" s="154"/>
      <c r="AU31" s="154"/>
      <c r="AV31" s="154"/>
      <c r="AW31" s="216"/>
      <c r="AX31" s="216"/>
      <c r="AY31" s="216"/>
      <c r="AZ31" s="160"/>
    </row>
    <row r="32" ht="15.75" customHeight="1" spans="1:63">
      <c r="A32" s="152"/>
      <c r="B32" s="197"/>
      <c r="C32" s="197"/>
      <c r="D32" s="212"/>
      <c r="E32" s="212"/>
      <c r="F32" s="212"/>
      <c r="G32" s="212"/>
      <c r="H32" s="212"/>
      <c r="I32" s="212"/>
      <c r="J32" s="212"/>
      <c r="K32" s="212"/>
      <c r="L32" s="212"/>
      <c r="M32" s="156"/>
      <c r="N32" s="157"/>
      <c r="O32" s="197"/>
      <c r="P32" s="197"/>
      <c r="Q32" s="212"/>
      <c r="R32" s="212"/>
      <c r="S32" s="212"/>
      <c r="T32" s="212"/>
      <c r="U32" s="212"/>
      <c r="V32" s="212"/>
      <c r="W32" s="212"/>
      <c r="X32" s="212"/>
      <c r="Y32" s="212"/>
      <c r="Z32" s="156"/>
      <c r="AA32" s="152"/>
      <c r="AB32" s="205"/>
      <c r="AC32" s="205"/>
      <c r="AD32" s="216"/>
      <c r="AE32" s="216"/>
      <c r="AF32" s="216"/>
      <c r="AG32" s="216"/>
      <c r="AH32" s="216"/>
      <c r="AI32" s="216"/>
      <c r="AJ32" s="216"/>
      <c r="AK32" s="216"/>
      <c r="AL32" s="216"/>
      <c r="AM32" s="160"/>
      <c r="AN32" s="152"/>
      <c r="AO32" s="205"/>
      <c r="AP32" s="205"/>
      <c r="AQ32" s="216"/>
      <c r="AR32" s="216"/>
      <c r="AS32" s="216"/>
      <c r="AT32" s="216"/>
      <c r="AU32" s="216"/>
      <c r="AV32" s="216"/>
      <c r="AW32" s="216"/>
      <c r="AX32" s="216"/>
      <c r="AY32" s="216"/>
      <c r="AZ32" s="160"/>
    </row>
    <row r="33" ht="15.75" customHeight="1" spans="1:52">
      <c r="A33" s="152"/>
      <c r="B33" s="197"/>
      <c r="C33" s="197"/>
      <c r="D33" s="212"/>
      <c r="E33" s="212"/>
      <c r="F33" s="212"/>
      <c r="G33" s="212"/>
      <c r="H33" s="212"/>
      <c r="I33" s="212"/>
      <c r="J33" s="212"/>
      <c r="K33" s="212"/>
      <c r="L33" s="212"/>
      <c r="M33" s="156"/>
      <c r="N33" s="157"/>
      <c r="O33" s="197"/>
      <c r="P33" s="197"/>
      <c r="Q33" s="212"/>
      <c r="R33" s="212"/>
      <c r="S33" s="212"/>
      <c r="T33" s="212"/>
      <c r="U33" s="212"/>
      <c r="V33" s="212"/>
      <c r="W33" s="212"/>
      <c r="X33" s="212"/>
      <c r="Y33" s="212"/>
      <c r="Z33" s="156"/>
      <c r="AA33" s="152"/>
      <c r="AB33" s="205"/>
      <c r="AC33" s="205"/>
      <c r="AD33" s="216"/>
      <c r="AE33" s="216"/>
      <c r="AF33" s="216"/>
      <c r="AG33" s="216"/>
      <c r="AH33" s="216"/>
      <c r="AI33" s="216"/>
      <c r="AJ33" s="216"/>
      <c r="AK33" s="216"/>
      <c r="AL33" s="216"/>
      <c r="AM33" s="160"/>
      <c r="AN33" s="152"/>
      <c r="AO33" s="205"/>
      <c r="AP33" s="205"/>
      <c r="AQ33" s="216"/>
      <c r="AR33" s="216"/>
      <c r="AS33" s="216"/>
      <c r="AT33" s="216"/>
      <c r="AU33" s="216"/>
      <c r="AV33" s="216"/>
      <c r="AW33" s="216"/>
      <c r="AX33" s="216"/>
      <c r="AY33" s="216"/>
      <c r="AZ33" s="160"/>
    </row>
    <row r="34" ht="15.75" customHeight="1" spans="1:52">
      <c r="A34" s="152"/>
      <c r="B34" s="197" t="s">
        <v>114</v>
      </c>
      <c r="C34" s="197"/>
      <c r="D34" s="265">
        <f>BC11</f>
        <v>0</v>
      </c>
      <c r="E34" s="154"/>
      <c r="F34" s="154"/>
      <c r="G34" s="212" t="s">
        <v>115</v>
      </c>
      <c r="H34" s="212"/>
      <c r="I34" s="212"/>
      <c r="J34" s="212"/>
      <c r="K34" s="212"/>
      <c r="L34" s="212"/>
      <c r="M34" s="156"/>
      <c r="N34" s="157"/>
      <c r="O34" s="197" t="s">
        <v>114</v>
      </c>
      <c r="P34" s="197"/>
      <c r="Q34" s="265">
        <f>BC12</f>
        <v>0</v>
      </c>
      <c r="R34" s="154"/>
      <c r="S34" s="154"/>
      <c r="T34" s="212" t="s">
        <v>115</v>
      </c>
      <c r="U34" s="212"/>
      <c r="V34" s="212"/>
      <c r="W34" s="212"/>
      <c r="X34" s="212"/>
      <c r="Y34" s="212"/>
      <c r="Z34" s="156"/>
      <c r="AA34" s="152"/>
      <c r="AB34" s="205" t="s">
        <v>114</v>
      </c>
      <c r="AC34" s="205"/>
      <c r="AD34" s="266">
        <f>BC13</f>
        <v>0</v>
      </c>
      <c r="AE34" s="154"/>
      <c r="AF34" s="154"/>
      <c r="AG34" s="216" t="s">
        <v>115</v>
      </c>
      <c r="AH34" s="216"/>
      <c r="AI34" s="216"/>
      <c r="AJ34" s="216"/>
      <c r="AK34" s="216"/>
      <c r="AL34" s="216"/>
      <c r="AM34" s="160"/>
      <c r="AN34" s="152"/>
      <c r="AO34" s="205" t="s">
        <v>114</v>
      </c>
      <c r="AP34" s="205"/>
      <c r="AQ34" s="266">
        <f>BC14</f>
        <v>0</v>
      </c>
      <c r="AR34" s="154"/>
      <c r="AS34" s="154"/>
      <c r="AT34" s="216" t="s">
        <v>115</v>
      </c>
      <c r="AU34" s="216"/>
      <c r="AV34" s="216"/>
      <c r="AW34" s="216"/>
      <c r="AX34" s="216"/>
      <c r="AY34" s="216"/>
      <c r="AZ34" s="160"/>
    </row>
    <row r="35" ht="63.75" customHeight="1" spans="1:52">
      <c r="A35" s="267"/>
      <c r="B35" s="268"/>
      <c r="C35" s="268"/>
      <c r="D35" s="269"/>
      <c r="E35" s="269"/>
      <c r="F35" s="269"/>
      <c r="G35" s="269"/>
      <c r="H35" s="269"/>
      <c r="I35" s="269"/>
      <c r="J35" s="269"/>
      <c r="K35" s="269"/>
      <c r="L35" s="269"/>
      <c r="M35" s="270"/>
      <c r="N35" s="267"/>
      <c r="O35" s="268"/>
      <c r="P35" s="268"/>
      <c r="Q35" s="269"/>
      <c r="R35" s="269"/>
      <c r="S35" s="269"/>
      <c r="T35" s="269"/>
      <c r="U35" s="269"/>
      <c r="V35" s="269"/>
      <c r="W35" s="269"/>
      <c r="X35" s="269"/>
      <c r="Y35" s="269"/>
      <c r="Z35" s="270"/>
      <c r="AA35" s="267"/>
      <c r="AB35" s="268"/>
      <c r="AC35" s="268"/>
      <c r="AD35" s="269"/>
      <c r="AE35" s="269"/>
      <c r="AF35" s="269"/>
      <c r="AG35" s="269"/>
      <c r="AH35" s="269"/>
      <c r="AI35" s="269"/>
      <c r="AJ35" s="269"/>
      <c r="AK35" s="269"/>
      <c r="AL35" s="269"/>
      <c r="AM35" s="270"/>
      <c r="AN35" s="267"/>
      <c r="AO35" s="268"/>
      <c r="AP35" s="268"/>
      <c r="AQ35" s="269"/>
      <c r="AR35" s="269"/>
      <c r="AS35" s="269"/>
      <c r="AT35" s="269"/>
      <c r="AU35" s="269"/>
      <c r="AV35" s="269"/>
      <c r="AW35" s="269"/>
      <c r="AX35" s="269"/>
      <c r="AY35" s="269"/>
      <c r="AZ35" s="27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2:F2"/>
    <mergeCell ref="N2:S2"/>
    <mergeCell ref="AA2:AF2"/>
    <mergeCell ref="AN2:AS2"/>
    <mergeCell ref="BH2:BI2"/>
    <mergeCell ref="BH3:BI3"/>
    <mergeCell ref="B4:F4"/>
    <mergeCell ref="J4:L4"/>
    <mergeCell ref="O4:S4"/>
    <mergeCell ref="W4:Y4"/>
    <mergeCell ref="AB4:AF4"/>
    <mergeCell ref="AJ4:AL4"/>
    <mergeCell ref="AO4:AS4"/>
    <mergeCell ref="AW4:AY4"/>
    <mergeCell ref="B6:D6"/>
    <mergeCell ref="E6:F6"/>
    <mergeCell ref="H6:L6"/>
    <mergeCell ref="O6:Q6"/>
    <mergeCell ref="R6:S6"/>
    <mergeCell ref="U6:Y6"/>
    <mergeCell ref="AB6:AD6"/>
    <mergeCell ref="AE6:AF6"/>
    <mergeCell ref="AH6:AL6"/>
    <mergeCell ref="AO6:AQ6"/>
    <mergeCell ref="AR6:AS6"/>
    <mergeCell ref="AU6:AY6"/>
    <mergeCell ref="BH6:BI6"/>
    <mergeCell ref="B7:D7"/>
    <mergeCell ref="E7:F7"/>
    <mergeCell ref="H7:L7"/>
    <mergeCell ref="O7:Q7"/>
    <mergeCell ref="R7:S7"/>
    <mergeCell ref="U7:Y7"/>
    <mergeCell ref="AB7:AD7"/>
    <mergeCell ref="AE7:AF7"/>
    <mergeCell ref="AH7:AL7"/>
    <mergeCell ref="AO7:AQ7"/>
    <mergeCell ref="AR7:AS7"/>
    <mergeCell ref="AU7:AY7"/>
    <mergeCell ref="BH7:BI7"/>
    <mergeCell ref="B8:D8"/>
    <mergeCell ref="E8:F8"/>
    <mergeCell ref="H8:L8"/>
    <mergeCell ref="O8:Q8"/>
    <mergeCell ref="R8:S8"/>
    <mergeCell ref="U8:Y8"/>
    <mergeCell ref="AB8:AD8"/>
    <mergeCell ref="AE8:AF8"/>
    <mergeCell ref="AH8:AL8"/>
    <mergeCell ref="AO8:AQ8"/>
    <mergeCell ref="AR8:AS8"/>
    <mergeCell ref="AU8:AY8"/>
    <mergeCell ref="B9:D9"/>
    <mergeCell ref="E9:F9"/>
    <mergeCell ref="H9:L9"/>
    <mergeCell ref="O9:Q9"/>
    <mergeCell ref="R9:S9"/>
    <mergeCell ref="U9:Y9"/>
    <mergeCell ref="AB9:AD9"/>
    <mergeCell ref="AE9:AF9"/>
    <mergeCell ref="AH9:AL9"/>
    <mergeCell ref="AO9:AQ9"/>
    <mergeCell ref="AR9:AS9"/>
    <mergeCell ref="AU9:AY9"/>
    <mergeCell ref="G11:L11"/>
    <mergeCell ref="T11:Y11"/>
    <mergeCell ref="AG11:AL11"/>
    <mergeCell ref="AT11:AY11"/>
    <mergeCell ref="G12:L12"/>
    <mergeCell ref="T12:Y12"/>
    <mergeCell ref="AG12:AL12"/>
    <mergeCell ref="AT12:AY12"/>
    <mergeCell ref="G13:L13"/>
    <mergeCell ref="T13:Y13"/>
    <mergeCell ref="AG13:AL13"/>
    <mergeCell ref="AT13:AY13"/>
    <mergeCell ref="I15:L15"/>
    <mergeCell ref="V15:Y15"/>
    <mergeCell ref="AI15:AL15"/>
    <mergeCell ref="AV15:AY15"/>
    <mergeCell ref="E16:H16"/>
    <mergeCell ref="I16:L16"/>
    <mergeCell ref="R16:U16"/>
    <mergeCell ref="V16:Y16"/>
    <mergeCell ref="AE16:AH16"/>
    <mergeCell ref="AI16:AL16"/>
    <mergeCell ref="AR16:AU16"/>
    <mergeCell ref="AV16:AY16"/>
    <mergeCell ref="G17:L17"/>
    <mergeCell ref="T17:Y17"/>
    <mergeCell ref="AG17:AL17"/>
    <mergeCell ref="AT17:AY17"/>
    <mergeCell ref="G19:L19"/>
    <mergeCell ref="T19:Y19"/>
    <mergeCell ref="AG19:AL19"/>
    <mergeCell ref="AT19:AY19"/>
    <mergeCell ref="G20:L20"/>
    <mergeCell ref="T20:Y20"/>
    <mergeCell ref="AG20:AL20"/>
    <mergeCell ref="AT20:AY20"/>
    <mergeCell ref="G21:L21"/>
    <mergeCell ref="T21:Y21"/>
    <mergeCell ref="AG21:AL21"/>
    <mergeCell ref="AT21:AY21"/>
    <mergeCell ref="G22:L22"/>
    <mergeCell ref="T22:Y22"/>
    <mergeCell ref="AG22:AL22"/>
    <mergeCell ref="AT22:AY22"/>
    <mergeCell ref="G23:L23"/>
    <mergeCell ref="T23:Y23"/>
    <mergeCell ref="AG23:AL23"/>
    <mergeCell ref="AT23:AY23"/>
    <mergeCell ref="G25:L25"/>
    <mergeCell ref="T25:Y25"/>
    <mergeCell ref="AG25:AL25"/>
    <mergeCell ref="AT25:AY25"/>
    <mergeCell ref="G26:L26"/>
    <mergeCell ref="T26:Y26"/>
    <mergeCell ref="AG26:AL26"/>
    <mergeCell ref="AT26:AY26"/>
    <mergeCell ref="G27:L27"/>
    <mergeCell ref="T27:Y27"/>
    <mergeCell ref="AG27:AL27"/>
    <mergeCell ref="AT27:AY27"/>
    <mergeCell ref="E30:L30"/>
    <mergeCell ref="R30:X30"/>
    <mergeCell ref="AE30:AK30"/>
    <mergeCell ref="AR30:AX30"/>
    <mergeCell ref="D31:I31"/>
    <mergeCell ref="Q31:V31"/>
    <mergeCell ref="AD31:AI31"/>
    <mergeCell ref="AQ31:AV31"/>
    <mergeCell ref="D34:F34"/>
    <mergeCell ref="Q34:S34"/>
    <mergeCell ref="AD34:AF34"/>
    <mergeCell ref="AQ34:AS34"/>
  </mergeCells>
  <pageMargins left="0.354166666666667" right="0.0784722222222222" top="0.236111111111111" bottom="0" header="0" footer="0"/>
  <pageSetup paperSize="9" orientation="landscape"/>
  <headerFooter/>
  <colBreaks count="1" manualBreakCount="1">
    <brk id="53" max="0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Z1000"/>
  <sheetViews>
    <sheetView workbookViewId="0">
      <selection activeCell="A1" sqref="A1"/>
    </sheetView>
  </sheetViews>
  <sheetFormatPr defaultColWidth="12.6271186440678" defaultRowHeight="15" customHeight="1"/>
  <cols>
    <col min="1" max="1" width="1.88135593220339" customWidth="1"/>
    <col min="2" max="2" width="10.3813559322034" customWidth="1"/>
    <col min="3" max="3" width="10.1271186440678" customWidth="1"/>
    <col min="4" max="4" width="9" customWidth="1"/>
    <col min="5" max="5" width="10.5" customWidth="1"/>
    <col min="6" max="6" width="17.1271186440678" customWidth="1"/>
    <col min="7" max="7" width="8.25423728813559" customWidth="1"/>
    <col min="8" max="8" width="11.5" customWidth="1"/>
    <col min="9" max="9" width="7" customWidth="1"/>
    <col min="10" max="10" width="8.75423728813559" customWidth="1"/>
    <col min="11" max="12" width="9.5" customWidth="1"/>
    <col min="13" max="13" width="10.2542372881356" customWidth="1"/>
    <col min="14" max="14" width="8.38135593220339" customWidth="1"/>
    <col min="15" max="15" width="11.1271186440678" customWidth="1"/>
    <col min="16" max="16" width="13.1271186440678" customWidth="1"/>
    <col min="17" max="17" width="2.5" customWidth="1"/>
    <col min="18" max="18" width="11.1271186440678" customWidth="1"/>
    <col min="19" max="19" width="4.6271186440678" customWidth="1"/>
    <col min="20" max="20" width="2.75423728813559" customWidth="1"/>
    <col min="21" max="26" width="11.5" customWidth="1"/>
  </cols>
  <sheetData>
    <row r="1" ht="15.75" customHeight="1" spans="1:26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67.5" customHeight="1" spans="1:26">
      <c r="A2" s="63"/>
      <c r="B2" s="64" t="s">
        <v>28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  <c r="T2" s="63" t="s">
        <v>29</v>
      </c>
      <c r="U2" s="63"/>
      <c r="V2" s="63"/>
      <c r="W2" s="63"/>
      <c r="X2" s="63"/>
      <c r="Y2" s="63"/>
      <c r="Z2" s="63"/>
    </row>
    <row r="3" ht="22.5" customHeight="1" spans="1:26">
      <c r="A3" s="63"/>
      <c r="B3" s="67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8"/>
      <c r="T3" s="63"/>
      <c r="U3" s="63"/>
      <c r="V3" s="63"/>
      <c r="W3" s="63"/>
      <c r="X3" s="63"/>
      <c r="Y3" s="63"/>
      <c r="Z3" s="63"/>
    </row>
    <row r="4" ht="18.75" customHeight="1" spans="1:26">
      <c r="A4" s="63"/>
      <c r="B4" s="69" t="s">
        <v>30</v>
      </c>
      <c r="C4" s="70" t="s">
        <v>311</v>
      </c>
      <c r="D4" s="71"/>
      <c r="E4" s="72"/>
      <c r="F4" s="73" t="s">
        <v>32</v>
      </c>
      <c r="G4" s="74" t="s">
        <v>33</v>
      </c>
      <c r="H4" s="75"/>
      <c r="I4" s="73" t="s">
        <v>34</v>
      </c>
      <c r="J4" s="74" t="s">
        <v>312</v>
      </c>
      <c r="K4" s="76"/>
      <c r="L4" s="76"/>
      <c r="M4" s="73" t="s">
        <v>36</v>
      </c>
      <c r="N4" s="74" t="str">
        <f>'258'!BH11</f>
        <v>VTBU</v>
      </c>
      <c r="O4" s="76"/>
      <c r="P4" s="77" t="s">
        <v>37</v>
      </c>
      <c r="Q4" s="76"/>
      <c r="R4" s="74">
        <f>'258'!BC19</f>
        <v>71137</v>
      </c>
      <c r="S4" s="68"/>
      <c r="T4" s="63"/>
      <c r="U4" s="63"/>
      <c r="V4" s="63"/>
      <c r="W4" s="63"/>
      <c r="X4" s="63"/>
      <c r="Y4" s="63"/>
      <c r="Z4" s="63"/>
    </row>
    <row r="5" ht="6" customHeight="1" spans="1:26">
      <c r="A5" s="63"/>
      <c r="B5" s="69"/>
      <c r="C5" s="78"/>
      <c r="D5" s="78"/>
      <c r="E5" s="78"/>
      <c r="F5" s="76"/>
      <c r="G5" s="79"/>
      <c r="H5" s="76"/>
      <c r="I5" s="76"/>
      <c r="J5" s="79"/>
      <c r="K5" s="76"/>
      <c r="L5" s="76"/>
      <c r="M5" s="73"/>
      <c r="N5" s="79"/>
      <c r="O5" s="76"/>
      <c r="P5" s="77"/>
      <c r="Q5" s="76"/>
      <c r="R5" s="78"/>
      <c r="S5" s="68"/>
      <c r="T5" s="63"/>
      <c r="U5" s="63"/>
      <c r="V5" s="63"/>
      <c r="W5" s="63"/>
      <c r="X5" s="63"/>
      <c r="Y5" s="63"/>
      <c r="Z5" s="63"/>
    </row>
    <row r="6" ht="18.75" customHeight="1" spans="1:26">
      <c r="A6" s="63"/>
      <c r="B6" s="69" t="s">
        <v>38</v>
      </c>
      <c r="C6" s="80">
        <f ca="1">'258'!BB2</f>
        <v>46283</v>
      </c>
      <c r="D6" s="71"/>
      <c r="E6" s="72"/>
      <c r="F6" s="73" t="s">
        <v>39</v>
      </c>
      <c r="G6" s="74" t="str">
        <f>J4</f>
        <v>VTBD</v>
      </c>
      <c r="H6" s="75"/>
      <c r="I6" s="73" t="s">
        <v>40</v>
      </c>
      <c r="J6" s="74" t="s">
        <v>33</v>
      </c>
      <c r="K6" s="76"/>
      <c r="L6" s="76"/>
      <c r="M6" s="73" t="s">
        <v>36</v>
      </c>
      <c r="N6" s="74" t="str">
        <f>'258'!BH12</f>
        <v>WSSS</v>
      </c>
      <c r="O6" s="76"/>
      <c r="P6" s="77" t="s">
        <v>37</v>
      </c>
      <c r="Q6" s="76"/>
      <c r="R6" s="74">
        <f>'258'!BC20</f>
        <v>71141</v>
      </c>
      <c r="S6" s="68"/>
      <c r="T6" s="63"/>
      <c r="U6" s="63"/>
      <c r="V6" s="63"/>
      <c r="W6" s="63"/>
      <c r="X6" s="63"/>
      <c r="Y6" s="63"/>
      <c r="Z6" s="63"/>
    </row>
    <row r="7" ht="6" customHeight="1" spans="1:26">
      <c r="A7" s="63"/>
      <c r="B7" s="69"/>
      <c r="C7" s="81"/>
      <c r="D7" s="78"/>
      <c r="E7" s="78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  <c r="Q7" s="76"/>
      <c r="R7" s="82"/>
      <c r="S7" s="68"/>
      <c r="T7" s="63"/>
      <c r="U7" s="63"/>
      <c r="V7" s="63"/>
      <c r="W7" s="63"/>
      <c r="X7" s="63"/>
      <c r="Y7" s="63"/>
      <c r="Z7" s="63"/>
    </row>
    <row r="8" ht="18.75" customHeight="1" spans="1:26">
      <c r="A8" s="63"/>
      <c r="B8" s="69" t="s">
        <v>41</v>
      </c>
      <c r="C8" s="83" t="str">
        <f>'258'!BB3</f>
        <v>PK-AZD</v>
      </c>
      <c r="D8" s="84"/>
      <c r="E8" s="78"/>
      <c r="F8" s="85" t="s">
        <v>42</v>
      </c>
      <c r="G8" s="86" t="s">
        <v>33</v>
      </c>
      <c r="H8" s="87"/>
      <c r="I8" s="85" t="s">
        <v>43</v>
      </c>
      <c r="J8" s="86" t="s">
        <v>35</v>
      </c>
      <c r="K8" s="88"/>
      <c r="L8" s="88"/>
      <c r="M8" s="85" t="s">
        <v>36</v>
      </c>
      <c r="N8" s="86"/>
      <c r="O8" s="88"/>
      <c r="P8" s="89" t="s">
        <v>37</v>
      </c>
      <c r="Q8" s="88"/>
      <c r="R8" s="86" t="s">
        <v>45</v>
      </c>
      <c r="S8" s="68"/>
      <c r="T8" s="63"/>
      <c r="U8" s="63"/>
      <c r="V8" s="63"/>
      <c r="W8" s="63"/>
      <c r="X8" s="63"/>
      <c r="Y8" s="63"/>
      <c r="Z8" s="63"/>
    </row>
    <row r="9" ht="5.25" customHeight="1" spans="1:26">
      <c r="A9" s="63"/>
      <c r="B9" s="90"/>
      <c r="C9" s="82"/>
      <c r="D9" s="82"/>
      <c r="E9" s="82"/>
      <c r="F9" s="91"/>
      <c r="G9" s="91"/>
      <c r="H9" s="88"/>
      <c r="I9" s="91"/>
      <c r="J9" s="88"/>
      <c r="K9" s="91"/>
      <c r="L9" s="91"/>
      <c r="M9" s="88"/>
      <c r="N9" s="88"/>
      <c r="O9" s="88"/>
      <c r="P9" s="89"/>
      <c r="Q9" s="88"/>
      <c r="R9" s="92"/>
      <c r="S9" s="68"/>
      <c r="T9" s="63"/>
      <c r="U9" s="63"/>
      <c r="V9" s="63"/>
      <c r="W9" s="63"/>
      <c r="X9" s="63"/>
      <c r="Y9" s="63"/>
      <c r="Z9" s="63"/>
    </row>
    <row r="10" ht="15.75" customHeight="1" spans="1:26">
      <c r="A10" s="63"/>
      <c r="B10" s="93"/>
      <c r="C10" s="82"/>
      <c r="D10" s="82"/>
      <c r="E10" s="82"/>
      <c r="F10" s="85" t="s">
        <v>46</v>
      </c>
      <c r="G10" s="86" t="str">
        <f>J8</f>
        <v>WMKK</v>
      </c>
      <c r="H10" s="87"/>
      <c r="I10" s="85" t="s">
        <v>47</v>
      </c>
      <c r="J10" s="86" t="s">
        <v>33</v>
      </c>
      <c r="K10" s="88"/>
      <c r="L10" s="88"/>
      <c r="M10" s="85" t="s">
        <v>36</v>
      </c>
      <c r="N10" s="86"/>
      <c r="O10" s="88"/>
      <c r="P10" s="89" t="s">
        <v>37</v>
      </c>
      <c r="Q10" s="88"/>
      <c r="R10" s="86" t="s">
        <v>45</v>
      </c>
      <c r="S10" s="68"/>
      <c r="T10" s="63"/>
      <c r="U10" s="63"/>
      <c r="V10" s="63"/>
      <c r="W10" s="63"/>
      <c r="X10" s="63"/>
      <c r="Y10" s="63"/>
      <c r="Z10" s="63"/>
    </row>
    <row r="11" ht="6" customHeight="1" spans="1:26">
      <c r="A11" s="63"/>
      <c r="B11" s="93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68"/>
      <c r="T11" s="63"/>
      <c r="U11" s="63"/>
      <c r="V11" s="63"/>
      <c r="W11" s="63"/>
      <c r="X11" s="63"/>
      <c r="Y11" s="63"/>
      <c r="Z11" s="63"/>
    </row>
    <row r="12" ht="18.75" customHeight="1" spans="1:26">
      <c r="A12" s="63"/>
      <c r="B12" s="93"/>
      <c r="C12" s="82" t="s">
        <v>48</v>
      </c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94"/>
      <c r="S12" s="68"/>
      <c r="T12" s="63"/>
      <c r="U12" s="63"/>
      <c r="V12" s="63"/>
      <c r="W12" s="63"/>
      <c r="X12" s="63"/>
      <c r="Y12" s="63"/>
      <c r="Z12" s="63"/>
    </row>
    <row r="13" ht="79.5" customHeight="1" spans="1:26">
      <c r="A13" s="63"/>
      <c r="B13" s="93"/>
      <c r="C13" s="95" t="s">
        <v>33</v>
      </c>
      <c r="D13" s="96" t="e">
        <f>#REF!</f>
        <v>#REF!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8"/>
      <c r="S13" s="99"/>
      <c r="T13" s="63"/>
      <c r="U13" s="63"/>
      <c r="V13" s="63"/>
      <c r="W13" s="63"/>
      <c r="X13" s="63"/>
      <c r="Y13" s="63"/>
      <c r="Z13" s="63"/>
    </row>
    <row r="14" ht="75.75" customHeight="1" spans="1:26">
      <c r="A14" s="63"/>
      <c r="B14" s="93"/>
      <c r="C14" s="95" t="s">
        <v>312</v>
      </c>
      <c r="D14" s="96" t="e">
        <f>#REF!</f>
        <v>#REF!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8"/>
      <c r="S14" s="99"/>
      <c r="T14" s="63"/>
      <c r="U14" s="63"/>
      <c r="V14" s="63"/>
      <c r="W14" s="63"/>
      <c r="X14" s="63"/>
      <c r="Y14" s="63"/>
      <c r="Z14" s="63"/>
    </row>
    <row r="15" ht="73.5" customHeight="1" spans="1:26">
      <c r="A15" s="63"/>
      <c r="B15" s="93"/>
      <c r="C15" s="95" t="s">
        <v>313</v>
      </c>
      <c r="D15" s="96" t="e">
        <f>#REF!</f>
        <v>#REF!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  <c r="S15" s="99"/>
      <c r="T15" s="63"/>
      <c r="U15" s="63"/>
      <c r="V15" s="63"/>
      <c r="W15" s="63"/>
      <c r="X15" s="63"/>
      <c r="Y15" s="63"/>
      <c r="Z15" s="63"/>
    </row>
    <row r="16" ht="60.75" customHeight="1" spans="1:26">
      <c r="A16" s="63"/>
      <c r="B16" s="93"/>
      <c r="C16" s="95" t="s">
        <v>309</v>
      </c>
      <c r="D16" s="96" t="e">
        <f>#REF!</f>
        <v>#REF!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8"/>
      <c r="S16" s="99"/>
      <c r="T16" s="63"/>
      <c r="U16" s="63"/>
      <c r="V16" s="63"/>
      <c r="W16" s="63"/>
      <c r="X16" s="63"/>
      <c r="Y16" s="63"/>
      <c r="Z16" s="63"/>
    </row>
    <row r="17" ht="63" customHeight="1" spans="1:26">
      <c r="A17" s="63"/>
      <c r="B17" s="93"/>
      <c r="C17" s="95" t="s">
        <v>44</v>
      </c>
      <c r="D17" s="96" t="e">
        <f>#REF!</f>
        <v>#REF!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8"/>
      <c r="S17" s="100"/>
      <c r="T17" s="63"/>
      <c r="U17" s="63"/>
      <c r="V17" s="63"/>
      <c r="W17" s="63"/>
      <c r="X17" s="63"/>
      <c r="Y17" s="63"/>
      <c r="Z17" s="63"/>
    </row>
    <row r="18" ht="12.75" customHeight="1" spans="1:26">
      <c r="A18" s="63"/>
      <c r="B18" s="93"/>
      <c r="C18" s="95"/>
      <c r="D18" s="96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8"/>
      <c r="S18" s="99"/>
      <c r="T18" s="63"/>
      <c r="U18" s="63"/>
      <c r="V18" s="63"/>
      <c r="W18" s="63"/>
      <c r="X18" s="63"/>
      <c r="Y18" s="63"/>
      <c r="Z18" s="63"/>
    </row>
    <row r="19" ht="15.75" customHeight="1" spans="1:26">
      <c r="A19" s="63"/>
      <c r="B19" s="93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101"/>
      <c r="S19" s="68"/>
      <c r="T19" s="63"/>
      <c r="U19" s="63"/>
      <c r="V19" s="63"/>
      <c r="W19" s="63"/>
      <c r="X19" s="63"/>
      <c r="Y19" s="63"/>
      <c r="Z19" s="63"/>
    </row>
    <row r="20" ht="15.75" customHeight="1" spans="1:26">
      <c r="A20" s="63"/>
      <c r="B20" s="93"/>
      <c r="C20" s="102"/>
      <c r="D20" s="102" t="s">
        <v>57</v>
      </c>
      <c r="E20" s="102" t="s">
        <v>58</v>
      </c>
      <c r="F20" s="103" t="s">
        <v>59</v>
      </c>
      <c r="G20" s="104"/>
      <c r="H20" s="104"/>
      <c r="I20" s="104"/>
      <c r="J20" s="105"/>
      <c r="K20" s="102" t="s">
        <v>57</v>
      </c>
      <c r="L20" s="102" t="s">
        <v>57</v>
      </c>
      <c r="M20" s="102" t="s">
        <v>58</v>
      </c>
      <c r="N20" s="103" t="s">
        <v>59</v>
      </c>
      <c r="O20" s="104"/>
      <c r="P20" s="104"/>
      <c r="Q20" s="104"/>
      <c r="R20" s="105"/>
      <c r="S20" s="106"/>
      <c r="T20" s="63"/>
      <c r="U20" s="63"/>
      <c r="V20" s="63"/>
      <c r="W20" s="63"/>
      <c r="X20" s="63"/>
      <c r="Y20" s="63"/>
      <c r="Z20" s="63"/>
    </row>
    <row r="21" ht="15.75" customHeight="1" spans="1:26">
      <c r="A21" s="63"/>
      <c r="B21" s="93"/>
      <c r="C21" s="107"/>
      <c r="D21" s="108" t="s">
        <v>60</v>
      </c>
      <c r="E21" s="107"/>
      <c r="F21" s="109"/>
      <c r="G21" s="20"/>
      <c r="H21" s="20"/>
      <c r="I21" s="20"/>
      <c r="J21" s="110"/>
      <c r="K21" s="108" t="s">
        <v>60</v>
      </c>
      <c r="L21" s="108" t="s">
        <v>60</v>
      </c>
      <c r="M21" s="107"/>
      <c r="N21" s="109"/>
      <c r="O21" s="20"/>
      <c r="P21" s="20"/>
      <c r="Q21" s="20"/>
      <c r="R21" s="110"/>
      <c r="S21" s="106"/>
      <c r="T21" s="63"/>
      <c r="U21" s="63"/>
      <c r="V21" s="63"/>
      <c r="W21" s="63"/>
      <c r="X21" s="63"/>
      <c r="Y21" s="63"/>
      <c r="Z21" s="63"/>
    </row>
    <row r="22" ht="69" customHeight="1" spans="1:26">
      <c r="A22" s="63"/>
      <c r="B22" s="93"/>
      <c r="C22" s="38" t="s">
        <v>32</v>
      </c>
      <c r="D22" s="38" t="str">
        <f>G4</f>
        <v>WIII</v>
      </c>
      <c r="E22" s="111">
        <f>'258'!BE4</f>
        <v>0.493055555555556</v>
      </c>
      <c r="F22" s="112" t="s">
        <v>181</v>
      </c>
      <c r="G22" s="97"/>
      <c r="H22" s="97"/>
      <c r="I22" s="97"/>
      <c r="J22" s="98"/>
      <c r="K22" s="113" t="s">
        <v>42</v>
      </c>
      <c r="L22" s="113" t="str">
        <f>G8</f>
        <v>WIII</v>
      </c>
      <c r="M22" s="114">
        <f>'258'!BE6</f>
        <v>0.479166666666667</v>
      </c>
      <c r="N22" s="115"/>
      <c r="O22" s="97"/>
      <c r="P22" s="97"/>
      <c r="Q22" s="97"/>
      <c r="R22" s="98"/>
      <c r="S22" s="106"/>
      <c r="T22" s="63"/>
      <c r="U22" s="63"/>
      <c r="V22" s="63"/>
      <c r="W22" s="63"/>
      <c r="X22" s="63"/>
      <c r="Y22" s="63"/>
      <c r="Z22" s="63"/>
    </row>
    <row r="23" ht="69" customHeight="1" spans="1:26">
      <c r="A23" s="63"/>
      <c r="B23" s="93"/>
      <c r="C23" s="38" t="s">
        <v>34</v>
      </c>
      <c r="D23" s="38" t="str">
        <f>J4</f>
        <v>VTBD</v>
      </c>
      <c r="E23" s="111">
        <f>'258'!BF4</f>
        <v>0.645833333333333</v>
      </c>
      <c r="F23" s="112" t="s">
        <v>314</v>
      </c>
      <c r="G23" s="97"/>
      <c r="H23" s="97"/>
      <c r="I23" s="97"/>
      <c r="J23" s="98"/>
      <c r="K23" s="113" t="s">
        <v>43</v>
      </c>
      <c r="L23" s="113" t="str">
        <f>J8</f>
        <v>WMKK</v>
      </c>
      <c r="M23" s="114">
        <f>'258'!BF6</f>
        <v>0.565972222222222</v>
      </c>
      <c r="N23" s="116"/>
      <c r="O23" s="97"/>
      <c r="P23" s="97"/>
      <c r="Q23" s="97"/>
      <c r="R23" s="98"/>
      <c r="S23" s="106"/>
      <c r="T23" s="63"/>
      <c r="U23" s="63"/>
      <c r="V23" s="63"/>
      <c r="W23" s="63"/>
      <c r="X23" s="63"/>
      <c r="Y23" s="63"/>
      <c r="Z23" s="63"/>
    </row>
    <row r="24" ht="69" customHeight="1" spans="1:26">
      <c r="A24" s="63"/>
      <c r="B24" s="93"/>
      <c r="C24" s="38" t="s">
        <v>39</v>
      </c>
      <c r="D24" s="117" t="str">
        <f>G6</f>
        <v>VTBD</v>
      </c>
      <c r="E24" s="111">
        <f>'258'!BE5</f>
        <v>0.666666666666667</v>
      </c>
      <c r="F24" s="112" t="s">
        <v>314</v>
      </c>
      <c r="G24" s="97"/>
      <c r="H24" s="97"/>
      <c r="I24" s="97"/>
      <c r="J24" s="98"/>
      <c r="K24" s="113" t="s">
        <v>46</v>
      </c>
      <c r="L24" s="118" t="str">
        <f>G10</f>
        <v>WMKK</v>
      </c>
      <c r="M24" s="114">
        <f>'258'!BE7</f>
        <v>0.583333333333333</v>
      </c>
      <c r="N24" s="116"/>
      <c r="O24" s="97"/>
      <c r="P24" s="97"/>
      <c r="Q24" s="97"/>
      <c r="R24" s="98"/>
      <c r="S24" s="106"/>
      <c r="T24" s="63"/>
      <c r="U24" s="63"/>
      <c r="V24" s="63"/>
      <c r="W24" s="63"/>
      <c r="X24" s="63"/>
      <c r="Y24" s="63"/>
      <c r="Z24" s="63"/>
    </row>
    <row r="25" ht="69" customHeight="1" spans="1:26">
      <c r="A25" s="63"/>
      <c r="B25" s="93"/>
      <c r="C25" s="38" t="s">
        <v>40</v>
      </c>
      <c r="D25" s="38" t="str">
        <f>J6</f>
        <v>WIII</v>
      </c>
      <c r="E25" s="111">
        <f>'258'!BF5</f>
        <v>0.8125</v>
      </c>
      <c r="F25" s="112" t="s">
        <v>181</v>
      </c>
      <c r="G25" s="97"/>
      <c r="H25" s="97"/>
      <c r="I25" s="97"/>
      <c r="J25" s="98"/>
      <c r="K25" s="113" t="s">
        <v>47</v>
      </c>
      <c r="L25" s="113" t="str">
        <f>J10</f>
        <v>WIII</v>
      </c>
      <c r="M25" s="114">
        <f>'258'!BF7</f>
        <v>0.670138888888889</v>
      </c>
      <c r="N25" s="115"/>
      <c r="O25" s="97"/>
      <c r="P25" s="97"/>
      <c r="Q25" s="97"/>
      <c r="R25" s="98"/>
      <c r="S25" s="106"/>
      <c r="T25" s="63"/>
      <c r="U25" s="63"/>
      <c r="V25" s="63"/>
      <c r="W25" s="63"/>
      <c r="X25" s="63"/>
      <c r="Y25" s="63"/>
      <c r="Z25" s="63"/>
    </row>
    <row r="26" ht="33.75" customHeight="1" spans="1:26">
      <c r="A26" s="63"/>
      <c r="B26" s="93"/>
      <c r="C26" s="58"/>
      <c r="D26" s="58"/>
      <c r="E26" s="119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120"/>
      <c r="S26" s="106"/>
      <c r="T26" s="63"/>
      <c r="U26" s="63"/>
      <c r="V26" s="63"/>
      <c r="W26" s="63"/>
      <c r="X26" s="63"/>
      <c r="Y26" s="63"/>
      <c r="Z26" s="63"/>
    </row>
    <row r="27" ht="15.75" customHeight="1" spans="1:26">
      <c r="A27" s="63"/>
      <c r="B27" s="93"/>
      <c r="C27" s="102"/>
      <c r="D27" s="121" t="s">
        <v>57</v>
      </c>
      <c r="E27" s="103" t="s">
        <v>63</v>
      </c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5"/>
      <c r="S27" s="106"/>
      <c r="T27" s="63"/>
      <c r="U27" s="63"/>
      <c r="V27" s="63"/>
      <c r="W27" s="63"/>
      <c r="X27" s="63"/>
      <c r="Y27" s="63"/>
      <c r="Z27" s="63"/>
    </row>
    <row r="28" ht="15.75" customHeight="1" spans="1:26">
      <c r="A28" s="63"/>
      <c r="B28" s="93"/>
      <c r="C28" s="107"/>
      <c r="D28" s="122" t="s">
        <v>60</v>
      </c>
      <c r="E28" s="10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10"/>
      <c r="S28" s="106"/>
      <c r="T28" s="63"/>
      <c r="U28" s="63"/>
      <c r="V28" s="63"/>
      <c r="W28" s="63"/>
      <c r="X28" s="63"/>
      <c r="Y28" s="63"/>
      <c r="Z28" s="63"/>
    </row>
    <row r="29" ht="3" customHeight="1" spans="1:26">
      <c r="A29" s="63"/>
      <c r="B29" s="93"/>
      <c r="C29" s="123"/>
      <c r="D29" s="123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6"/>
      <c r="S29" s="127"/>
      <c r="T29" s="63"/>
      <c r="U29" s="63"/>
      <c r="V29" s="63"/>
      <c r="W29" s="63"/>
      <c r="X29" s="63"/>
      <c r="Y29" s="63"/>
      <c r="Z29" s="63"/>
    </row>
    <row r="30" ht="273" customHeight="1" spans="1:26">
      <c r="A30" s="63"/>
      <c r="B30" s="93"/>
      <c r="C30" s="128"/>
      <c r="D30" s="129" t="s">
        <v>33</v>
      </c>
      <c r="E30" s="130" t="e">
        <f>#REF!</f>
        <v>#REF!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8"/>
      <c r="S30" s="127"/>
      <c r="T30" s="63"/>
      <c r="U30" s="63"/>
      <c r="V30" s="63"/>
      <c r="W30" s="63"/>
      <c r="X30" s="63"/>
      <c r="Y30" s="63"/>
      <c r="Z30" s="63"/>
    </row>
    <row r="31" ht="210" customHeight="1" spans="1:26">
      <c r="A31" s="63"/>
      <c r="B31" s="93"/>
      <c r="C31" s="123"/>
      <c r="D31" s="95" t="s">
        <v>312</v>
      </c>
      <c r="E31" s="130" t="e">
        <f>#REF!</f>
        <v>#REF!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127"/>
      <c r="T31" s="63"/>
      <c r="U31" s="63"/>
      <c r="V31" s="63"/>
      <c r="W31" s="63"/>
      <c r="X31" s="63"/>
      <c r="Y31" s="63"/>
      <c r="Z31" s="63"/>
    </row>
    <row r="32" ht="237" customHeight="1" spans="1:26">
      <c r="A32" s="63"/>
      <c r="B32" s="93"/>
      <c r="C32" s="123"/>
      <c r="D32" s="131" t="s">
        <v>313</v>
      </c>
      <c r="E32" s="130" t="e">
        <f>#REF!</f>
        <v>#REF!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8"/>
      <c r="S32" s="127"/>
      <c r="T32" s="63"/>
      <c r="U32" s="63"/>
      <c r="V32" s="63"/>
      <c r="W32" s="63"/>
      <c r="X32" s="63"/>
      <c r="Y32" s="63"/>
      <c r="Z32" s="63"/>
    </row>
    <row r="33" ht="187.5" customHeight="1" spans="1:26">
      <c r="A33" s="63"/>
      <c r="B33" s="93"/>
      <c r="C33" s="123"/>
      <c r="D33" s="131" t="s">
        <v>309</v>
      </c>
      <c r="E33" s="130" t="e">
        <f>#REF!</f>
        <v>#REF!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8"/>
      <c r="S33" s="127"/>
      <c r="T33" s="63"/>
      <c r="U33" s="63"/>
      <c r="V33" s="63"/>
      <c r="W33" s="63"/>
      <c r="X33" s="63"/>
      <c r="Y33" s="63"/>
      <c r="Z33" s="63"/>
    </row>
    <row r="34" ht="321.75" customHeight="1" spans="1:26">
      <c r="A34" s="63"/>
      <c r="B34" s="93"/>
      <c r="C34" s="132"/>
      <c r="D34" s="133" t="s">
        <v>44</v>
      </c>
      <c r="E34" s="134" t="e">
        <f>#REF!</f>
        <v>#REF!</v>
      </c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5"/>
      <c r="S34" s="127"/>
      <c r="T34" s="63"/>
      <c r="U34" s="63"/>
      <c r="V34" s="63"/>
      <c r="W34" s="63"/>
      <c r="X34" s="63"/>
      <c r="Y34" s="63"/>
      <c r="Z34" s="63"/>
    </row>
    <row r="35" ht="25.5" customHeight="1" spans="1:26">
      <c r="A35" s="63"/>
      <c r="B35" s="93"/>
      <c r="C35" s="135" t="s">
        <v>64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8"/>
      <c r="S35" s="68"/>
      <c r="T35" s="63"/>
      <c r="U35" s="63"/>
      <c r="V35" s="63"/>
      <c r="W35" s="63"/>
      <c r="X35" s="63"/>
      <c r="Y35" s="63"/>
      <c r="Z35" s="63"/>
    </row>
    <row r="36" ht="15.75" customHeight="1" spans="1:26">
      <c r="A36" s="63"/>
      <c r="B36" s="93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68"/>
      <c r="T36" s="63"/>
      <c r="U36" s="63"/>
      <c r="V36" s="63"/>
      <c r="W36" s="63"/>
      <c r="X36" s="63"/>
      <c r="Y36" s="63"/>
      <c r="Z36" s="63"/>
    </row>
    <row r="37" ht="15.75" customHeight="1" spans="1:26">
      <c r="A37" s="63"/>
      <c r="B37" s="93"/>
      <c r="C37" s="82"/>
      <c r="D37" s="82"/>
      <c r="E37" s="82"/>
      <c r="F37" s="82"/>
      <c r="G37" s="82"/>
      <c r="H37" s="58" t="s">
        <v>65</v>
      </c>
      <c r="I37" s="82"/>
      <c r="J37" s="82"/>
      <c r="K37" s="82"/>
      <c r="L37" s="82"/>
      <c r="M37" s="82"/>
      <c r="N37" s="82"/>
      <c r="O37" s="82"/>
      <c r="P37" s="58" t="s">
        <v>66</v>
      </c>
      <c r="Q37" s="82"/>
      <c r="R37" s="82"/>
      <c r="S37" s="68"/>
      <c r="T37" s="63"/>
      <c r="U37" s="63"/>
      <c r="V37" s="63"/>
      <c r="W37" s="63"/>
      <c r="X37" s="63"/>
      <c r="Y37" s="63"/>
      <c r="Z37" s="63"/>
    </row>
    <row r="38" ht="15.75" customHeight="1" spans="1:26">
      <c r="A38" s="63"/>
      <c r="B38" s="93"/>
      <c r="C38" s="82"/>
      <c r="D38" s="82"/>
      <c r="E38" s="82"/>
      <c r="F38" s="82"/>
      <c r="G38" s="82"/>
      <c r="H38" s="58" t="s">
        <v>67</v>
      </c>
      <c r="I38" s="82"/>
      <c r="J38" s="82"/>
      <c r="K38" s="82"/>
      <c r="L38" s="82"/>
      <c r="M38" s="82"/>
      <c r="N38" s="82"/>
      <c r="O38" s="82"/>
      <c r="P38" s="58" t="s">
        <v>67</v>
      </c>
      <c r="Q38" s="82"/>
      <c r="R38" s="82"/>
      <c r="S38" s="68"/>
      <c r="T38" s="63"/>
      <c r="U38" s="63"/>
      <c r="V38" s="63"/>
      <c r="W38" s="63"/>
      <c r="X38" s="63"/>
      <c r="Y38" s="63"/>
      <c r="Z38" s="63"/>
    </row>
    <row r="39" ht="36" customHeight="1" spans="1:26">
      <c r="A39" s="63"/>
      <c r="B39" s="93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68"/>
      <c r="T39" s="63"/>
      <c r="U39" s="63"/>
      <c r="V39" s="63"/>
      <c r="W39" s="63"/>
      <c r="X39" s="63"/>
      <c r="Y39" s="63"/>
      <c r="Z39" s="63"/>
    </row>
    <row r="40" ht="17.25" customHeight="1" spans="1:26">
      <c r="A40" s="63"/>
      <c r="B40" s="93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68"/>
      <c r="T40" s="63"/>
      <c r="U40" s="63"/>
      <c r="V40" s="63"/>
      <c r="W40" s="63"/>
      <c r="X40" s="63"/>
      <c r="Y40" s="63"/>
      <c r="Z40" s="63"/>
    </row>
    <row r="41" ht="15.75" customHeight="1" spans="1:26">
      <c r="A41" s="63"/>
      <c r="B41" s="93"/>
      <c r="C41" s="82"/>
      <c r="D41" s="82"/>
      <c r="E41" s="82"/>
      <c r="F41" s="82"/>
      <c r="G41" s="78" t="s">
        <v>68</v>
      </c>
      <c r="H41" s="78"/>
      <c r="I41" s="82"/>
      <c r="J41" s="82"/>
      <c r="K41" s="82"/>
      <c r="L41" s="82"/>
      <c r="M41" s="82"/>
      <c r="N41" s="82"/>
      <c r="O41" s="136" t="str">
        <f>'258'!BC17</f>
        <v>CAPT. REZA PAHLEVI </v>
      </c>
      <c r="S41" s="68"/>
      <c r="T41" s="63"/>
      <c r="U41" s="63"/>
      <c r="V41" s="63"/>
      <c r="W41" s="63"/>
      <c r="X41" s="63"/>
      <c r="Y41" s="63"/>
      <c r="Z41" s="63"/>
    </row>
    <row r="42" ht="15.75" customHeight="1" spans="1:26">
      <c r="A42" s="63"/>
      <c r="B42" s="93"/>
      <c r="C42" s="82"/>
      <c r="D42" s="82"/>
      <c r="E42" s="82"/>
      <c r="F42" s="82"/>
      <c r="G42" s="58" t="s">
        <v>69</v>
      </c>
      <c r="J42" s="82"/>
      <c r="K42" s="82"/>
      <c r="L42" s="82"/>
      <c r="M42" s="82"/>
      <c r="N42" s="82"/>
      <c r="O42" s="82"/>
      <c r="P42" s="82" t="s">
        <v>70</v>
      </c>
      <c r="Q42" s="82"/>
      <c r="R42" s="82"/>
      <c r="S42" s="68"/>
      <c r="T42" s="63"/>
      <c r="U42" s="63"/>
      <c r="V42" s="63"/>
      <c r="W42" s="63"/>
      <c r="X42" s="63"/>
      <c r="Y42" s="63"/>
      <c r="Z42" s="63"/>
    </row>
    <row r="43" ht="15.75" customHeight="1" spans="1:26">
      <c r="A43" s="63"/>
      <c r="B43" s="137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9"/>
      <c r="T43" s="63"/>
      <c r="U43" s="63"/>
      <c r="V43" s="63"/>
      <c r="W43" s="63"/>
      <c r="X43" s="63"/>
      <c r="Y43" s="63"/>
      <c r="Z43" s="63"/>
    </row>
    <row r="44" ht="15.75" customHeight="1" spans="1:26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 spans="1:26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 spans="1:2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 spans="1:26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 spans="1:26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 spans="1:26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 spans="1:26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 spans="1:26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 spans="1:26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 spans="1:26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 spans="1:26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 spans="1:26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 spans="1:2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 spans="1:26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 spans="1:26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 spans="1:26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 spans="1:26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 spans="1:26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 spans="1:26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 spans="1:26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 spans="1:26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 spans="1:26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 spans="1:2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 spans="1:26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 spans="1:26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 spans="1:26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 spans="1:26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 spans="1:26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 spans="1:26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 spans="1:26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 spans="1:26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 spans="1:26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 spans="1:2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 spans="1:26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 spans="1:26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 spans="1:26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 spans="1:26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 spans="1:26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 spans="1:26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 spans="1:26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 spans="1:26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 spans="1:26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 spans="1:2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 spans="1:26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 spans="1:26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 spans="1:26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 spans="1:26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 spans="1:26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 spans="1:26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 spans="1:26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 spans="1:26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 spans="1:26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 spans="1:2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 spans="1:26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 spans="1:26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 spans="1:26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 spans="1:26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 spans="1:26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 spans="1:26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 spans="1:26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 spans="1:26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 spans="1:26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 spans="1:2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 spans="1:26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 spans="1:26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 spans="1:26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 spans="1:26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 spans="1:26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 spans="1:26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 spans="1:26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 spans="1:26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 spans="1:26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 spans="1:2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 spans="1:26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 spans="1:26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 spans="1:26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 spans="1:26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 spans="1:26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 spans="1:26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 spans="1:26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 spans="1:26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 spans="1:26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 spans="1: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 spans="1:26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 spans="1:26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 spans="1:26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 spans="1:26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 spans="1:26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 spans="1:26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 spans="1:26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 spans="1:26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 spans="1:26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 spans="1:2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 spans="1:26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 spans="1:26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 spans="1:26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 spans="1:26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 spans="1:26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 spans="1:26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 spans="1:26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 spans="1:26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 spans="1:26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 spans="1:2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 spans="1:26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 spans="1:26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 spans="1:26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 spans="1:26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 spans="1:26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 spans="1:26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 spans="1:26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 spans="1:26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 spans="1:26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 spans="1:2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 spans="1:26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 spans="1:26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 spans="1:26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 spans="1:26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 spans="1:26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 spans="1:26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 spans="1:26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 spans="1:26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 spans="1:26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 spans="1:2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 spans="1:26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 spans="1:26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 spans="1:26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 spans="1:26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 spans="1:26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 spans="1:26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 spans="1:26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 spans="1:26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 spans="1:26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 spans="1:2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 spans="1:26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 spans="1:26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 spans="1:26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 spans="1:26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 spans="1:26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 spans="1:26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 spans="1:26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 spans="1:26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 spans="1:26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 spans="1:2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 spans="1:26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 spans="1:26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 spans="1:26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 spans="1:26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 spans="1:26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 spans="1:26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 spans="1:26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 spans="1:26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 spans="1:26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 spans="1:2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 spans="1:26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 spans="1:26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 spans="1:26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 spans="1:26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 spans="1:26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 spans="1:26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 spans="1:26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 spans="1:26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 spans="1:26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 spans="1:2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 spans="1:26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 spans="1:26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 spans="1:26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 spans="1:26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 spans="1:26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 spans="1:26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 spans="1:26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 spans="1:26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 spans="1:26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 spans="1:2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 spans="1:26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 spans="1:26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 spans="1:26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 spans="1:26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 spans="1:26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 spans="1:26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 spans="1:26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 spans="1:26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 spans="1:26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 spans="1: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 spans="1:26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 spans="1:26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 spans="1:26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 spans="1:26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 spans="1:26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 spans="1:26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 spans="1:26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 spans="1:26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 spans="1:26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 spans="1:2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 spans="1:26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 spans="1:26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 spans="1:26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 spans="1:26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 spans="1:26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 spans="1:26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2:S2"/>
    <mergeCell ref="C4:E4"/>
    <mergeCell ref="C6:E6"/>
    <mergeCell ref="D13:R13"/>
    <mergeCell ref="D14:R14"/>
    <mergeCell ref="D15:R15"/>
    <mergeCell ref="D16:R16"/>
    <mergeCell ref="D17:R17"/>
    <mergeCell ref="D18:R18"/>
    <mergeCell ref="F22:J22"/>
    <mergeCell ref="N22:R22"/>
    <mergeCell ref="F23:J23"/>
    <mergeCell ref="N23:R23"/>
    <mergeCell ref="F24:J24"/>
    <mergeCell ref="N24:R24"/>
    <mergeCell ref="F25:J25"/>
    <mergeCell ref="N25:R25"/>
    <mergeCell ref="E30:R30"/>
    <mergeCell ref="E31:R31"/>
    <mergeCell ref="E32:R32"/>
    <mergeCell ref="E33:R33"/>
    <mergeCell ref="E34:R34"/>
    <mergeCell ref="C35:R35"/>
    <mergeCell ref="O41:R41"/>
    <mergeCell ref="G42:I42"/>
    <mergeCell ref="C20:C21"/>
    <mergeCell ref="C27:C28"/>
    <mergeCell ref="E20:E21"/>
    <mergeCell ref="M20:M21"/>
    <mergeCell ref="N20:R21"/>
    <mergeCell ref="F20:J21"/>
    <mergeCell ref="E27:R28"/>
  </mergeCells>
  <printOptions horizontalCentered="1" verticalCentered="1"/>
  <pageMargins left="0.159722222222222" right="0.119444444444444" top="0.159722222222222" bottom="0.156944444444444" header="0" footer="0"/>
  <pageSetup paperSize="9" orientation="portrait"/>
  <headerFooter/>
  <rowBreaks count="1" manualBreakCount="1">
    <brk id="31" max="0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Z1000"/>
  <sheetViews>
    <sheetView workbookViewId="0">
      <selection activeCell="A1" sqref="A1:G3"/>
    </sheetView>
  </sheetViews>
  <sheetFormatPr defaultColWidth="12.6271186440678" defaultRowHeight="15" customHeight="1"/>
  <cols>
    <col min="1" max="1" width="3.75423728813559" customWidth="1"/>
    <col min="2" max="2" width="16.5" customWidth="1"/>
    <col min="3" max="5" width="13.7542372881356" customWidth="1"/>
    <col min="6" max="6" width="14.8813559322034" customWidth="1"/>
    <col min="7" max="7" width="16.6271186440678" customWidth="1"/>
    <col min="8" max="8" width="13.7542372881356" customWidth="1"/>
    <col min="9" max="26" width="7.88135593220339" customWidth="1"/>
  </cols>
  <sheetData>
    <row r="1" ht="13.5" customHeight="1" spans="1:9">
      <c r="A1" s="13" t="s">
        <v>315</v>
      </c>
      <c r="B1" s="14"/>
      <c r="C1" s="14"/>
      <c r="D1" s="14"/>
      <c r="E1" s="14"/>
      <c r="F1" s="14"/>
      <c r="G1" s="15"/>
      <c r="H1" s="16"/>
    </row>
    <row r="2" ht="28.8" spans="1:9">
      <c r="A2" s="17"/>
      <c r="G2" s="18"/>
      <c r="H2" s="16"/>
    </row>
    <row r="3" ht="10.5" customHeight="1" spans="1:9">
      <c r="A3" s="19"/>
      <c r="B3" s="20"/>
      <c r="C3" s="20"/>
      <c r="D3" s="20"/>
      <c r="E3" s="20"/>
      <c r="F3" s="20"/>
      <c r="G3" s="21"/>
      <c r="H3" s="16"/>
    </row>
    <row r="4" ht="18.3" spans="1:9">
      <c r="A4" s="22" t="s">
        <v>287</v>
      </c>
      <c r="B4" s="23" t="s">
        <v>86</v>
      </c>
      <c r="C4" s="23" t="s">
        <v>316</v>
      </c>
      <c r="D4" s="23" t="s">
        <v>288</v>
      </c>
      <c r="E4" s="23" t="s">
        <v>289</v>
      </c>
      <c r="F4" s="24" t="s">
        <v>317</v>
      </c>
      <c r="G4" s="25" t="s">
        <v>318</v>
      </c>
    </row>
    <row r="5" ht="18.3" spans="1:9">
      <c r="A5" s="26">
        <v>1</v>
      </c>
      <c r="B5" s="27">
        <f ca="1">TODAY()</f>
        <v>46283</v>
      </c>
      <c r="C5" s="28" t="s">
        <v>45</v>
      </c>
      <c r="D5" s="28"/>
      <c r="E5" s="28"/>
      <c r="F5" s="29" t="s">
        <v>45</v>
      </c>
      <c r="G5" t="s">
        <v>45</v>
      </c>
    </row>
    <row r="6" ht="21" customHeight="1" spans="1:9">
      <c r="A6" s="26">
        <v>2</v>
      </c>
      <c r="B6" s="30"/>
      <c r="C6" s="28" t="s">
        <v>45</v>
      </c>
      <c r="D6" s="31"/>
      <c r="E6" s="31"/>
      <c r="F6" s="32" t="s">
        <v>45</v>
      </c>
      <c r="G6" t="s">
        <v>45</v>
      </c>
      <c r="H6" s="33"/>
    </row>
    <row r="7" ht="18.3" spans="1:9">
      <c r="A7" s="26">
        <v>3</v>
      </c>
      <c r="B7" s="34"/>
      <c r="C7" s="31" t="str">
        <f>'860'!BB4</f>
        <v>AWQ 860</v>
      </c>
      <c r="D7" s="31"/>
      <c r="E7" s="31"/>
      <c r="F7" s="32">
        <f>'860'!BI11</f>
        <v>2000</v>
      </c>
      <c r="G7" s="35">
        <f>'860'!BJ11</f>
        <v>95.2</v>
      </c>
    </row>
    <row r="8" ht="18.3" spans="1:9">
      <c r="A8" s="26">
        <v>4</v>
      </c>
      <c r="B8" s="34"/>
      <c r="C8" s="31" t="s">
        <v>45</v>
      </c>
      <c r="D8" s="36"/>
      <c r="E8" s="31"/>
      <c r="F8" s="32" t="s">
        <v>45</v>
      </c>
      <c r="G8" t="s">
        <v>45</v>
      </c>
      <c r="I8" s="37"/>
    </row>
    <row r="9" ht="18.3" spans="1:9">
      <c r="A9" s="26">
        <v>5</v>
      </c>
      <c r="B9" s="34"/>
      <c r="C9" s="38" t="s">
        <v>45</v>
      </c>
      <c r="D9" s="38"/>
      <c r="E9" s="38"/>
      <c r="F9" s="39" t="s">
        <v>45</v>
      </c>
      <c r="G9" t="s">
        <v>45</v>
      </c>
    </row>
    <row r="10" ht="18.3" spans="1:9">
      <c r="A10" s="26">
        <v>6</v>
      </c>
      <c r="B10" s="30"/>
      <c r="C10" s="38" t="s">
        <v>45</v>
      </c>
      <c r="D10" s="38"/>
      <c r="E10" s="38"/>
      <c r="F10" s="39" t="s">
        <v>45</v>
      </c>
      <c r="G10" t="s">
        <v>45</v>
      </c>
      <c r="H10" s="33"/>
    </row>
    <row r="11" ht="18.3" spans="1:9">
      <c r="A11" s="26">
        <v>7</v>
      </c>
      <c r="B11" s="34"/>
      <c r="C11" s="31" t="s">
        <v>45</v>
      </c>
      <c r="D11" s="31"/>
      <c r="E11" s="31"/>
      <c r="F11" s="32" t="s">
        <v>45</v>
      </c>
      <c r="G11" t="s">
        <v>45</v>
      </c>
    </row>
    <row r="12" ht="18.3" spans="1:9">
      <c r="A12" s="26">
        <v>8</v>
      </c>
      <c r="B12" s="34"/>
      <c r="C12" s="31" t="s">
        <v>45</v>
      </c>
      <c r="D12" s="31"/>
      <c r="E12" s="31"/>
      <c r="F12" s="32" t="s">
        <v>45</v>
      </c>
      <c r="G12" t="s">
        <v>45</v>
      </c>
    </row>
    <row r="13" ht="18.3" spans="1:9">
      <c r="A13" s="26">
        <v>9</v>
      </c>
      <c r="B13" s="34"/>
      <c r="C13" s="31" t="s">
        <v>45</v>
      </c>
      <c r="D13" s="31"/>
      <c r="E13" s="31"/>
      <c r="F13" s="32" t="s">
        <v>45</v>
      </c>
      <c r="G13" t="s">
        <v>45</v>
      </c>
    </row>
    <row r="14" ht="18.3" spans="1:9">
      <c r="A14" s="26">
        <v>10</v>
      </c>
      <c r="B14" s="34"/>
      <c r="C14" s="31" t="s">
        <v>45</v>
      </c>
      <c r="D14" s="31"/>
      <c r="E14" s="31"/>
      <c r="F14" s="32" t="s">
        <v>45</v>
      </c>
      <c r="G14" t="s">
        <v>45</v>
      </c>
    </row>
    <row r="15" ht="18.3" spans="1:9">
      <c r="A15" s="26">
        <v>11</v>
      </c>
      <c r="B15" s="34"/>
      <c r="C15" s="38" t="str">
        <f>'258'!BB4</f>
        <v>AWQ 258</v>
      </c>
      <c r="D15" s="38"/>
      <c r="E15" s="38"/>
      <c r="F15" s="40">
        <f>'258'!BI11</f>
        <v>0</v>
      </c>
      <c r="G15" s="41">
        <f>'258'!BJ11</f>
        <v>0</v>
      </c>
    </row>
    <row r="16" ht="18.3" spans="1:9">
      <c r="A16" s="26">
        <v>12</v>
      </c>
      <c r="B16" s="34"/>
      <c r="C16" s="38" t="s">
        <v>45</v>
      </c>
      <c r="D16" s="38"/>
      <c r="E16" s="38"/>
      <c r="F16" s="40" t="s">
        <v>45</v>
      </c>
      <c r="G16" t="s">
        <v>45</v>
      </c>
    </row>
    <row r="17" ht="18.3" spans="1:26">
      <c r="A17" s="26">
        <v>13</v>
      </c>
      <c r="B17" s="34"/>
      <c r="C17" s="31" t="s">
        <v>45</v>
      </c>
      <c r="D17" s="31"/>
      <c r="E17" s="31"/>
      <c r="F17" s="32" t="s">
        <v>45</v>
      </c>
      <c r="G17" t="s">
        <v>45</v>
      </c>
    </row>
    <row r="18" ht="18.3" spans="1:26">
      <c r="A18" s="26">
        <v>14</v>
      </c>
      <c r="B18" s="34"/>
      <c r="C18" s="31" t="s">
        <v>76</v>
      </c>
      <c r="D18" s="31"/>
      <c r="E18" s="31"/>
      <c r="F18" s="32">
        <f>'526'!BI12</f>
        <v>3000</v>
      </c>
      <c r="G18" s="42">
        <f>'526'!BJ12</f>
        <v>329.75</v>
      </c>
    </row>
    <row r="19" ht="18.3" spans="1:26">
      <c r="A19" s="26">
        <v>15</v>
      </c>
      <c r="B19" s="34"/>
      <c r="C19" s="31"/>
      <c r="D19" s="31"/>
      <c r="E19" s="31"/>
      <c r="F19" s="32"/>
      <c r="G19" s="42"/>
    </row>
    <row r="20" ht="18.3" spans="1:26">
      <c r="A20" s="26">
        <v>16</v>
      </c>
      <c r="B20" s="34"/>
      <c r="C20" s="31"/>
      <c r="D20" s="31"/>
      <c r="E20" s="31"/>
      <c r="F20" s="32"/>
      <c r="G20" s="42"/>
    </row>
    <row r="21" ht="15.75" customHeight="1" spans="1:26">
      <c r="A21" s="26">
        <v>17</v>
      </c>
      <c r="B21" s="34"/>
      <c r="C21" s="31"/>
      <c r="D21" s="31"/>
      <c r="E21" s="31"/>
      <c r="F21" s="32"/>
      <c r="G21" s="43"/>
    </row>
    <row r="22" ht="15.75" customHeight="1" spans="1:26">
      <c r="A22" s="26">
        <v>18</v>
      </c>
      <c r="B22" s="34"/>
      <c r="C22" s="31"/>
      <c r="D22" s="31"/>
      <c r="E22" s="31"/>
      <c r="F22" s="32"/>
      <c r="G22" s="43"/>
    </row>
    <row r="23" ht="15.75" customHeight="1" spans="1:26">
      <c r="A23" s="26">
        <v>19</v>
      </c>
      <c r="B23" s="34"/>
      <c r="C23" s="38"/>
      <c r="D23" s="38"/>
      <c r="E23" s="38"/>
      <c r="F23" s="40"/>
      <c r="G23" s="44"/>
    </row>
    <row r="24" ht="15.75" customHeight="1" spans="1:26">
      <c r="A24" s="26">
        <v>20</v>
      </c>
      <c r="B24" s="34"/>
      <c r="C24" s="45"/>
      <c r="D24" s="45"/>
      <c r="E24" s="45"/>
      <c r="F24" s="46"/>
      <c r="G24" s="47"/>
    </row>
    <row r="25" ht="15.75" customHeight="1" spans="1:26">
      <c r="A25" s="26">
        <v>21</v>
      </c>
      <c r="B25" s="34"/>
      <c r="C25" s="38"/>
      <c r="D25" s="38"/>
      <c r="E25" s="38"/>
      <c r="F25" s="40"/>
      <c r="G25" s="48"/>
    </row>
    <row r="26" ht="15.75" customHeight="1" spans="1:26">
      <c r="A26" s="26">
        <v>22</v>
      </c>
      <c r="B26" s="34"/>
      <c r="C26" s="49"/>
      <c r="D26" s="49"/>
      <c r="E26" s="49"/>
      <c r="F26" s="50"/>
      <c r="G26" s="51"/>
    </row>
    <row r="27" ht="15.75" customHeight="1" spans="1:26">
      <c r="A27" s="26">
        <v>24</v>
      </c>
      <c r="B27" s="34"/>
      <c r="C27" s="38"/>
      <c r="D27" s="38"/>
      <c r="E27" s="38"/>
      <c r="F27" s="32"/>
      <c r="G27" s="43"/>
    </row>
    <row r="28" ht="15.75" customHeight="1" spans="1:26">
      <c r="A28" s="26">
        <v>25</v>
      </c>
      <c r="B28" s="34"/>
      <c r="C28" s="38"/>
      <c r="D28" s="38"/>
      <c r="E28" s="38"/>
      <c r="F28" s="40"/>
      <c r="G28" s="44"/>
    </row>
    <row r="29" ht="15.75" customHeight="1" spans="1:26">
      <c r="A29" s="26">
        <v>26</v>
      </c>
      <c r="B29" s="34"/>
      <c r="C29" s="38"/>
      <c r="D29" s="38"/>
      <c r="E29" s="38"/>
      <c r="F29" s="40"/>
      <c r="G29" s="4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 spans="1:26">
      <c r="A30" s="26">
        <v>27</v>
      </c>
      <c r="B30" s="34"/>
      <c r="C30" s="38"/>
      <c r="D30" s="38"/>
      <c r="E30" s="38"/>
      <c r="F30" s="40"/>
      <c r="G30" s="48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 spans="1:26">
      <c r="A31" s="26">
        <v>28</v>
      </c>
      <c r="B31" s="34"/>
      <c r="C31" s="38"/>
      <c r="D31" s="38"/>
      <c r="E31" s="38"/>
      <c r="F31" s="40"/>
      <c r="G31" s="48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 spans="1:26">
      <c r="A32" s="26">
        <v>29</v>
      </c>
      <c r="B32" s="34"/>
      <c r="C32" s="38"/>
      <c r="D32" s="38"/>
      <c r="E32" s="38"/>
      <c r="F32" s="39"/>
      <c r="G32" s="48"/>
    </row>
    <row r="33" ht="15.75" customHeight="1" spans="1:26">
      <c r="A33" s="26">
        <v>30</v>
      </c>
      <c r="B33" s="34"/>
      <c r="C33" s="38"/>
      <c r="D33" s="38"/>
      <c r="E33" s="38"/>
      <c r="F33" s="39"/>
      <c r="G33" s="48"/>
    </row>
    <row r="34" ht="15.75" customHeight="1" spans="1:26">
      <c r="A34" s="26">
        <v>31</v>
      </c>
      <c r="B34" s="34"/>
      <c r="C34" s="38"/>
      <c r="D34" s="38"/>
      <c r="E34" s="38"/>
      <c r="F34" s="40"/>
      <c r="G34" s="48"/>
    </row>
    <row r="35" ht="15.75" customHeight="1" spans="1:26">
      <c r="A35" s="26">
        <v>32</v>
      </c>
      <c r="B35" s="34"/>
      <c r="C35" s="38"/>
      <c r="D35" s="38"/>
      <c r="E35" s="38"/>
      <c r="F35" s="40"/>
      <c r="G35" s="48"/>
    </row>
    <row r="36" ht="15.75" customHeight="1" spans="1:26">
      <c r="A36" s="26">
        <v>33</v>
      </c>
      <c r="B36" s="34"/>
      <c r="C36" s="53"/>
      <c r="D36" s="53"/>
      <c r="E36" s="53"/>
      <c r="F36" s="54"/>
      <c r="G36" s="55"/>
    </row>
    <row r="37" ht="15.75" customHeight="1" spans="1:26">
      <c r="A37" s="26">
        <v>34</v>
      </c>
      <c r="B37" s="34"/>
      <c r="C37" s="53"/>
      <c r="D37" s="53"/>
      <c r="E37" s="53"/>
      <c r="F37" s="54"/>
      <c r="G37" s="55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 spans="1:26">
      <c r="A38" s="26">
        <v>35</v>
      </c>
      <c r="B38" s="34"/>
      <c r="C38" s="38"/>
      <c r="D38" s="38"/>
      <c r="E38" s="38"/>
      <c r="F38" s="40"/>
      <c r="G38" s="48"/>
    </row>
    <row r="39" ht="15.75" customHeight="1" spans="1:26">
      <c r="A39" s="26">
        <v>36</v>
      </c>
      <c r="B39" s="34"/>
      <c r="C39" s="38"/>
      <c r="D39" s="38"/>
      <c r="E39" s="38"/>
      <c r="F39" s="40"/>
      <c r="G39" s="48"/>
    </row>
    <row r="40" ht="15.75" customHeight="1" spans="1:26">
      <c r="A40" s="26">
        <v>37</v>
      </c>
      <c r="B40" s="34"/>
      <c r="C40" s="31"/>
      <c r="D40" s="38"/>
      <c r="E40" s="38"/>
      <c r="F40" s="32"/>
      <c r="G40" s="43"/>
    </row>
    <row r="41" ht="15.75" customHeight="1" spans="1:26">
      <c r="A41" s="26">
        <v>38</v>
      </c>
      <c r="B41" s="34"/>
      <c r="C41" s="38"/>
      <c r="D41" s="38"/>
      <c r="E41" s="38"/>
      <c r="F41" s="40"/>
      <c r="G41" s="48"/>
    </row>
    <row r="42" ht="15.75" customHeight="1" spans="1:26">
      <c r="A42" s="26">
        <v>39</v>
      </c>
      <c r="B42" s="34"/>
      <c r="C42" s="38"/>
      <c r="D42" s="38"/>
      <c r="E42" s="38"/>
      <c r="F42" s="40"/>
      <c r="G42" s="48"/>
    </row>
    <row r="43" ht="15.75" customHeight="1" spans="1:26">
      <c r="A43" s="26">
        <v>40</v>
      </c>
      <c r="B43" s="34"/>
      <c r="C43" s="31"/>
      <c r="D43" s="31"/>
      <c r="E43" s="31"/>
      <c r="F43" s="32"/>
      <c r="G43" s="42"/>
    </row>
    <row r="44" ht="15.75" customHeight="1" spans="1:26">
      <c r="A44" s="26">
        <v>41</v>
      </c>
      <c r="B44" s="34"/>
      <c r="C44" s="53"/>
      <c r="D44" s="53"/>
      <c r="E44" s="53"/>
      <c r="F44" s="54"/>
      <c r="G44" s="56"/>
    </row>
    <row r="45" ht="15.75" customHeight="1" spans="1:26">
      <c r="A45" s="57"/>
      <c r="B45" s="58"/>
      <c r="C45" s="58"/>
      <c r="D45" s="58"/>
      <c r="E45" s="59" t="s">
        <v>319</v>
      </c>
      <c r="F45" s="60">
        <f t="shared" ref="F45:G45" si="0">SUM(F5:F44)</f>
        <v>5000</v>
      </c>
      <c r="G45" s="61">
        <f t="shared" si="0"/>
        <v>424.95</v>
      </c>
      <c r="H45" s="62"/>
    </row>
    <row r="46" ht="15.75" customHeight="1" spans="1:26">
      <c r="A46" s="57"/>
      <c r="B46" s="58"/>
      <c r="C46" s="58"/>
      <c r="D46" s="58"/>
      <c r="E46" s="58"/>
      <c r="F46" s="58"/>
      <c r="G46" s="58"/>
    </row>
    <row r="47" ht="15.75" customHeight="1" spans="1:26">
      <c r="C47" s="52"/>
      <c r="D47" s="52"/>
      <c r="E47" s="52" t="s">
        <v>320</v>
      </c>
    </row>
    <row r="48" ht="15.75" customHeight="1" spans="1:26">
      <c r="C48" s="52"/>
      <c r="D48" s="52"/>
      <c r="E48" s="52"/>
    </row>
    <row r="49" ht="15.75" customHeight="1" spans="3:5">
      <c r="C49" s="52"/>
      <c r="D49" s="52"/>
      <c r="E49" s="52"/>
    </row>
    <row r="50" ht="15.75" customHeight="1" spans="3:5">
      <c r="C50" s="52"/>
      <c r="D50" s="52"/>
      <c r="E50" s="52"/>
    </row>
    <row r="51" ht="15.75" customHeight="1" spans="3:5">
      <c r="C51" s="52"/>
      <c r="D51" s="52"/>
      <c r="E51" s="52"/>
    </row>
    <row r="52" ht="15.75" customHeight="1" spans="3:5">
      <c r="C52" s="52"/>
      <c r="D52" s="52"/>
      <c r="E52" s="52"/>
    </row>
    <row r="53" ht="15.75" customHeight="1" spans="3:5">
      <c r="C53" s="52"/>
      <c r="D53" s="52"/>
      <c r="E53" s="52"/>
    </row>
    <row r="54" ht="15.75" customHeight="1" spans="3:5">
      <c r="C54" s="52"/>
      <c r="D54" s="52"/>
      <c r="E54" s="52"/>
    </row>
    <row r="55" ht="15.75" customHeight="1" spans="3:5">
      <c r="C55" s="52"/>
      <c r="D55" s="52"/>
      <c r="E55" s="52"/>
    </row>
    <row r="56" ht="15.75" customHeight="1" spans="3:5">
      <c r="C56" s="52"/>
      <c r="D56" s="52"/>
      <c r="E56" s="52"/>
    </row>
    <row r="57" ht="15.75" customHeight="1" spans="3:5">
      <c r="C57" s="52"/>
      <c r="D57" s="52"/>
      <c r="E57" s="52"/>
    </row>
    <row r="58" ht="15.75" customHeight="1" spans="3:5">
      <c r="C58" s="52"/>
      <c r="D58" s="52"/>
      <c r="E58" s="52"/>
    </row>
    <row r="59" ht="15.75" customHeight="1" spans="3:5">
      <c r="C59" s="52"/>
      <c r="D59" s="52"/>
      <c r="E59" s="52"/>
    </row>
    <row r="60" ht="15.75" customHeight="1" spans="3:5">
      <c r="C60" s="52"/>
      <c r="D60" s="52"/>
      <c r="E60" s="52"/>
    </row>
    <row r="61" ht="15.75" customHeight="1" spans="3:5">
      <c r="C61" s="52"/>
      <c r="D61" s="52"/>
      <c r="E61" s="52"/>
    </row>
    <row r="62" ht="15.75" customHeight="1" spans="3:5">
      <c r="C62" s="52"/>
      <c r="D62" s="52"/>
      <c r="E62" s="52"/>
    </row>
    <row r="63" ht="15.75" customHeight="1" spans="3:5">
      <c r="C63" s="52"/>
      <c r="D63" s="52"/>
      <c r="E63" s="52"/>
    </row>
    <row r="64" ht="15.75" customHeight="1" spans="3:5">
      <c r="C64" s="52"/>
      <c r="D64" s="52"/>
      <c r="E64" s="52"/>
    </row>
    <row r="65" ht="15.75" customHeight="1" spans="3:5">
      <c r="C65" s="52"/>
      <c r="D65" s="52"/>
      <c r="E65" s="52"/>
    </row>
    <row r="66" ht="15.75" customHeight="1" spans="3:5">
      <c r="C66" s="52"/>
      <c r="D66" s="52"/>
      <c r="E66" s="52"/>
    </row>
    <row r="67" ht="15.75" customHeight="1" spans="3:5">
      <c r="C67" s="52"/>
      <c r="D67" s="52"/>
      <c r="E67" s="52"/>
    </row>
    <row r="68" ht="15.75" customHeight="1" spans="3:5">
      <c r="C68" s="52"/>
      <c r="D68" s="52"/>
      <c r="E68" s="52"/>
    </row>
    <row r="69" ht="15.75" customHeight="1" spans="3:5">
      <c r="C69" s="52"/>
      <c r="D69" s="52"/>
      <c r="E69" s="52"/>
    </row>
    <row r="70" ht="15.75" customHeight="1" spans="3:5">
      <c r="C70" s="52"/>
      <c r="D70" s="52"/>
      <c r="E70" s="52"/>
    </row>
    <row r="71" ht="15.75" customHeight="1" spans="3:5">
      <c r="C71" s="52"/>
      <c r="D71" s="52"/>
      <c r="E71" s="52"/>
    </row>
    <row r="72" ht="15.75" customHeight="1" spans="3:5">
      <c r="C72" s="52"/>
      <c r="D72" s="52"/>
      <c r="E72" s="52"/>
    </row>
    <row r="73" ht="15.75" customHeight="1" spans="3:5">
      <c r="C73" s="52"/>
      <c r="D73" s="52"/>
      <c r="E73" s="52"/>
    </row>
    <row r="74" ht="15.75" customHeight="1" spans="3:5">
      <c r="C74" s="52"/>
      <c r="D74" s="52"/>
      <c r="E74" s="52"/>
    </row>
    <row r="75" ht="15.75" customHeight="1" spans="3:5">
      <c r="C75" s="52"/>
      <c r="D75" s="52"/>
      <c r="E75" s="52"/>
    </row>
    <row r="76" ht="15.75" customHeight="1" spans="3:5">
      <c r="C76" s="52"/>
      <c r="D76" s="52"/>
      <c r="E76" s="52"/>
    </row>
    <row r="77" ht="15.75" customHeight="1" spans="3:5">
      <c r="C77" s="52"/>
      <c r="D77" s="52"/>
      <c r="E77" s="52"/>
    </row>
    <row r="78" ht="15.75" customHeight="1" spans="3:5">
      <c r="C78" s="52"/>
      <c r="D78" s="52"/>
      <c r="E78" s="52"/>
    </row>
    <row r="79" ht="15.75" customHeight="1" spans="3:5">
      <c r="C79" s="52"/>
      <c r="D79" s="52"/>
      <c r="E79" s="52"/>
    </row>
    <row r="80" ht="15.75" customHeight="1" spans="3:5">
      <c r="C80" s="52"/>
      <c r="D80" s="52"/>
      <c r="E80" s="52"/>
    </row>
    <row r="81" ht="15.75" customHeight="1" spans="3:5">
      <c r="C81" s="52"/>
      <c r="D81" s="52"/>
      <c r="E81" s="52"/>
    </row>
    <row r="82" ht="15.75" customHeight="1" spans="3:5">
      <c r="C82" s="52"/>
      <c r="D82" s="52"/>
      <c r="E82" s="52"/>
    </row>
    <row r="83" ht="15.75" customHeight="1" spans="3:5">
      <c r="C83" s="52"/>
      <c r="D83" s="52"/>
      <c r="E83" s="52"/>
    </row>
    <row r="84" ht="15.75" customHeight="1" spans="3:5">
      <c r="C84" s="52"/>
      <c r="D84" s="52"/>
      <c r="E84" s="52"/>
    </row>
    <row r="85" ht="15.75" customHeight="1" spans="3:5">
      <c r="C85" s="52"/>
      <c r="D85" s="52"/>
      <c r="E85" s="52"/>
    </row>
    <row r="86" ht="15.75" customHeight="1" spans="3:5">
      <c r="C86" s="52"/>
      <c r="D86" s="52"/>
      <c r="E86" s="52"/>
    </row>
    <row r="87" ht="15.75" customHeight="1" spans="3:5">
      <c r="C87" s="52"/>
      <c r="D87" s="52"/>
      <c r="E87" s="52"/>
    </row>
    <row r="88" ht="15.75" customHeight="1" spans="3:5">
      <c r="C88" s="52"/>
      <c r="D88" s="52"/>
      <c r="E88" s="52"/>
    </row>
    <row r="89" ht="15.75" customHeight="1" spans="3:5">
      <c r="C89" s="52"/>
      <c r="D89" s="52"/>
      <c r="E89" s="52"/>
    </row>
    <row r="90" ht="15.75" customHeight="1" spans="3:5">
      <c r="C90" s="52"/>
      <c r="D90" s="52"/>
      <c r="E90" s="52"/>
    </row>
    <row r="91" ht="15.75" customHeight="1" spans="3:5">
      <c r="C91" s="52"/>
      <c r="D91" s="52"/>
      <c r="E91" s="52"/>
    </row>
    <row r="92" ht="15.75" customHeight="1" spans="3:5">
      <c r="C92" s="52"/>
      <c r="D92" s="52"/>
      <c r="E92" s="52"/>
    </row>
    <row r="93" ht="15.75" customHeight="1" spans="3:5">
      <c r="C93" s="52"/>
      <c r="D93" s="52"/>
      <c r="E93" s="52"/>
    </row>
    <row r="94" ht="15.75" customHeight="1" spans="3:5">
      <c r="C94" s="52"/>
      <c r="D94" s="52"/>
      <c r="E94" s="52"/>
    </row>
    <row r="95" ht="15.75" customHeight="1" spans="3:5">
      <c r="C95" s="52"/>
      <c r="D95" s="52"/>
      <c r="E95" s="52"/>
    </row>
    <row r="96" ht="15.75" customHeight="1" spans="3:5">
      <c r="C96" s="52"/>
      <c r="D96" s="52"/>
      <c r="E96" s="52"/>
    </row>
    <row r="97" ht="15.75" customHeight="1" spans="3:5">
      <c r="C97" s="52"/>
      <c r="D97" s="52"/>
      <c r="E97" s="52"/>
    </row>
    <row r="98" ht="15.75" customHeight="1" spans="3:5">
      <c r="C98" s="52"/>
      <c r="D98" s="52"/>
      <c r="E98" s="52"/>
    </row>
    <row r="99" ht="15.75" customHeight="1" spans="3:5">
      <c r="C99" s="52"/>
      <c r="D99" s="52"/>
      <c r="E99" s="52"/>
    </row>
    <row r="100" ht="15.75" customHeight="1" spans="3:5">
      <c r="C100" s="52"/>
      <c r="D100" s="52"/>
      <c r="E100" s="52"/>
    </row>
    <row r="101" ht="15.75" customHeight="1" spans="3:5">
      <c r="C101" s="52"/>
      <c r="D101" s="52"/>
      <c r="E101" s="52"/>
    </row>
    <row r="102" ht="15.75" customHeight="1" spans="3:5">
      <c r="C102" s="52"/>
      <c r="D102" s="52"/>
      <c r="E102" s="52"/>
    </row>
    <row r="103" ht="15.75" customHeight="1" spans="3:5">
      <c r="C103" s="52"/>
      <c r="D103" s="52"/>
      <c r="E103" s="52"/>
    </row>
    <row r="104" ht="15.75" customHeight="1" spans="3:5">
      <c r="C104" s="52"/>
      <c r="D104" s="52"/>
      <c r="E104" s="52"/>
    </row>
    <row r="105" ht="15.75" customHeight="1" spans="3:5">
      <c r="C105" s="52"/>
      <c r="D105" s="52"/>
      <c r="E105" s="52"/>
    </row>
    <row r="106" ht="15.75" customHeight="1" spans="3:5">
      <c r="C106" s="52"/>
      <c r="D106" s="52"/>
      <c r="E106" s="52"/>
    </row>
    <row r="107" ht="15.75" customHeight="1" spans="3:5">
      <c r="C107" s="52"/>
      <c r="D107" s="52"/>
      <c r="E107" s="52"/>
    </row>
    <row r="108" ht="15.75" customHeight="1" spans="3:5">
      <c r="C108" s="52"/>
      <c r="D108" s="52"/>
      <c r="E108" s="52"/>
    </row>
    <row r="109" ht="15.75" customHeight="1" spans="3:5">
      <c r="C109" s="52"/>
      <c r="D109" s="52"/>
      <c r="E109" s="52"/>
    </row>
    <row r="110" ht="15.75" customHeight="1" spans="3:5">
      <c r="C110" s="52"/>
      <c r="D110" s="52"/>
      <c r="E110" s="52"/>
    </row>
    <row r="111" ht="15.75" customHeight="1" spans="3:5">
      <c r="C111" s="52"/>
      <c r="D111" s="52"/>
      <c r="E111" s="52"/>
    </row>
    <row r="112" ht="15.75" customHeight="1" spans="3:5">
      <c r="C112" s="52"/>
      <c r="D112" s="52"/>
      <c r="E112" s="52"/>
    </row>
    <row r="113" ht="15.75" customHeight="1" spans="3:5">
      <c r="C113" s="52"/>
      <c r="D113" s="52"/>
      <c r="E113" s="52"/>
    </row>
    <row r="114" ht="15.75" customHeight="1" spans="3:5">
      <c r="C114" s="52"/>
      <c r="D114" s="52"/>
      <c r="E114" s="52"/>
    </row>
    <row r="115" ht="15.75" customHeight="1" spans="3:5">
      <c r="C115" s="52"/>
      <c r="D115" s="52"/>
      <c r="E115" s="52"/>
    </row>
    <row r="116" ht="15.75" customHeight="1" spans="3:5">
      <c r="C116" s="52"/>
      <c r="D116" s="52"/>
      <c r="E116" s="52"/>
    </row>
    <row r="117" ht="15.75" customHeight="1" spans="3:5">
      <c r="C117" s="52"/>
      <c r="D117" s="52"/>
      <c r="E117" s="52"/>
    </row>
    <row r="118" ht="15.75" customHeight="1" spans="3:5">
      <c r="C118" s="52"/>
      <c r="D118" s="52"/>
      <c r="E118" s="52"/>
    </row>
    <row r="119" ht="15.75" customHeight="1" spans="3:5">
      <c r="C119" s="52"/>
      <c r="D119" s="52"/>
      <c r="E119" s="52"/>
    </row>
    <row r="120" ht="15.75" customHeight="1" spans="3:5">
      <c r="C120" s="52"/>
      <c r="D120" s="52"/>
      <c r="E120" s="52"/>
    </row>
    <row r="121" ht="15.75" customHeight="1" spans="3:5">
      <c r="C121" s="52"/>
      <c r="D121" s="52"/>
      <c r="E121" s="52"/>
    </row>
    <row r="122" ht="15.75" customHeight="1" spans="3:5">
      <c r="C122" s="52"/>
      <c r="D122" s="52"/>
      <c r="E122" s="52"/>
    </row>
    <row r="123" ht="15.75" customHeight="1" spans="3:5">
      <c r="C123" s="52"/>
      <c r="D123" s="52"/>
      <c r="E123" s="52"/>
    </row>
    <row r="124" ht="15.75" customHeight="1" spans="3:5">
      <c r="C124" s="52"/>
      <c r="D124" s="52"/>
      <c r="E124" s="52"/>
    </row>
    <row r="125" ht="15.75" customHeight="1" spans="3:5">
      <c r="C125" s="52"/>
      <c r="D125" s="52"/>
      <c r="E125" s="52"/>
    </row>
    <row r="126" ht="15.75" customHeight="1" spans="3:5">
      <c r="C126" s="52"/>
      <c r="D126" s="52"/>
      <c r="E126" s="52"/>
    </row>
    <row r="127" ht="15.75" customHeight="1" spans="3:5">
      <c r="C127" s="52"/>
      <c r="D127" s="52"/>
      <c r="E127" s="52"/>
    </row>
    <row r="128" ht="15.75" customHeight="1" spans="3:5">
      <c r="C128" s="52"/>
      <c r="D128" s="52"/>
      <c r="E128" s="52"/>
    </row>
    <row r="129" ht="15.75" customHeight="1" spans="3:5">
      <c r="C129" s="52"/>
      <c r="D129" s="52"/>
      <c r="E129" s="52"/>
    </row>
    <row r="130" ht="15.75" customHeight="1" spans="3:5">
      <c r="C130" s="52"/>
      <c r="D130" s="52"/>
      <c r="E130" s="52"/>
    </row>
    <row r="131" ht="15.75" customHeight="1" spans="3:5">
      <c r="C131" s="52"/>
      <c r="D131" s="52"/>
      <c r="E131" s="52"/>
    </row>
    <row r="132" ht="15.75" customHeight="1" spans="3:5">
      <c r="C132" s="52"/>
      <c r="D132" s="52"/>
      <c r="E132" s="52"/>
    </row>
    <row r="133" ht="15.75" customHeight="1" spans="3:5">
      <c r="C133" s="52"/>
      <c r="D133" s="52"/>
      <c r="E133" s="52"/>
    </row>
    <row r="134" ht="15.75" customHeight="1" spans="3:5">
      <c r="C134" s="52"/>
      <c r="D134" s="52"/>
      <c r="E134" s="52"/>
    </row>
    <row r="135" ht="15.75" customHeight="1" spans="3:5">
      <c r="C135" s="52"/>
      <c r="D135" s="52"/>
      <c r="E135" s="52"/>
    </row>
    <row r="136" ht="15.75" customHeight="1" spans="3:5">
      <c r="C136" s="52"/>
      <c r="D136" s="52"/>
      <c r="E136" s="52"/>
    </row>
    <row r="137" ht="15.75" customHeight="1" spans="3:5">
      <c r="C137" s="52"/>
      <c r="D137" s="52"/>
      <c r="E137" s="52"/>
    </row>
    <row r="138" ht="15.75" customHeight="1" spans="3:5">
      <c r="C138" s="52"/>
      <c r="D138" s="52"/>
      <c r="E138" s="52"/>
    </row>
    <row r="139" ht="15.75" customHeight="1" spans="3:5">
      <c r="C139" s="52"/>
      <c r="D139" s="52"/>
      <c r="E139" s="52"/>
    </row>
    <row r="140" ht="15.75" customHeight="1" spans="3:5">
      <c r="C140" s="52"/>
      <c r="D140" s="52"/>
      <c r="E140" s="52"/>
    </row>
    <row r="141" ht="15.75" customHeight="1" spans="3:5">
      <c r="C141" s="52"/>
      <c r="D141" s="52"/>
      <c r="E141" s="52"/>
    </row>
    <row r="142" ht="15.75" customHeight="1" spans="3:5">
      <c r="C142" s="52"/>
      <c r="D142" s="52"/>
      <c r="E142" s="52"/>
    </row>
    <row r="143" ht="15.75" customHeight="1" spans="3:5">
      <c r="C143" s="52"/>
      <c r="D143" s="52"/>
      <c r="E143" s="52"/>
    </row>
    <row r="144" ht="15.75" customHeight="1" spans="3:5">
      <c r="C144" s="52"/>
      <c r="D144" s="52"/>
      <c r="E144" s="52"/>
    </row>
    <row r="145" ht="15.75" customHeight="1" spans="3:5">
      <c r="C145" s="52"/>
      <c r="D145" s="52"/>
      <c r="E145" s="52"/>
    </row>
    <row r="146" ht="15.75" customHeight="1" spans="3:5">
      <c r="C146" s="52"/>
      <c r="D146" s="52"/>
      <c r="E146" s="52"/>
    </row>
    <row r="147" ht="15.75" customHeight="1" spans="3:5">
      <c r="C147" s="52"/>
      <c r="D147" s="52"/>
      <c r="E147" s="52"/>
    </row>
    <row r="148" ht="15.75" customHeight="1" spans="3:5">
      <c r="C148" s="52"/>
      <c r="D148" s="52"/>
      <c r="E148" s="52"/>
    </row>
    <row r="149" ht="15.75" customHeight="1" spans="3:5">
      <c r="C149" s="52"/>
      <c r="D149" s="52"/>
      <c r="E149" s="52"/>
    </row>
    <row r="150" ht="15.75" customHeight="1" spans="3:5">
      <c r="C150" s="52"/>
      <c r="D150" s="52"/>
      <c r="E150" s="52"/>
    </row>
    <row r="151" ht="15.75" customHeight="1" spans="3:5">
      <c r="C151" s="52"/>
      <c r="D151" s="52"/>
      <c r="E151" s="52"/>
    </row>
    <row r="152" ht="15.75" customHeight="1" spans="3:5">
      <c r="C152" s="52"/>
      <c r="D152" s="52"/>
      <c r="E152" s="52"/>
    </row>
    <row r="153" ht="15.75" customHeight="1" spans="3:5">
      <c r="C153" s="52"/>
      <c r="D153" s="52"/>
      <c r="E153" s="52"/>
    </row>
    <row r="154" ht="15.75" customHeight="1" spans="3:5">
      <c r="C154" s="52"/>
      <c r="D154" s="52"/>
      <c r="E154" s="52"/>
    </row>
    <row r="155" ht="15.75" customHeight="1" spans="3:5">
      <c r="C155" s="52"/>
      <c r="D155" s="52"/>
      <c r="E155" s="52"/>
    </row>
    <row r="156" ht="15.75" customHeight="1" spans="3:5">
      <c r="C156" s="52"/>
      <c r="D156" s="52"/>
      <c r="E156" s="52"/>
    </row>
    <row r="157" ht="15.75" customHeight="1" spans="3:5">
      <c r="C157" s="52"/>
      <c r="D157" s="52"/>
      <c r="E157" s="52"/>
    </row>
    <row r="158" ht="15.75" customHeight="1" spans="3:5">
      <c r="C158" s="52"/>
      <c r="D158" s="52"/>
      <c r="E158" s="52"/>
    </row>
    <row r="159" ht="15.75" customHeight="1" spans="3:5">
      <c r="C159" s="52"/>
      <c r="D159" s="52"/>
      <c r="E159" s="52"/>
    </row>
    <row r="160" ht="15.75" customHeight="1" spans="3:5">
      <c r="C160" s="52"/>
      <c r="D160" s="52"/>
      <c r="E160" s="52"/>
    </row>
    <row r="161" ht="15.75" customHeight="1" spans="3:5">
      <c r="C161" s="52"/>
      <c r="D161" s="52"/>
      <c r="E161" s="52"/>
    </row>
    <row r="162" ht="15.75" customHeight="1" spans="3:5">
      <c r="C162" s="52"/>
      <c r="D162" s="52"/>
      <c r="E162" s="52"/>
    </row>
    <row r="163" ht="15.75" customHeight="1" spans="3:5">
      <c r="C163" s="52"/>
      <c r="D163" s="52"/>
      <c r="E163" s="52"/>
    </row>
    <row r="164" ht="15.75" customHeight="1" spans="3:5">
      <c r="C164" s="52"/>
      <c r="D164" s="52"/>
      <c r="E164" s="52"/>
    </row>
    <row r="165" ht="15.75" customHeight="1" spans="3:5">
      <c r="C165" s="52"/>
      <c r="D165" s="52"/>
      <c r="E165" s="52"/>
    </row>
    <row r="166" ht="15.75" customHeight="1" spans="3:5">
      <c r="C166" s="52"/>
      <c r="D166" s="52"/>
      <c r="E166" s="52"/>
    </row>
    <row r="167" ht="15.75" customHeight="1" spans="3:5">
      <c r="C167" s="52"/>
      <c r="D167" s="52"/>
      <c r="E167" s="52"/>
    </row>
    <row r="168" ht="15.75" customHeight="1" spans="3:5">
      <c r="C168" s="52"/>
      <c r="D168" s="52"/>
      <c r="E168" s="52"/>
    </row>
    <row r="169" ht="15.75" customHeight="1" spans="3:5">
      <c r="C169" s="52"/>
      <c r="D169" s="52"/>
      <c r="E169" s="52"/>
    </row>
    <row r="170" ht="15.75" customHeight="1" spans="3:5">
      <c r="C170" s="52"/>
      <c r="D170" s="52"/>
      <c r="E170" s="52"/>
    </row>
    <row r="171" ht="15.75" customHeight="1" spans="3:5">
      <c r="C171" s="52"/>
      <c r="D171" s="52"/>
      <c r="E171" s="52"/>
    </row>
    <row r="172" ht="15.75" customHeight="1" spans="3:5">
      <c r="C172" s="52"/>
      <c r="D172" s="52"/>
      <c r="E172" s="52"/>
    </row>
    <row r="173" ht="15.75" customHeight="1" spans="3:5">
      <c r="C173" s="52"/>
      <c r="D173" s="52"/>
      <c r="E173" s="52"/>
    </row>
    <row r="174" ht="15.75" customHeight="1" spans="3:5">
      <c r="C174" s="52"/>
      <c r="D174" s="52"/>
      <c r="E174" s="52"/>
    </row>
    <row r="175" ht="15.75" customHeight="1" spans="3:5">
      <c r="C175" s="52"/>
      <c r="D175" s="52"/>
      <c r="E175" s="52"/>
    </row>
    <row r="176" ht="15.75" customHeight="1" spans="3:5">
      <c r="C176" s="52"/>
      <c r="D176" s="52"/>
      <c r="E176" s="52"/>
    </row>
    <row r="177" ht="15.75" customHeight="1" spans="3:5">
      <c r="C177" s="52"/>
      <c r="D177" s="52"/>
      <c r="E177" s="52"/>
    </row>
    <row r="178" ht="15.75" customHeight="1" spans="3:5">
      <c r="C178" s="52"/>
      <c r="D178" s="52"/>
      <c r="E178" s="52"/>
    </row>
    <row r="179" ht="15.75" customHeight="1" spans="3:5">
      <c r="C179" s="52"/>
      <c r="D179" s="52"/>
      <c r="E179" s="52"/>
    </row>
    <row r="180" ht="15.75" customHeight="1" spans="3:5">
      <c r="C180" s="52"/>
      <c r="D180" s="52"/>
      <c r="E180" s="52"/>
    </row>
    <row r="181" ht="15.75" customHeight="1" spans="3:5">
      <c r="C181" s="52"/>
      <c r="D181" s="52"/>
      <c r="E181" s="52"/>
    </row>
    <row r="182" ht="15.75" customHeight="1" spans="3:5">
      <c r="C182" s="52"/>
      <c r="D182" s="52"/>
      <c r="E182" s="52"/>
    </row>
    <row r="183" ht="15.75" customHeight="1" spans="3:5">
      <c r="C183" s="52"/>
      <c r="D183" s="52"/>
      <c r="E183" s="52"/>
    </row>
    <row r="184" ht="15.75" customHeight="1" spans="3:5">
      <c r="C184" s="52"/>
      <c r="D184" s="52"/>
      <c r="E184" s="52"/>
    </row>
    <row r="185" ht="15.75" customHeight="1" spans="3:5">
      <c r="C185" s="52"/>
      <c r="D185" s="52"/>
      <c r="E185" s="52"/>
    </row>
    <row r="186" ht="15.75" customHeight="1" spans="3:5">
      <c r="C186" s="52"/>
      <c r="D186" s="52"/>
      <c r="E186" s="52"/>
    </row>
    <row r="187" ht="15.75" customHeight="1" spans="3:5">
      <c r="C187" s="52"/>
      <c r="D187" s="52"/>
      <c r="E187" s="52"/>
    </row>
    <row r="188" ht="15.75" customHeight="1" spans="3:5">
      <c r="C188" s="52"/>
      <c r="D188" s="52"/>
      <c r="E188" s="52"/>
    </row>
    <row r="189" ht="15.75" customHeight="1" spans="3:5">
      <c r="C189" s="52"/>
      <c r="D189" s="52"/>
      <c r="E189" s="52"/>
    </row>
    <row r="190" ht="15.75" customHeight="1" spans="3:5">
      <c r="C190" s="52"/>
      <c r="D190" s="52"/>
      <c r="E190" s="52"/>
    </row>
    <row r="191" ht="15.75" customHeight="1" spans="3:5">
      <c r="C191" s="52"/>
      <c r="D191" s="52"/>
      <c r="E191" s="52"/>
    </row>
    <row r="192" ht="15.75" customHeight="1" spans="3:5">
      <c r="C192" s="52"/>
      <c r="D192" s="52"/>
      <c r="E192" s="52"/>
    </row>
    <row r="193" ht="15.75" customHeight="1" spans="3:5">
      <c r="C193" s="52"/>
      <c r="D193" s="52"/>
      <c r="E193" s="52"/>
    </row>
    <row r="194" ht="15.75" customHeight="1" spans="3:5">
      <c r="C194" s="52"/>
      <c r="D194" s="52"/>
      <c r="E194" s="52"/>
    </row>
    <row r="195" ht="15.75" customHeight="1" spans="3:5">
      <c r="C195" s="52"/>
      <c r="D195" s="52"/>
      <c r="E195" s="52"/>
    </row>
    <row r="196" ht="15.75" customHeight="1" spans="3:5">
      <c r="C196" s="52"/>
      <c r="D196" s="52"/>
      <c r="E196" s="52"/>
    </row>
    <row r="197" ht="15.75" customHeight="1" spans="3:5">
      <c r="C197" s="52"/>
      <c r="D197" s="52"/>
      <c r="E197" s="52"/>
    </row>
    <row r="198" ht="15.75" customHeight="1" spans="3:5">
      <c r="C198" s="52"/>
      <c r="D198" s="52"/>
      <c r="E198" s="52"/>
    </row>
    <row r="199" ht="15.75" customHeight="1" spans="3:5">
      <c r="C199" s="52"/>
      <c r="D199" s="52"/>
      <c r="E199" s="52"/>
    </row>
    <row r="200" ht="15.75" customHeight="1" spans="3:5">
      <c r="C200" s="52"/>
      <c r="D200" s="52"/>
      <c r="E200" s="52"/>
    </row>
    <row r="201" ht="15.75" customHeight="1" spans="3:5">
      <c r="C201" s="52"/>
      <c r="D201" s="52"/>
      <c r="E201" s="52"/>
    </row>
    <row r="202" ht="15.75" customHeight="1" spans="3:5">
      <c r="C202" s="52"/>
      <c r="D202" s="52"/>
      <c r="E202" s="52"/>
    </row>
    <row r="203" ht="15.75" customHeight="1" spans="3:5">
      <c r="C203" s="52"/>
      <c r="D203" s="52"/>
      <c r="E203" s="52"/>
    </row>
    <row r="204" ht="15.75" customHeight="1" spans="3:5">
      <c r="C204" s="52"/>
      <c r="D204" s="52"/>
      <c r="E204" s="52"/>
    </row>
    <row r="205" ht="15.75" customHeight="1" spans="3:5">
      <c r="C205" s="52"/>
      <c r="D205" s="52"/>
      <c r="E205" s="52"/>
    </row>
    <row r="206" ht="15.75" customHeight="1" spans="3:5">
      <c r="C206" s="52"/>
      <c r="D206" s="52"/>
      <c r="E206" s="52"/>
    </row>
    <row r="207" ht="15.75" customHeight="1" spans="3:5">
      <c r="C207" s="52"/>
      <c r="D207" s="52"/>
      <c r="E207" s="52"/>
    </row>
    <row r="208" ht="15.75" customHeight="1" spans="3:5">
      <c r="C208" s="52"/>
      <c r="D208" s="52"/>
      <c r="E208" s="52"/>
    </row>
    <row r="209" ht="15.75" customHeight="1" spans="3:5">
      <c r="C209" s="52"/>
      <c r="D209" s="52"/>
      <c r="E209" s="52"/>
    </row>
    <row r="210" ht="15.75" customHeight="1" spans="3:5">
      <c r="C210" s="52"/>
      <c r="D210" s="52"/>
      <c r="E210" s="52"/>
    </row>
    <row r="211" ht="15.75" customHeight="1" spans="3:5">
      <c r="C211" s="52"/>
      <c r="D211" s="52"/>
      <c r="E211" s="52"/>
    </row>
    <row r="212" ht="15.75" customHeight="1" spans="3:5">
      <c r="C212" s="52"/>
      <c r="D212" s="52"/>
      <c r="E212" s="52"/>
    </row>
    <row r="213" ht="15.75" customHeight="1" spans="3:5">
      <c r="C213" s="52"/>
      <c r="D213" s="52"/>
      <c r="E213" s="52"/>
    </row>
    <row r="214" ht="15.75" customHeight="1" spans="3:5">
      <c r="C214" s="52"/>
      <c r="D214" s="52"/>
      <c r="E214" s="52"/>
    </row>
    <row r="215" ht="15.75" customHeight="1" spans="3:5">
      <c r="C215" s="52"/>
      <c r="D215" s="52"/>
      <c r="E215" s="52"/>
    </row>
    <row r="216" ht="15.75" customHeight="1" spans="3:5">
      <c r="C216" s="52"/>
      <c r="D216" s="52"/>
      <c r="E216" s="52"/>
    </row>
    <row r="217" ht="15.75" customHeight="1" spans="3:5">
      <c r="C217" s="52"/>
      <c r="D217" s="52"/>
      <c r="E217" s="52"/>
    </row>
    <row r="218" ht="15.75" customHeight="1" spans="3:5">
      <c r="C218" s="52"/>
      <c r="D218" s="52"/>
      <c r="E218" s="52"/>
    </row>
    <row r="219" ht="15.75" customHeight="1" spans="3:5">
      <c r="C219" s="52"/>
      <c r="D219" s="52"/>
      <c r="E219" s="52"/>
    </row>
    <row r="220" ht="15.75" customHeight="1" spans="3:5">
      <c r="C220" s="52"/>
      <c r="D220" s="52"/>
      <c r="E220" s="52"/>
    </row>
    <row r="221" ht="15.75" customHeight="1" spans="3:5">
      <c r="C221" s="52"/>
      <c r="D221" s="52"/>
      <c r="E221" s="52"/>
    </row>
    <row r="222" ht="15.75" customHeight="1" spans="3:5">
      <c r="C222" s="52"/>
      <c r="D222" s="52"/>
      <c r="E222" s="52"/>
    </row>
    <row r="223" ht="15.75" customHeight="1" spans="3:5">
      <c r="C223" s="52"/>
      <c r="D223" s="52"/>
      <c r="E223" s="52"/>
    </row>
    <row r="224" ht="15.75" customHeight="1" spans="3:5">
      <c r="C224" s="52"/>
      <c r="D224" s="52"/>
      <c r="E224" s="52"/>
    </row>
    <row r="225" ht="15.75" customHeight="1" spans="3:5">
      <c r="C225" s="52"/>
      <c r="D225" s="52"/>
      <c r="E225" s="52"/>
    </row>
    <row r="226" ht="15.75" customHeight="1" spans="3:5">
      <c r="C226" s="52"/>
      <c r="D226" s="52"/>
      <c r="E226" s="52"/>
    </row>
    <row r="227" ht="15.75" customHeight="1" spans="3:5">
      <c r="C227" s="52"/>
      <c r="D227" s="52"/>
      <c r="E227" s="52"/>
    </row>
    <row r="228" ht="15.75" customHeight="1" spans="3:5">
      <c r="C228" s="52"/>
      <c r="D228" s="52"/>
      <c r="E228" s="52"/>
    </row>
    <row r="229" ht="15.75" customHeight="1" spans="3:5">
      <c r="C229" s="52"/>
      <c r="D229" s="52"/>
      <c r="E229" s="52"/>
    </row>
    <row r="230" ht="15.75" customHeight="1" spans="3:5">
      <c r="C230" s="52"/>
      <c r="D230" s="52"/>
      <c r="E230" s="52"/>
    </row>
    <row r="231" ht="15.75" customHeight="1" spans="3:5">
      <c r="C231" s="52"/>
      <c r="D231" s="52"/>
      <c r="E231" s="52"/>
    </row>
    <row r="232" ht="15.75" customHeight="1" spans="3:5">
      <c r="C232" s="52"/>
      <c r="D232" s="52"/>
      <c r="E232" s="52"/>
    </row>
    <row r="233" ht="15.75" customHeight="1" spans="3:5">
      <c r="C233" s="52"/>
      <c r="D233" s="52"/>
      <c r="E233" s="52"/>
    </row>
    <row r="234" ht="15.75" customHeight="1" spans="3:5">
      <c r="C234" s="52"/>
      <c r="D234" s="52"/>
      <c r="E234" s="52"/>
    </row>
    <row r="235" ht="15.75" customHeight="1" spans="3:5">
      <c r="C235" s="52"/>
      <c r="D235" s="52"/>
      <c r="E235" s="52"/>
    </row>
    <row r="236" ht="15.75" customHeight="1" spans="3:5">
      <c r="C236" s="52"/>
      <c r="D236" s="52"/>
      <c r="E236" s="52"/>
    </row>
    <row r="237" ht="15.75" customHeight="1" spans="3:5">
      <c r="C237" s="52"/>
      <c r="D237" s="52"/>
      <c r="E237" s="52"/>
    </row>
    <row r="238" ht="15.75" customHeight="1" spans="3:5">
      <c r="C238" s="52"/>
      <c r="D238" s="52"/>
      <c r="E238" s="52"/>
    </row>
    <row r="239" ht="15.75" customHeight="1" spans="3:5">
      <c r="C239" s="52"/>
      <c r="D239" s="52"/>
      <c r="E239" s="52"/>
    </row>
    <row r="240" ht="15.75" customHeight="1" spans="3:5">
      <c r="C240" s="52"/>
      <c r="D240" s="52"/>
      <c r="E240" s="52"/>
    </row>
    <row r="241" ht="15.75" customHeight="1" spans="3:5">
      <c r="C241" s="52"/>
      <c r="D241" s="52"/>
      <c r="E241" s="52"/>
    </row>
    <row r="242" ht="15.75" customHeight="1" spans="3:5">
      <c r="C242" s="52"/>
      <c r="D242" s="52"/>
      <c r="E242" s="52"/>
    </row>
    <row r="243" ht="15.75" customHeight="1" spans="3:5">
      <c r="C243" s="52"/>
      <c r="D243" s="52"/>
      <c r="E243" s="52"/>
    </row>
    <row r="244" ht="15.75" customHeight="1" spans="3:5">
      <c r="C244" s="52"/>
      <c r="D244" s="52"/>
      <c r="E244" s="52"/>
    </row>
    <row r="245" ht="15.75" customHeight="1" spans="3:5">
      <c r="C245" s="52"/>
      <c r="D245" s="52"/>
      <c r="E245" s="52"/>
    </row>
    <row r="246" ht="15.75" customHeight="1" spans="3:5">
      <c r="C246" s="52"/>
      <c r="D246" s="52"/>
      <c r="E246" s="52"/>
    </row>
    <row r="247" ht="15.75" customHeight="1" spans="3:5">
      <c r="C247" s="52"/>
      <c r="D247" s="52"/>
      <c r="E247" s="5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3"/>
  </mergeCells>
  <pageMargins left="0.75" right="0.75" top="1" bottom="1" header="0" footer="0"/>
  <pageSetup paperSize="1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selection activeCell="A1" sqref="A1"/>
    </sheetView>
  </sheetViews>
  <sheetFormatPr defaultColWidth="12.6271186440678" defaultRowHeight="15" customHeight="1"/>
  <cols>
    <col min="1" max="2" width="9" customWidth="1"/>
    <col min="3" max="3" width="13.3813559322034" customWidth="1"/>
    <col min="4" max="26" width="9" customWidth="1"/>
  </cols>
  <sheetData>
    <row r="1" ht="14.25" customHeight="1"/>
    <row r="2" ht="14.25" customHeight="1"/>
    <row r="3" ht="14.25" customHeight="1" spans="1:12">
      <c r="B3" s="6" t="s">
        <v>321</v>
      </c>
    </row>
    <row r="4" ht="14.25" customHeight="1"/>
    <row r="5" ht="14.25" customHeight="1" spans="1:12">
      <c r="A5" s="6" t="s">
        <v>322</v>
      </c>
      <c r="B5" s="6" t="s">
        <v>9</v>
      </c>
      <c r="C5" s="6" t="s">
        <v>323</v>
      </c>
      <c r="D5" s="6" t="s">
        <v>324</v>
      </c>
      <c r="E5" s="6" t="s">
        <v>12</v>
      </c>
      <c r="I5" s="7" t="s">
        <v>325</v>
      </c>
      <c r="J5" s="7" t="s">
        <v>3</v>
      </c>
      <c r="K5" s="7" t="s">
        <v>4</v>
      </c>
      <c r="L5" s="8" t="s">
        <v>298</v>
      </c>
    </row>
    <row r="6" ht="14.25" customHeight="1" spans="1:12">
      <c r="I6" s="7" t="s">
        <v>326</v>
      </c>
      <c r="J6" s="7" t="s">
        <v>4</v>
      </c>
      <c r="K6" s="7" t="s">
        <v>3</v>
      </c>
      <c r="L6" s="8" t="s">
        <v>327</v>
      </c>
    </row>
    <row r="7" ht="14.25" customHeight="1" spans="1:12">
      <c r="I7" s="7" t="s">
        <v>328</v>
      </c>
      <c r="J7" s="7" t="s">
        <v>3</v>
      </c>
      <c r="K7" s="7" t="s">
        <v>145</v>
      </c>
      <c r="L7" s="8" t="s">
        <v>293</v>
      </c>
    </row>
    <row r="8" ht="14.25" customHeight="1" spans="1:12">
      <c r="I8" s="7" t="s">
        <v>329</v>
      </c>
      <c r="J8" s="7" t="s">
        <v>145</v>
      </c>
      <c r="K8" s="7" t="s">
        <v>3</v>
      </c>
      <c r="L8" s="9" t="s">
        <v>327</v>
      </c>
    </row>
    <row r="9" ht="14.25" customHeight="1" spans="1:12">
      <c r="I9" s="7" t="s">
        <v>330</v>
      </c>
      <c r="J9" s="7" t="s">
        <v>3</v>
      </c>
      <c r="K9" s="7" t="s">
        <v>4</v>
      </c>
      <c r="L9" s="9" t="s">
        <v>298</v>
      </c>
    </row>
    <row r="10" ht="14.25" customHeight="1" spans="1:12">
      <c r="I10" s="7" t="s">
        <v>331</v>
      </c>
      <c r="J10" s="7" t="s">
        <v>4</v>
      </c>
      <c r="K10" s="7" t="s">
        <v>3</v>
      </c>
      <c r="L10" s="9" t="s">
        <v>327</v>
      </c>
    </row>
    <row r="11" ht="14.25" customHeight="1" spans="1:12">
      <c r="I11" s="7" t="s">
        <v>332</v>
      </c>
      <c r="J11" s="7" t="s">
        <v>3</v>
      </c>
      <c r="K11" s="7" t="s">
        <v>7</v>
      </c>
      <c r="L11" s="8" t="s">
        <v>4</v>
      </c>
    </row>
    <row r="12" ht="14.25" customHeight="1" spans="1:12">
      <c r="I12" s="7" t="s">
        <v>333</v>
      </c>
      <c r="J12" s="7" t="s">
        <v>7</v>
      </c>
      <c r="K12" s="7" t="s">
        <v>3</v>
      </c>
      <c r="L12" s="8" t="s">
        <v>327</v>
      </c>
    </row>
    <row r="13" ht="14.25" customHeight="1" spans="1:12">
      <c r="I13" s="7" t="s">
        <v>334</v>
      </c>
      <c r="J13" s="7" t="s">
        <v>3</v>
      </c>
      <c r="K13" s="7" t="s">
        <v>303</v>
      </c>
      <c r="L13" s="8" t="s">
        <v>304</v>
      </c>
    </row>
    <row r="14" ht="14.25" customHeight="1" spans="1:12">
      <c r="I14" s="7" t="s">
        <v>335</v>
      </c>
      <c r="J14" s="7" t="s">
        <v>303</v>
      </c>
      <c r="K14" s="7" t="s">
        <v>3</v>
      </c>
      <c r="L14" s="9" t="s">
        <v>327</v>
      </c>
    </row>
    <row r="15" ht="14.25" customHeight="1" spans="1:12">
      <c r="I15" s="7" t="s">
        <v>336</v>
      </c>
      <c r="J15" s="7" t="s">
        <v>3</v>
      </c>
      <c r="K15" s="7" t="s">
        <v>301</v>
      </c>
      <c r="L15" s="9" t="s">
        <v>75</v>
      </c>
    </row>
    <row r="16" ht="14.25" customHeight="1" spans="1:12">
      <c r="I16" s="7" t="s">
        <v>337</v>
      </c>
      <c r="J16" s="7" t="s">
        <v>301</v>
      </c>
      <c r="K16" s="7" t="s">
        <v>3</v>
      </c>
      <c r="L16" s="9" t="s">
        <v>327</v>
      </c>
    </row>
    <row r="17" ht="14.25" customHeight="1" spans="9:12">
      <c r="I17" s="7" t="s">
        <v>338</v>
      </c>
      <c r="J17" s="7" t="s">
        <v>3</v>
      </c>
      <c r="K17" s="7" t="s">
        <v>339</v>
      </c>
      <c r="L17" s="8" t="s">
        <v>298</v>
      </c>
    </row>
    <row r="18" ht="14.25" customHeight="1" spans="9:12">
      <c r="I18" s="7" t="s">
        <v>340</v>
      </c>
      <c r="J18" s="7" t="s">
        <v>339</v>
      </c>
      <c r="K18" s="7" t="s">
        <v>3</v>
      </c>
      <c r="L18" s="8" t="s">
        <v>327</v>
      </c>
    </row>
    <row r="19" ht="14.25" customHeight="1" spans="9:12">
      <c r="I19" s="7" t="s">
        <v>341</v>
      </c>
      <c r="J19" s="7" t="s">
        <v>3</v>
      </c>
      <c r="K19" s="7" t="s">
        <v>7</v>
      </c>
      <c r="L19" s="8" t="s">
        <v>4</v>
      </c>
    </row>
    <row r="20" ht="14.25" customHeight="1" spans="9:12">
      <c r="I20" s="7" t="s">
        <v>342</v>
      </c>
      <c r="J20" s="7" t="s">
        <v>7</v>
      </c>
      <c r="K20" s="7" t="s">
        <v>3</v>
      </c>
      <c r="L20" s="8" t="s">
        <v>327</v>
      </c>
    </row>
    <row r="21" ht="14.25" customHeight="1" spans="9:12">
      <c r="I21" s="7" t="s">
        <v>343</v>
      </c>
      <c r="J21" s="7" t="s">
        <v>3</v>
      </c>
      <c r="K21" s="7" t="s">
        <v>327</v>
      </c>
      <c r="L21" s="8" t="s">
        <v>300</v>
      </c>
    </row>
    <row r="22" ht="14.25" customHeight="1" spans="9:12">
      <c r="I22" s="7" t="s">
        <v>344</v>
      </c>
      <c r="J22" s="7" t="s">
        <v>327</v>
      </c>
      <c r="K22" s="7" t="s">
        <v>3</v>
      </c>
      <c r="L22" s="8" t="s">
        <v>300</v>
      </c>
    </row>
    <row r="23" ht="14.25" customHeight="1" spans="9:12">
      <c r="I23" s="7" t="s">
        <v>345</v>
      </c>
      <c r="J23" s="7" t="s">
        <v>3</v>
      </c>
      <c r="K23" s="7" t="s">
        <v>145</v>
      </c>
      <c r="L23" s="8" t="s">
        <v>293</v>
      </c>
    </row>
    <row r="24" ht="14.25" customHeight="1" spans="9:12">
      <c r="I24" s="7" t="s">
        <v>346</v>
      </c>
      <c r="J24" s="7" t="s">
        <v>145</v>
      </c>
      <c r="K24" s="7" t="s">
        <v>3</v>
      </c>
      <c r="L24" s="8" t="s">
        <v>327</v>
      </c>
    </row>
    <row r="25" ht="14.25" customHeight="1" spans="9:12">
      <c r="I25" s="7" t="s">
        <v>347</v>
      </c>
      <c r="J25" s="7" t="s">
        <v>3</v>
      </c>
      <c r="K25" s="7" t="s">
        <v>7</v>
      </c>
      <c r="L25" s="8" t="s">
        <v>4</v>
      </c>
    </row>
    <row r="26" ht="14.25" customHeight="1" spans="9:12">
      <c r="I26" s="7" t="s">
        <v>348</v>
      </c>
      <c r="J26" s="7" t="s">
        <v>7</v>
      </c>
      <c r="K26" s="7" t="s">
        <v>3</v>
      </c>
      <c r="L26" s="8" t="s">
        <v>327</v>
      </c>
    </row>
    <row r="27" ht="14.25" customHeight="1" spans="9:12">
      <c r="I27" s="7" t="s">
        <v>349</v>
      </c>
      <c r="J27" s="7" t="s">
        <v>3</v>
      </c>
      <c r="K27" s="7" t="s">
        <v>7</v>
      </c>
      <c r="L27" s="8" t="s">
        <v>4</v>
      </c>
    </row>
    <row r="28" ht="14.25" customHeight="1" spans="9:12">
      <c r="I28" s="7" t="s">
        <v>350</v>
      </c>
      <c r="J28" s="7" t="s">
        <v>7</v>
      </c>
      <c r="K28" s="7" t="s">
        <v>3</v>
      </c>
      <c r="L28" s="8" t="s">
        <v>300</v>
      </c>
    </row>
    <row r="29" ht="14.25" customHeight="1" spans="9:12">
      <c r="I29" s="7" t="s">
        <v>351</v>
      </c>
      <c r="J29" s="7" t="s">
        <v>3</v>
      </c>
      <c r="K29" s="7" t="s">
        <v>339</v>
      </c>
      <c r="L29" s="10" t="s">
        <v>298</v>
      </c>
    </row>
    <row r="30" ht="14.25" customHeight="1" spans="9:12">
      <c r="I30" s="7" t="s">
        <v>352</v>
      </c>
      <c r="J30" s="7" t="s">
        <v>339</v>
      </c>
      <c r="K30" s="7" t="s">
        <v>3</v>
      </c>
      <c r="L30" s="11" t="s">
        <v>327</v>
      </c>
    </row>
    <row r="31" ht="14.25" customHeight="1" spans="9:12">
      <c r="I31" s="7" t="s">
        <v>353</v>
      </c>
      <c r="J31" s="7" t="s">
        <v>3</v>
      </c>
      <c r="K31" s="7" t="s">
        <v>299</v>
      </c>
      <c r="L31" s="8" t="s">
        <v>4</v>
      </c>
    </row>
    <row r="32" ht="14.25" customHeight="1" spans="9:12">
      <c r="I32" s="7" t="s">
        <v>354</v>
      </c>
      <c r="J32" s="7" t="s">
        <v>299</v>
      </c>
      <c r="K32" s="7" t="s">
        <v>3</v>
      </c>
      <c r="L32" s="8" t="s">
        <v>300</v>
      </c>
    </row>
    <row r="33" ht="14.25" customHeight="1" spans="9:12">
      <c r="I33" s="7"/>
      <c r="J33" s="7"/>
      <c r="K33" s="7"/>
      <c r="L33" s="12"/>
    </row>
    <row r="34" ht="14.25" customHeight="1" spans="9:12">
      <c r="I34" s="7" t="s">
        <v>355</v>
      </c>
      <c r="J34" s="7" t="s">
        <v>3</v>
      </c>
      <c r="K34" s="7" t="s">
        <v>4</v>
      </c>
      <c r="L34" s="9" t="s">
        <v>299</v>
      </c>
    </row>
    <row r="35" ht="14.25" customHeight="1" spans="9:12">
      <c r="I35" s="7" t="s">
        <v>356</v>
      </c>
      <c r="J35" s="7" t="s">
        <v>4</v>
      </c>
      <c r="K35" s="7" t="s">
        <v>3</v>
      </c>
      <c r="L35" s="9" t="s">
        <v>327</v>
      </c>
    </row>
    <row r="36" ht="14.25" customHeight="1" spans="9:12">
      <c r="I36" s="7" t="s">
        <v>357</v>
      </c>
      <c r="J36" s="7" t="s">
        <v>3</v>
      </c>
      <c r="K36" s="7" t="s">
        <v>75</v>
      </c>
      <c r="L36" s="9" t="s">
        <v>301</v>
      </c>
    </row>
    <row r="37" ht="14.25" customHeight="1" spans="9:12">
      <c r="I37" s="7" t="s">
        <v>358</v>
      </c>
      <c r="J37" s="7" t="s">
        <v>75</v>
      </c>
      <c r="K37" s="7" t="s">
        <v>3</v>
      </c>
      <c r="L37" s="9" t="s">
        <v>300</v>
      </c>
    </row>
    <row r="38" ht="14.25" customHeight="1" spans="9:12">
      <c r="I38" s="7" t="s">
        <v>359</v>
      </c>
      <c r="J38" s="7" t="s">
        <v>3</v>
      </c>
      <c r="K38" s="7" t="s">
        <v>142</v>
      </c>
      <c r="L38" s="8" t="s">
        <v>293</v>
      </c>
    </row>
    <row r="39" ht="14.25" customHeight="1" spans="9:12">
      <c r="I39" s="7" t="s">
        <v>360</v>
      </c>
      <c r="J39" s="7" t="s">
        <v>142</v>
      </c>
      <c r="K39" s="7" t="s">
        <v>3</v>
      </c>
      <c r="L39" s="8" t="s">
        <v>300</v>
      </c>
    </row>
    <row r="40" ht="14.25" customHeight="1" spans="9:12">
      <c r="I40" s="7" t="s">
        <v>361</v>
      </c>
      <c r="J40" s="7" t="s">
        <v>3</v>
      </c>
      <c r="K40" s="7" t="s">
        <v>145</v>
      </c>
      <c r="L40" s="8" t="s">
        <v>293</v>
      </c>
    </row>
    <row r="41" ht="14.25" customHeight="1" spans="9:12">
      <c r="I41" s="7" t="s">
        <v>362</v>
      </c>
      <c r="J41" s="7" t="s">
        <v>145</v>
      </c>
      <c r="K41" s="7" t="s">
        <v>3</v>
      </c>
      <c r="L41" s="8" t="s">
        <v>327</v>
      </c>
    </row>
    <row r="42" ht="14.25" customHeight="1" spans="9:12">
      <c r="I42" s="7" t="s">
        <v>363</v>
      </c>
      <c r="J42" s="7" t="s">
        <v>3</v>
      </c>
      <c r="K42" s="7" t="s">
        <v>327</v>
      </c>
      <c r="L42" s="8" t="s">
        <v>300</v>
      </c>
    </row>
    <row r="43" ht="14.25" customHeight="1" spans="9:12">
      <c r="I43" s="7" t="s">
        <v>364</v>
      </c>
      <c r="J43" s="7" t="s">
        <v>327</v>
      </c>
      <c r="K43" s="7" t="s">
        <v>3</v>
      </c>
      <c r="L43" s="8" t="s">
        <v>300</v>
      </c>
    </row>
    <row r="44" ht="14.25" customHeight="1" spans="9:12">
      <c r="I44" s="7" t="s">
        <v>365</v>
      </c>
      <c r="J44" s="7" t="s">
        <v>3</v>
      </c>
      <c r="K44" s="7" t="s">
        <v>303</v>
      </c>
      <c r="L44" s="8" t="s">
        <v>366</v>
      </c>
    </row>
    <row r="45" ht="14.25" customHeight="1" spans="9:12">
      <c r="I45" s="7" t="s">
        <v>367</v>
      </c>
      <c r="J45" s="7" t="s">
        <v>303</v>
      </c>
      <c r="K45" s="7" t="s">
        <v>3</v>
      </c>
      <c r="L45" s="9" t="s">
        <v>300</v>
      </c>
    </row>
    <row r="46" ht="14.25" customHeight="1" spans="9:12">
      <c r="I46" s="7" t="s">
        <v>368</v>
      </c>
      <c r="J46" s="7" t="s">
        <v>3</v>
      </c>
      <c r="K46" s="7" t="s">
        <v>145</v>
      </c>
      <c r="L46" s="8" t="s">
        <v>293</v>
      </c>
    </row>
    <row r="47" ht="14.25" customHeight="1" spans="9:12">
      <c r="I47" s="7" t="s">
        <v>369</v>
      </c>
      <c r="J47" s="7" t="s">
        <v>145</v>
      </c>
      <c r="K47" s="7" t="s">
        <v>3</v>
      </c>
      <c r="L47" s="9" t="s">
        <v>300</v>
      </c>
    </row>
    <row r="48" ht="14.25" customHeight="1" spans="9:12">
      <c r="I48" s="7" t="s">
        <v>370</v>
      </c>
      <c r="J48" s="7" t="s">
        <v>3</v>
      </c>
      <c r="K48" s="7" t="s">
        <v>303</v>
      </c>
      <c r="L48" s="8" t="s">
        <v>304</v>
      </c>
    </row>
    <row r="49" ht="14.25" customHeight="1" spans="9:12">
      <c r="I49" s="7" t="s">
        <v>371</v>
      </c>
      <c r="J49" s="7" t="s">
        <v>303</v>
      </c>
      <c r="K49" s="7" t="s">
        <v>3</v>
      </c>
      <c r="L49" s="9" t="s">
        <v>7</v>
      </c>
    </row>
    <row r="50" ht="14.25" customHeight="1" spans="9:12">
      <c r="I50" s="7" t="s">
        <v>372</v>
      </c>
      <c r="J50" s="7" t="s">
        <v>3</v>
      </c>
      <c r="K50" s="7" t="s">
        <v>175</v>
      </c>
      <c r="L50" s="8" t="s">
        <v>4</v>
      </c>
    </row>
    <row r="51" ht="14.25" customHeight="1" spans="9:12">
      <c r="I51" s="7" t="s">
        <v>373</v>
      </c>
      <c r="J51" s="7" t="s">
        <v>175</v>
      </c>
      <c r="K51" s="7" t="s">
        <v>3</v>
      </c>
      <c r="L51" s="8" t="s">
        <v>300</v>
      </c>
    </row>
    <row r="52" ht="14.25" customHeight="1" spans="9:12">
      <c r="I52" s="7" t="s">
        <v>374</v>
      </c>
      <c r="J52" s="7" t="s">
        <v>3</v>
      </c>
      <c r="K52" s="7" t="s">
        <v>4</v>
      </c>
      <c r="L52" s="9" t="s">
        <v>175</v>
      </c>
    </row>
    <row r="53" ht="14.25" customHeight="1" spans="9:12">
      <c r="I53" s="7" t="s">
        <v>375</v>
      </c>
      <c r="J53" s="7" t="s">
        <v>4</v>
      </c>
      <c r="K53" s="7" t="s">
        <v>3</v>
      </c>
      <c r="L53" s="9" t="s">
        <v>300</v>
      </c>
    </row>
    <row r="54" ht="14.25" customHeight="1" spans="9:12">
      <c r="I54" s="7" t="s">
        <v>376</v>
      </c>
      <c r="J54" s="7" t="s">
        <v>3</v>
      </c>
      <c r="K54" s="7" t="s">
        <v>4</v>
      </c>
      <c r="L54" s="9" t="s">
        <v>175</v>
      </c>
    </row>
    <row r="55" ht="14.25" customHeight="1" spans="9:12">
      <c r="I55" s="7" t="s">
        <v>377</v>
      </c>
      <c r="J55" s="7" t="s">
        <v>4</v>
      </c>
      <c r="K55" s="7" t="s">
        <v>3</v>
      </c>
      <c r="L55" s="9" t="s">
        <v>300</v>
      </c>
    </row>
    <row r="56" ht="14.25" customHeight="1" spans="9:12">
      <c r="I56" s="7" t="s">
        <v>378</v>
      </c>
      <c r="J56" s="7" t="s">
        <v>3</v>
      </c>
      <c r="K56" s="7" t="s">
        <v>303</v>
      </c>
      <c r="L56" s="8" t="s">
        <v>366</v>
      </c>
    </row>
    <row r="57" ht="14.25" customHeight="1" spans="9:12">
      <c r="I57" s="7" t="s">
        <v>379</v>
      </c>
      <c r="J57" s="7" t="s">
        <v>303</v>
      </c>
      <c r="K57" s="7" t="s">
        <v>3</v>
      </c>
      <c r="L57" s="9" t="s">
        <v>7</v>
      </c>
    </row>
    <row r="58" ht="14.25" customHeight="1" spans="9:12">
      <c r="I58" s="7" t="s">
        <v>380</v>
      </c>
      <c r="J58" s="7" t="s">
        <v>3</v>
      </c>
      <c r="K58" s="7" t="s">
        <v>145</v>
      </c>
      <c r="L58" s="8" t="s">
        <v>296</v>
      </c>
    </row>
    <row r="59" ht="14.25" customHeight="1" spans="9:12">
      <c r="I59" s="7" t="s">
        <v>381</v>
      </c>
      <c r="J59" s="7" t="s">
        <v>145</v>
      </c>
      <c r="K59" s="7" t="s">
        <v>3</v>
      </c>
      <c r="L59" s="8" t="s">
        <v>145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paperSize="1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workbookViewId="0">
      <selection activeCell="A1" sqref="A1"/>
    </sheetView>
  </sheetViews>
  <sheetFormatPr defaultColWidth="12.6271186440678" defaultRowHeight="15" customHeight="1"/>
  <cols>
    <col min="1" max="1" width="9" customWidth="1"/>
    <col min="2" max="2" width="35.8813559322034" customWidth="1"/>
    <col min="3" max="4" width="9" customWidth="1"/>
    <col min="5" max="5" width="40.3813559322034" customWidth="1"/>
    <col min="6" max="26" width="9" customWidth="1"/>
  </cols>
  <sheetData>
    <row r="1" ht="14.25" customHeight="1"/>
    <row r="2" ht="14.25" customHeight="1" spans="1:18">
      <c r="A2" s="1" t="s">
        <v>287</v>
      </c>
      <c r="B2" s="1" t="s">
        <v>382</v>
      </c>
      <c r="D2" s="1" t="s">
        <v>287</v>
      </c>
      <c r="E2" s="1" t="s">
        <v>382</v>
      </c>
    </row>
    <row r="3" ht="24" customHeight="1" spans="1:18">
      <c r="A3" s="1">
        <v>1</v>
      </c>
      <c r="B3" s="2" t="s">
        <v>383</v>
      </c>
      <c r="D3" s="2"/>
      <c r="E3" s="2" t="s">
        <v>384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ht="24" customHeight="1" spans="1:18">
      <c r="A4" s="1">
        <v>2</v>
      </c>
      <c r="B4" s="2" t="s">
        <v>385</v>
      </c>
      <c r="D4" s="2"/>
      <c r="E4" s="2" t="s">
        <v>386</v>
      </c>
    </row>
    <row r="5" ht="24" customHeight="1" spans="1:18">
      <c r="A5" s="1">
        <v>3</v>
      </c>
      <c r="B5" s="2" t="s">
        <v>387</v>
      </c>
      <c r="D5" s="2"/>
      <c r="E5" s="2" t="s">
        <v>388</v>
      </c>
    </row>
    <row r="6" ht="24" customHeight="1" spans="1:18">
      <c r="A6" s="1">
        <v>4</v>
      </c>
      <c r="B6" s="2" t="s">
        <v>389</v>
      </c>
      <c r="D6" s="2"/>
      <c r="E6" s="2" t="s">
        <v>390</v>
      </c>
    </row>
    <row r="7" ht="24" customHeight="1" spans="1:18">
      <c r="A7" s="1">
        <v>5</v>
      </c>
      <c r="B7" s="2" t="s">
        <v>391</v>
      </c>
      <c r="D7" s="2"/>
      <c r="E7" s="2" t="s">
        <v>392</v>
      </c>
    </row>
    <row r="8" ht="24" customHeight="1" spans="1:18">
      <c r="A8" s="1">
        <v>6</v>
      </c>
      <c r="B8" s="2" t="s">
        <v>393</v>
      </c>
      <c r="D8" s="2"/>
      <c r="E8" s="2" t="s">
        <v>394</v>
      </c>
    </row>
    <row r="9" ht="24" customHeight="1" spans="1:18">
      <c r="A9" s="1">
        <v>7</v>
      </c>
      <c r="B9" s="2" t="s">
        <v>395</v>
      </c>
      <c r="D9" s="2"/>
      <c r="E9" s="2" t="s">
        <v>396</v>
      </c>
    </row>
    <row r="10" ht="24" customHeight="1" spans="1:18">
      <c r="A10" s="1">
        <v>8</v>
      </c>
      <c r="B10" s="2" t="s">
        <v>397</v>
      </c>
      <c r="D10" s="2"/>
      <c r="E10" s="2" t="s">
        <v>398</v>
      </c>
    </row>
    <row r="11" ht="24" customHeight="1" spans="1:18">
      <c r="A11" s="1">
        <v>9</v>
      </c>
      <c r="B11" s="2" t="s">
        <v>399</v>
      </c>
      <c r="D11" s="2"/>
      <c r="E11" s="2" t="s">
        <v>400</v>
      </c>
    </row>
    <row r="12" ht="24" customHeight="1" spans="1:18">
      <c r="A12" s="1">
        <v>10</v>
      </c>
      <c r="B12" s="2" t="s">
        <v>401</v>
      </c>
      <c r="D12" s="2"/>
      <c r="E12" s="2"/>
    </row>
    <row r="13" ht="24" customHeight="1" spans="1:18">
      <c r="A13" s="1">
        <v>11</v>
      </c>
      <c r="B13" s="2" t="s">
        <v>402</v>
      </c>
      <c r="D13" s="2"/>
      <c r="E13" s="2"/>
    </row>
    <row r="14" ht="24" customHeight="1" spans="1:18">
      <c r="A14" s="1">
        <v>12</v>
      </c>
      <c r="B14" s="2" t="s">
        <v>403</v>
      </c>
      <c r="D14" s="2"/>
      <c r="E14" s="2"/>
    </row>
    <row r="15" ht="24" customHeight="1" spans="1:18">
      <c r="A15" s="1">
        <v>13</v>
      </c>
      <c r="B15" s="2" t="s">
        <v>404</v>
      </c>
      <c r="D15" s="2"/>
      <c r="E15" s="2"/>
    </row>
    <row r="16" ht="24" customHeight="1" spans="1:18">
      <c r="A16" s="1">
        <v>14</v>
      </c>
      <c r="B16" s="4" t="s">
        <v>405</v>
      </c>
      <c r="D16" s="2"/>
      <c r="E16" s="2"/>
    </row>
    <row r="17" ht="24" customHeight="1" spans="1:5">
      <c r="A17" s="1">
        <v>15</v>
      </c>
      <c r="B17" s="5" t="s">
        <v>406</v>
      </c>
      <c r="D17" s="2"/>
      <c r="E17" s="2"/>
    </row>
    <row r="18" ht="24" customHeight="1" spans="1:5">
      <c r="A18" s="1">
        <v>16</v>
      </c>
      <c r="B18" s="5" t="s">
        <v>407</v>
      </c>
      <c r="D18" s="2"/>
      <c r="E18" s="2"/>
    </row>
    <row r="19" ht="33" customHeight="1"/>
    <row r="20" ht="33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204</vt:lpstr>
      <vt:lpstr>204CBR</vt:lpstr>
      <vt:lpstr>526</vt:lpstr>
      <vt:lpstr>526CBR</vt:lpstr>
      <vt:lpstr>CBR</vt:lpstr>
      <vt:lpstr>860</vt:lpstr>
      <vt:lpstr>860CBR</vt:lpstr>
      <vt:lpstr>533</vt:lpstr>
      <vt:lpstr>533CBR</vt:lpstr>
      <vt:lpstr>260</vt:lpstr>
      <vt:lpstr>260CBR</vt:lpstr>
      <vt:lpstr>AFTN N EMAIL</vt:lpstr>
      <vt:lpstr>ALT MOR</vt:lpstr>
      <vt:lpstr>258</vt:lpstr>
      <vt:lpstr>258CBR</vt:lpstr>
      <vt:lpstr>TANKERING</vt:lpstr>
      <vt:lpstr>CARGO</vt:lpstr>
      <vt:lpstr>NAMA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</cp:lastModifiedBy>
  <dcterms:created xsi:type="dcterms:W3CDTF">2026-09-14T12:48:00Z</dcterms:created>
  <dcterms:modified xsi:type="dcterms:W3CDTF">2026-09-17T18:18:13Z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AD7CECFB3BE34D04836B67E409D86516_12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