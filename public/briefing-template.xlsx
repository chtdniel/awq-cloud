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204" sheetId="1" r:id="rId5"/>
    <sheet state="hidden" name="204CBR" sheetId="2" r:id="rId6"/>
    <sheet state="hidden" name="526" sheetId="3" r:id="rId7"/>
    <sheet state="hidden" name="526CBR" sheetId="4" r:id="rId8"/>
    <sheet state="visible" name="CBR" sheetId="5" r:id="rId9"/>
    <sheet state="hidden" name="860" sheetId="6" r:id="rId10"/>
    <sheet state="hidden" name="860CBR" sheetId="7" r:id="rId11"/>
    <sheet state="hidden" name="533" sheetId="8" r:id="rId12"/>
    <sheet state="hidden" name="533CBR" sheetId="9" r:id="rId13"/>
    <sheet state="hidden" name="260" sheetId="10" r:id="rId14"/>
    <sheet state="hidden" name="260CBR" sheetId="11" r:id="rId15"/>
    <sheet state="hidden" name="AFTN N EMAIL" sheetId="12" r:id="rId16"/>
    <sheet state="hidden" name="ALT MOR" sheetId="13" r:id="rId17"/>
    <sheet state="hidden" name="258" sheetId="14" r:id="rId18"/>
    <sheet state="hidden" name="258CBR" sheetId="15" r:id="rId19"/>
    <sheet state="visible" name="WX" sheetId="16" r:id="rId20"/>
    <sheet state="visible" name="NOTAM" sheetId="17" r:id="rId21"/>
    <sheet state="hidden" name="TANKERING" sheetId="18" r:id="rId22"/>
    <sheet state="hidden" name="CARGO" sheetId="19" r:id="rId23"/>
    <sheet state="hidden" name="NAMA" sheetId="20" r:id="rId24"/>
  </sheets>
  <definedNames>
    <definedName localSheetId="6" name="MileageRate">'860CBR'!$P$4</definedName>
    <definedName name="MileageRate">#REF!</definedName>
    <definedName localSheetId="4" name="MileageRate">#REF!</definedName>
    <definedName localSheetId="15" name="Base">#REF!</definedName>
    <definedName name="OKE">#REF!</definedName>
    <definedName name="Base">#REF!</definedName>
    <definedName localSheetId="8" name="MileageRate">'533CBR'!$P$4</definedName>
    <definedName localSheetId="15" name="MileageRate">#REF!</definedName>
    <definedName localSheetId="6" name="Base">#REF!</definedName>
  </definedNames>
  <calcPr/>
</workbook>
</file>

<file path=xl/sharedStrings.xml><?xml version="1.0" encoding="utf-8"?>
<sst xmlns="http://schemas.openxmlformats.org/spreadsheetml/2006/main" count="1980" uniqueCount="469">
  <si>
    <t>COMPUTED TIME</t>
  </si>
  <si>
    <t>PK-AZI</t>
  </si>
  <si>
    <t>CREW BRIEFING REPORT</t>
  </si>
  <si>
    <t xml:space="preserve"> </t>
  </si>
  <si>
    <t>`</t>
  </si>
  <si>
    <t>FLIGHT NO.</t>
  </si>
  <si>
    <t>204/205</t>
  </si>
  <si>
    <t>POD 1</t>
  </si>
  <si>
    <t>WIII</t>
  </si>
  <si>
    <t>AWQ 204</t>
  </si>
  <si>
    <t>POA 1</t>
  </si>
  <si>
    <t>WMKK</t>
  </si>
  <si>
    <t xml:space="preserve">ALTN </t>
  </si>
  <si>
    <t>CGK</t>
  </si>
  <si>
    <t>KUL</t>
  </si>
  <si>
    <t>PKAZL</t>
  </si>
  <si>
    <t>AWQ 205</t>
  </si>
  <si>
    <t>OFP REF NO.</t>
  </si>
  <si>
    <t>AWQ 274</t>
  </si>
  <si>
    <t>FUEL CHIT</t>
  </si>
  <si>
    <t xml:space="preserve">DATE </t>
  </si>
  <si>
    <t>SIN</t>
  </si>
  <si>
    <t>POD 2</t>
  </si>
  <si>
    <t>POA 2</t>
  </si>
  <si>
    <t>AWQ 275</t>
  </si>
  <si>
    <t>A/C REG</t>
  </si>
  <si>
    <t>AWQ 526</t>
  </si>
  <si>
    <t>BKI</t>
  </si>
  <si>
    <t>WAG</t>
  </si>
  <si>
    <t>CGO</t>
  </si>
  <si>
    <t>NAVTC</t>
  </si>
  <si>
    <t>CREAT</t>
  </si>
  <si>
    <t>TAXI</t>
  </si>
  <si>
    <t>ALTN</t>
  </si>
  <si>
    <t>TANKER</t>
  </si>
  <si>
    <t>SAVING</t>
  </si>
  <si>
    <t>POD 3</t>
  </si>
  <si>
    <t>POA 3</t>
  </si>
  <si>
    <t>WSSS</t>
  </si>
  <si>
    <t>WMSA</t>
  </si>
  <si>
    <t>AWQ 527</t>
  </si>
  <si>
    <t>WILL</t>
  </si>
  <si>
    <t>FLIGHT NO</t>
  </si>
  <si>
    <t>BAY</t>
  </si>
  <si>
    <t>PIC NAME</t>
  </si>
  <si>
    <t>CAPT.  SUHANDI</t>
  </si>
  <si>
    <t>OFP1</t>
  </si>
  <si>
    <t>POD 4</t>
  </si>
  <si>
    <t>OFP2</t>
  </si>
  <si>
    <t>iaa_cgk_ops@airasia.com</t>
  </si>
  <si>
    <t>POA 4</t>
  </si>
  <si>
    <t>OFP3</t>
  </si>
  <si>
    <t>OFP4</t>
  </si>
  <si>
    <t>AWQ 814</t>
  </si>
  <si>
    <t>MEL</t>
  </si>
  <si>
    <t>NIL</t>
  </si>
  <si>
    <t>PNK</t>
  </si>
  <si>
    <t>ACFT REG</t>
  </si>
  <si>
    <t>Terminal Aerodrome Forecasts</t>
  </si>
  <si>
    <t>ETD</t>
  </si>
  <si>
    <t>TAF WIII 192300Z 2000/2106 20005KT 8000 FEW020 
  BECMG 2002/2004 36010KT 
  BECMG 2013/2015 20005KT</t>
  </si>
  <si>
    <t>TAF WMKK 192300Z 2000/2106 VRB03KT 9999 FEW018 
  TEMPO 2015/2019 4000 TSRA FEW008 FEW017CB</t>
  </si>
  <si>
    <t>TAF WMSA 192300Z 2000/2100 VRB03KT 9999 FEW018 
  PROB30 
  TEMPO 2015/2019 4000 TSRA FEW017CB</t>
  </si>
  <si>
    <t>AWQ 815</t>
  </si>
  <si>
    <t>WMKJ</t>
  </si>
  <si>
    <t>ORIGIN</t>
  </si>
  <si>
    <t>TAF WMKJ 192300Z 2000/2100 20006KT 9000 FEW018 
  TEMPO 2000/2004 5000 TSRA FEW017CB SCT018</t>
  </si>
  <si>
    <t>TRIP</t>
  </si>
  <si>
    <t>TAF WILL 192300Z 2000/2024 20003KT 9999 FEW020=</t>
  </si>
  <si>
    <t>WIPP</t>
  </si>
  <si>
    <t>TAF WIPP 192300Z 2000/2024 17008KT 9999 SCT015 
  TEMPO 2021/2024 5000 HZ</t>
  </si>
  <si>
    <t>DATE</t>
  </si>
  <si>
    <t>NO.PAX</t>
  </si>
  <si>
    <t xml:space="preserve">STATION </t>
  </si>
  <si>
    <t>TIME</t>
  </si>
  <si>
    <t xml:space="preserve"> Forecasts</t>
  </si>
  <si>
    <t>IDENTIFIER</t>
  </si>
  <si>
    <t>2000/2106 20005KT 8000 FEW020</t>
  </si>
  <si>
    <t>nvtec</t>
  </si>
  <si>
    <t>EZFW</t>
  </si>
  <si>
    <t>ATLN</t>
  </si>
  <si>
    <t>REGULATED LDG WT</t>
  </si>
  <si>
    <t>526/527</t>
  </si>
  <si>
    <t>2000/2106 VRB03KT 9999 FEW018</t>
  </si>
  <si>
    <t>WBKK</t>
  </si>
  <si>
    <t>WBGG</t>
  </si>
  <si>
    <t>ADD BURN OFF</t>
  </si>
  <si>
    <t>REGULATED TKOF WT</t>
  </si>
  <si>
    <t>A</t>
  </si>
  <si>
    <t>WIOO</t>
  </si>
  <si>
    <t>FORECAST WIND</t>
  </si>
  <si>
    <t>FLAP</t>
  </si>
  <si>
    <t>TEMP</t>
  </si>
  <si>
    <t>RWY</t>
  </si>
  <si>
    <t>QNH</t>
  </si>
  <si>
    <t>TAF WIII 202300Z 2100/2206 VRB02KT 8000 FEW020 
  BECMG 2102/2104 36010KT 
  BECMG 2114/2116 22005KT 5000 HZ</t>
  </si>
  <si>
    <t>TAF WBKK 202300Z 2100/2200 25006KT 9999 FEW014 
  TEMPO 2105/2110 5000 TSRA FEW013 FEW016CB SCT035 
  BECMG 2110/2112 11006KT</t>
  </si>
  <si>
    <t>TAF WBGG 202300Z 2100/2200 VRB03KT 9999 FEW020</t>
  </si>
  <si>
    <t xml:space="preserve"> Rec. No. :</t>
  </si>
  <si>
    <t>B</t>
  </si>
  <si>
    <t>TAF WIPP 202300Z 2100/2124 09008KT 9999 SCT015 
  TEMPO 2121/2124 5000 HZ</t>
  </si>
  <si>
    <t>TAF WILL 202300Z 2100/2124 12007KT 9999 FEW015 BECMG 2114/2116 00000KT=</t>
  </si>
  <si>
    <t>Crew Briefing Report Form</t>
  </si>
  <si>
    <t xml:space="preserve"> Date :</t>
  </si>
  <si>
    <t xml:space="preserve"> Page :              1 of 1</t>
  </si>
  <si>
    <t>PIC NAME :</t>
  </si>
  <si>
    <t>CAPT. HUSIN ABDILLAH ALAYDRUS</t>
  </si>
  <si>
    <t xml:space="preserve"> FLIGHT NO.</t>
  </si>
  <si>
    <t>2100/2206 VRB02KT 8000 FEW020</t>
  </si>
  <si>
    <t>LOWER RTOW A OR B</t>
  </si>
  <si>
    <t xml:space="preserve"> DATE </t>
  </si>
  <si>
    <t>TEMPO 2105/2110 5000 TSRA FEW013 FEW016CB SCT035</t>
  </si>
  <si>
    <t xml:space="preserve"> A/C REG</t>
  </si>
  <si>
    <t>ESTIMATED ZFW</t>
  </si>
  <si>
    <t>POD 5</t>
  </si>
  <si>
    <t>POA 5</t>
  </si>
  <si>
    <t>MAX FUEL AVAILABLE</t>
  </si>
  <si>
    <t>POD 6</t>
  </si>
  <si>
    <t>POA 6</t>
  </si>
  <si>
    <t>SIGNIFICANT NOTAM's</t>
  </si>
  <si>
    <t>MIN SECTOR FUEL</t>
  </si>
  <si>
    <t>EXCESS FUEL AVAILABLE</t>
  </si>
  <si>
    <t>WBSB</t>
  </si>
  <si>
    <t>LOADSHEET</t>
  </si>
  <si>
    <t>PLUS TAXI FUEL</t>
  </si>
  <si>
    <t>DXR  ON DUTY</t>
  </si>
  <si>
    <t>PIC</t>
  </si>
  <si>
    <t>NAME / SIGN</t>
  </si>
  <si>
    <t>FUEL IN TANKS (KG)</t>
  </si>
  <si>
    <t>DANDUNG TRIE H / 2677</t>
  </si>
  <si>
    <t>--------------------</t>
  </si>
  <si>
    <t>-----------------------</t>
  </si>
  <si>
    <t>SIGNATURE :</t>
  </si>
  <si>
    <t>( CAPTAIN )</t>
  </si>
  <si>
    <t>REMARK / ADDITIONAL NOTE : HEREBY CONFIRM THAT WE HAVE PERFORM FACE TO FACE BRIEFING</t>
  </si>
  <si>
    <t>EST CGO :</t>
  </si>
  <si>
    <t>KGS</t>
  </si>
  <si>
    <t>-----------------------------------</t>
  </si>
  <si>
    <t>IAA/OCC/F/001 Rev.03</t>
  </si>
  <si>
    <t>PKAZJ</t>
  </si>
  <si>
    <t>AWQ 860</t>
  </si>
  <si>
    <t>LBJ</t>
  </si>
  <si>
    <t>AWQ 861</t>
  </si>
  <si>
    <t>AWQ 7532</t>
  </si>
  <si>
    <t>DPS</t>
  </si>
  <si>
    <t>AWQ 7531</t>
  </si>
  <si>
    <t>PAX</t>
  </si>
  <si>
    <t>NAVT</t>
  </si>
  <si>
    <t>WADL</t>
  </si>
  <si>
    <t>CAPT. AFNER SYAFRIL</t>
  </si>
  <si>
    <t>860/861</t>
  </si>
  <si>
    <t>WATO</t>
  </si>
  <si>
    <t>WADD</t>
  </si>
  <si>
    <t>TAF WATO 202300Z 2100/2112 03014KT 9999 FEW020 BECMG 2109/2111 21004KT=</t>
  </si>
  <si>
    <t>PK-AZD</t>
  </si>
  <si>
    <t>AWQ 533</t>
  </si>
  <si>
    <t>PER</t>
  </si>
  <si>
    <t>2100/2112 03014KT 9999 FEW020</t>
  </si>
  <si>
    <t>AWQ 7533</t>
  </si>
  <si>
    <t>AWQ 802</t>
  </si>
  <si>
    <t>PKU</t>
  </si>
  <si>
    <t>No active NOTAMs for this location.</t>
  </si>
  <si>
    <t>AWQ 803</t>
  </si>
  <si>
    <t>CAPT. DAVID WIBAWA SAPULETE</t>
  </si>
  <si>
    <t>YPPH</t>
  </si>
  <si>
    <t>PKAZK</t>
  </si>
  <si>
    <t>WIBB</t>
  </si>
  <si>
    <t>AWQ 260</t>
  </si>
  <si>
    <t>AWQ 261</t>
  </si>
  <si>
    <t>WARR</t>
  </si>
  <si>
    <t>AWQ 240</t>
  </si>
  <si>
    <t>JHB</t>
  </si>
  <si>
    <t>2006/2112 18010KT 9999 FU VV040</t>
  </si>
  <si>
    <t>AWQ 241</t>
  </si>
  <si>
    <t>BECMG 2013/2015 21005K T</t>
  </si>
  <si>
    <t>DANDUNGTRIE H/2677</t>
  </si>
  <si>
    <t>navt</t>
  </si>
  <si>
    <t>creat</t>
  </si>
  <si>
    <t>260/261</t>
  </si>
  <si>
    <t>CAPT. AUDI PRADHIPTO BRASALI</t>
  </si>
  <si>
    <t>2106/2212 35010KT 7000 SCT020</t>
  </si>
  <si>
    <t>2106/2212 17008KT 9999 FEW015 SCT020</t>
  </si>
  <si>
    <t>BECMG 2113/2115 21005K T</t>
  </si>
  <si>
    <t>AFTN :</t>
  </si>
  <si>
    <t>nmc_ofp@airasia.com,atc.messages@flightfocus.net</t>
  </si>
  <si>
    <t>EMAIL :</t>
  </si>
  <si>
    <t>WMFPYFYX,iaa_cgk_ops@airasia.com</t>
  </si>
  <si>
    <t>FAIR WEATHER ALTERNATE</t>
  </si>
  <si>
    <t>NO</t>
  </si>
  <si>
    <t>DEP</t>
  </si>
  <si>
    <t>ARR</t>
  </si>
  <si>
    <t>ALT</t>
  </si>
  <si>
    <t>*If unable to close-in alternate, please state the reason.</t>
  </si>
  <si>
    <t>opsper@skystar.com.au, loco_per@skystar.com.au, iaa_per_ops@airasia.com, stevemcqueen@airasia.com,iaa_dps_ops@airasia.com</t>
  </si>
  <si>
    <t>yuloktavinojulidar@airasia.com,mochamadruslani@airasia.com,nandangprianto@airasia.com,yudhonobudilaksono@airasia.com,ignatiussuryadi@airasia.com,rendisantana@airasia.com,allobudiyanto@airasia.com</t>
  </si>
  <si>
    <t>QZ</t>
  </si>
  <si>
    <t>LOP</t>
  </si>
  <si>
    <t>HLP</t>
  </si>
  <si>
    <t>JOG</t>
  </si>
  <si>
    <t>SUB</t>
  </si>
  <si>
    <t>ATC FLIGHT PLAN DMK-CGK</t>
  </si>
  <si>
    <t>(FPL-AWQ253-IS</t>
  </si>
  <si>
    <t>AFTN CGK</t>
  </si>
  <si>
    <t>WIIIYOYW</t>
  </si>
  <si>
    <t>SZB</t>
  </si>
  <si>
    <t>-A320/M-SDFGHIWRY/LB1</t>
  </si>
  <si>
    <t>-VTBD1355</t>
  </si>
  <si>
    <t>KNO</t>
  </si>
  <si>
    <t>PEN</t>
  </si>
  <si>
    <t>PASSWORD AIM ATC FLIGHT PLAN :</t>
  </si>
  <si>
    <t>PLM</t>
  </si>
  <si>
    <r>
      <rPr>
        <rFont val="Calibri"/>
        <color rgb="FF000000"/>
        <sz val="11.0"/>
      </rPr>
      <t xml:space="preserve">-N0457F350 GRANT3A </t>
    </r>
    <r>
      <rPr>
        <rFont val="Calibri"/>
        <color rgb="FFFF0000"/>
        <sz val="11.0"/>
      </rPr>
      <t>N891</t>
    </r>
    <r>
      <rPr>
        <rFont val="Calibri"/>
        <color rgb="FF000000"/>
        <sz val="11.0"/>
      </rPr>
      <t xml:space="preserve"> RYN M644 VKB M751 VPK B469 VMR B338</t>
    </r>
  </si>
  <si>
    <t>IAAOCC</t>
  </si>
  <si>
    <t>VTK/M077F350 B338 ANITO/N0455F350 B470 BUNIK BUNIK1A</t>
  </si>
  <si>
    <t>123AWQ</t>
  </si>
  <si>
    <t>-WIII0316 WSSS</t>
  </si>
  <si>
    <t>1014</t>
  </si>
  <si>
    <t>-PBN/A1B1C1D1O1 DOF/140918 REG/PKAXV</t>
  </si>
  <si>
    <t>EET/WMFC0111 WSJC0154 WIIF0207</t>
  </si>
  <si>
    <t xml:space="preserve">ETP AUS : </t>
  </si>
  <si>
    <t xml:space="preserve">IN </t>
  </si>
  <si>
    <t>YPPH YPLM</t>
  </si>
  <si>
    <t>dcapenang@dca.gov.my</t>
  </si>
  <si>
    <t>www.meteosoekarnohatta.com</t>
  </si>
  <si>
    <t>KCH</t>
  </si>
  <si>
    <t>SRG</t>
  </si>
  <si>
    <t>SEL/CRBJ PER/C RMK/TCAS EQUIPPED</t>
  </si>
  <si>
    <t>OUT</t>
  </si>
  <si>
    <t>YPLM WADD</t>
  </si>
  <si>
    <t>User Name : iaa_cgk</t>
  </si>
  <si>
    <t>E/0528 P/TBN R/VE A/RED AND WHITE C/TBN)</t>
  </si>
  <si>
    <t>Password  : airasia123</t>
  </si>
  <si>
    <t>LINK AIMS :</t>
  </si>
  <si>
    <t>ARRO</t>
  </si>
  <si>
    <t>ROUTE BDO-DPS</t>
  </si>
  <si>
    <t>http://aamy-xensf01/Citrix/AIMSWeb/</t>
  </si>
  <si>
    <t>BO N NOTAM</t>
  </si>
  <si>
    <t>ATFM</t>
  </si>
  <si>
    <t>WICC RWY-29 CA1 CA W45 SBR W33 RABOL RABOL3F RWY-27 WADD</t>
  </si>
  <si>
    <t>AIM JAKARTA AIS</t>
  </si>
  <si>
    <t>http://www.aim-jakarta.co.id/</t>
  </si>
  <si>
    <t>AOC APPROVAL FOR FERRY</t>
  </si>
  <si>
    <t>DARWIN VAAC :</t>
  </si>
  <si>
    <t xml:space="preserve">crewing   021 28040778    </t>
  </si>
  <si>
    <t>http://www.bom.gov.au/info/vaac/advisories.shtml</t>
  </si>
  <si>
    <t>DMK</t>
  </si>
  <si>
    <t>BKK</t>
  </si>
  <si>
    <t xml:space="preserve">                  021 29850924                      eng     0361  8877135  /  081936255599</t>
  </si>
  <si>
    <t>https://efpl.airnavindonesia.co.id/?link=login</t>
  </si>
  <si>
    <t xml:space="preserve">occ cgk     021 29850923                      it admin   02128040786               </t>
  </si>
  <si>
    <t>SLOTTER</t>
  </si>
  <si>
    <t>BO DPS     0877 6028 0178                  erry      08119990199</t>
  </si>
  <si>
    <t>http://chronos.atfm.co.id/</t>
  </si>
  <si>
    <t>LOGIN : awq_cgk</t>
  </si>
  <si>
    <t xml:space="preserve">                  75103                                    BANDUNG OCC  0226046190</t>
  </si>
  <si>
    <t>PASS : 123</t>
  </si>
  <si>
    <t>occ dps    0361  9360277                      sub occ  031 8688535</t>
  </si>
  <si>
    <t xml:space="preserve">                  0361  8491809</t>
  </si>
  <si>
    <t xml:space="preserve">    BO DPS 0361-9361357</t>
  </si>
  <si>
    <t>ADDS WX</t>
  </si>
  <si>
    <t>https://www.aviationweather.gov/adds/tafs?station_ids=wiii+wihh+wipp+wimm+warr+wadd+wadl+waaa+wsss+wmkk+wmkp+wmkj+wmsa+vtbs+vtbd+vtbu+vtcc&amp;std_trans=standard&amp;submit_both=Get+TAFs+and+METARs</t>
  </si>
  <si>
    <t>WADDYOYE,  BAGUSHERMAWAN@AIRASIA.COM, IAA_DPS_OPS@AIRASIA.COM</t>
  </si>
  <si>
    <t>NMC_OFP@AIRASIA.COM,  ATC.MESSAGES@FLIGHTFOCUS.NET, ferdiansyah@airasia.com</t>
  </si>
  <si>
    <t>saa_groundops@airasia.com, saa_gscontroller@airasia.com,  ferdiansyah@airasia.com</t>
  </si>
  <si>
    <r>
      <rPr>
        <rFont val="Calibri"/>
        <color rgb="FF000000"/>
        <sz val="11.0"/>
      </rPr>
      <t>maa_kul_gscontroller@airasia.com</t>
    </r>
    <r>
      <rPr>
        <rFont val="Calibri"/>
        <color rgb="FF3F52B8"/>
        <sz val="11.0"/>
      </rPr>
      <t xml:space="preserve">, </t>
    </r>
    <r>
      <rPr>
        <rFont val="Calibri"/>
        <color rgb="FF000000"/>
        <sz val="11.0"/>
      </rPr>
      <t>maa_kul_groundops@airasia.com</t>
    </r>
    <r>
      <rPr>
        <rFont val="Calibri"/>
        <color rgb="FF3F52B8"/>
        <sz val="11.0"/>
      </rPr>
      <t xml:space="preserve">,  </t>
    </r>
    <r>
      <rPr>
        <rFont val="Calibri"/>
        <color rgb="FF000000"/>
        <sz val="11.0"/>
      </rPr>
      <t xml:space="preserve">iaa_dps_ops@airasia.com </t>
    </r>
  </si>
  <si>
    <r>
      <rPr>
        <rFont val="Calibri"/>
        <color rgb="FF000000"/>
        <sz val="11.0"/>
      </rPr>
      <t>maa_bki_gscontroller@airasia.com</t>
    </r>
    <r>
      <rPr>
        <rFont val="Calibri"/>
        <color rgb="FF3F52B8"/>
        <sz val="11.0"/>
      </rPr>
      <t>, maa_bki_</t>
    </r>
    <r>
      <rPr>
        <rFont val="Calibri"/>
        <color rgb="FF000000"/>
        <sz val="11.0"/>
      </rPr>
      <t>groundops@airasia.com</t>
    </r>
    <r>
      <rPr>
        <rFont val="Calibri"/>
        <color rgb="FF3F52B8"/>
        <sz val="11.0"/>
      </rPr>
      <t xml:space="preserve">,  </t>
    </r>
    <r>
      <rPr>
        <rFont val="Calibri"/>
        <color rgb="FF000000"/>
        <sz val="11.0"/>
      </rPr>
      <t>iaa_dps_ops@airasia.com , ferdiansyah@airasia.com</t>
    </r>
  </si>
  <si>
    <r>
      <rPr>
        <rFont val="Calibri"/>
        <color rgb="FF000000"/>
        <sz val="11.0"/>
      </rPr>
      <t>opsper@skystar.com.au , loco_per@skystar.com.au, iaa_per_ops@airasia.com, stevemcqueen@airasia.com</t>
    </r>
    <r>
      <rPr>
        <rFont val="Calibri"/>
        <color rgb="FF3F52B8"/>
        <sz val="11.0"/>
      </rPr>
      <t xml:space="preserve">, </t>
    </r>
    <r>
      <rPr>
        <rFont val="Calibri"/>
        <color rgb="FF000000"/>
        <sz val="11.0"/>
      </rPr>
      <t xml:space="preserve"> iaa_dps_ops@airasia.com, ferdiansyah@airasia.com</t>
    </r>
  </si>
  <si>
    <t>YBBBZRZX, drw.ops@menziesaviation.com, iaa_drw_ops@airasia.com, stevemcqueen@airasia.com, iaa_dps_ops@airasia.com, ferdiansyah@airasia.com</t>
  </si>
  <si>
    <t>http://www.radarbox24.com/</t>
  </si>
  <si>
    <t xml:space="preserve"> aax_ops_per@airasia.com,</t>
  </si>
  <si>
    <t xml:space="preserve">atc.messages@flightfocus.net, </t>
  </si>
  <si>
    <t>iaa_dps_ramp@airasia.com.</t>
  </si>
  <si>
    <t>https://149.122.26.44/GDOPS/Index.aspx</t>
  </si>
  <si>
    <t>http://flightaware.com/live/flight/AWQ8410</t>
  </si>
  <si>
    <t>https://crewnet.airasia.com/</t>
  </si>
  <si>
    <t>http://172.30.4.58:1880/IframeContainer.aspx</t>
  </si>
  <si>
    <t>https://www.eta.immi.gov.au/app.html</t>
  </si>
  <si>
    <t>https://www.pilotweb.nas.faa.gov/PilotWeb/</t>
  </si>
  <si>
    <t>http://www.convertpdftoword.net/</t>
  </si>
  <si>
    <t>http://redwatch.merlot.aero/aircraft</t>
  </si>
  <si>
    <t>http://redwatch.merlot.aero/crew</t>
  </si>
  <si>
    <t>https://airasia.merlot.aero/</t>
  </si>
  <si>
    <t>http://www.perthairport.com.au/index.aspx</t>
  </si>
  <si>
    <t>http://www.wunderground.com/q/zmw:00000.1.94610</t>
  </si>
  <si>
    <t>http://www.aerostratos.com/eaip/country.php</t>
  </si>
  <si>
    <t>http://www.perthairport.com.au/FlightInformation/FlightSearch.aspx?Terminal=I&amp;FlightType=A</t>
  </si>
  <si>
    <t>http://translate.google.co.id/</t>
  </si>
  <si>
    <t>http://flightfocus.net/index.php?option=com_content&amp;view=article&amp;id=11&amp;Itemid=4&amp;lang=en</t>
  </si>
  <si>
    <t>http://www.bom.gov.au/aviation/warnings/volcanic-ash/</t>
  </si>
  <si>
    <t>http://www.faa.gov/air_traffic/publications/atpubs/aim/aim0501.html--&gt; icao codes</t>
  </si>
  <si>
    <t>http://aim-jakarta.co.id/aim/index.php?link=logout</t>
  </si>
  <si>
    <t>NMC_OFP@AIRASIA.COM,  ATC.MESSAGES@FLIGHTFOCUS.NET, ferdiansyah@airasia.com IAA_BDO_OPS@AIRASIA.COM</t>
  </si>
  <si>
    <t>LINK VR N GD :</t>
  </si>
  <si>
    <t>https://merlotreport.airasia.com/Reports/Pages/Report.aspx?ItemPath=%2fMerlot%2fFlight+Follow%2fGeneral+Declaration+Report</t>
  </si>
  <si>
    <t>http://172.20.2.127/Reports/Pages/Report.aspx?ItemPath=%2fMerlot%2fCrew%2fVoyage+Report</t>
  </si>
  <si>
    <t>http://172.20.2.127/Reports/Pages/Folder.aspx?ItemPath=%2fMerlot&amp;ViewMode=List</t>
  </si>
  <si>
    <t>Login: ssrsuser</t>
  </si>
  <si>
    <t>Password: Mrpt9911</t>
  </si>
  <si>
    <t>RTOW BDO</t>
  </si>
  <si>
    <t>BASED ON ZERO WIND, TEMP 30C CONFIG 3 RWY 29</t>
  </si>
  <si>
    <t>216S</t>
  </si>
  <si>
    <t>AZD,AZE,AZF,AZG, AZN, AZO</t>
  </si>
  <si>
    <t>AZA,AZH,AZI,AZJ</t>
  </si>
  <si>
    <t>OTHERS</t>
  </si>
  <si>
    <t>AWQ 258</t>
  </si>
  <si>
    <t>AWQ 259</t>
  </si>
  <si>
    <t>AWQ 202</t>
  </si>
  <si>
    <t>AWQ 203</t>
  </si>
  <si>
    <t>VTBU</t>
  </si>
  <si>
    <t>WX DOM</t>
  </si>
  <si>
    <t>258/259</t>
  </si>
  <si>
    <t>WX INTL</t>
  </si>
  <si>
    <t>VTBD</t>
  </si>
  <si>
    <t>TAF WIII 060500Z 0606/0712 03010KT 9000 FEW020 
  TEMPO 0606/0609 5000 SHRA FEW018CB BKN020 
  BECMG 0611/0613 19003KT 
  BECMG 0619/0621 5000 HZ 
  BECMG 0700/0702 02010KT 8000 NSW</t>
  </si>
  <si>
    <t>TAF WSSS 060500Z 0606/0712 21007KT 9999 FEW015 SCT020</t>
  </si>
  <si>
    <t>WIHH</t>
  </si>
  <si>
    <t>TAF WMKK 060500Z 0606/0712 VRB02KT 9999 FEW025 
  TEMPO 0607/0611 4000 TSRA FEW017CB 
  PROB30 
  TEMPO 0707/0711 4000 TSRA FEW017CB</t>
  </si>
  <si>
    <t>NOTAM DOM</t>
  </si>
  <si>
    <t>TAF WIPP 060500Z 0606/0706 16008KT 9999 SCT015 
  TEMPO 0607/0610 4000 TSRA FEW010CB BKN012 
  TEMPO 0621/0624 5000 HZ</t>
  </si>
  <si>
    <t>WMKP</t>
  </si>
  <si>
    <t>TAF WMKP 060500Z 0606/0706 23006KT 9000 FEW020 
  TEMPO 0606/0612 5000 RA FEW010 FEW017CB 
  BECMG 0612/0614 VRB03KT 8000 FEW025</t>
  </si>
  <si>
    <t>WIMM</t>
  </si>
  <si>
    <t>TAF WIMM 060500Z 0606/0706 30008KT 9000 SCT017 
  BECMG 0613/0615 VRB03KT 5000 BR</t>
  </si>
  <si>
    <t>TAF WMKJ 060500Z 0606/0706 VRB02KT 9999 FEW025 
  PROB30 
  TEMPO 0607/0611 4000 TSRA FEW017CB</t>
  </si>
  <si>
    <t>NOTAM INTL</t>
  </si>
  <si>
    <t>TAF WARR 060500Z 0606/0706 09010KT 9999 FEW020 
  TEMPO 0621/0701 25004KT 5000 HZ</t>
  </si>
  <si>
    <t>TAF WMSA 060500Z 0606/0706 VRB02KT 9999 FEW025 
  TEMPO 0607/0611 4000 TSRA FEW017CB</t>
  </si>
  <si>
    <t>TAF WADD 052300Z 0600/0700 11012KT 9999 SCT017 
  TEMPO 0614/0618 4000 RA BKN014</t>
  </si>
  <si>
    <t>TAF VTBD 060500Z 0606/0712 03008KT 9999 FEW020 
  PROB40 
  TEMPO 0608/0612 VRB15KT -TSRA FEW018CB SCT030 BKN100 
  BECMG 0613/0615 10005KT 
  BECMG 0700/0702 03008KT</t>
  </si>
  <si>
    <t>TAF WADL 060500Z 0606/0706 13012KT 8000 SCT016</t>
  </si>
  <si>
    <t>TAF VTBU 060500Z 0606/0706 14008KT 8000 FEW020 
  TEMPO 0609/0615 VRB15KT 3000 TSRA FEW018CB SCT035 BKN100 
  BECMG 0615/0616 35004KT</t>
  </si>
  <si>
    <t>A2668/24 - RWY 06/24 CLSD DUE TO RUBBER DEPOSITE REMOVAL. DAILY 1600-2200, 04 OCT 16:00 2024 UNTIL 11 OCT 22:00 2024. CREATED: 02 SEP 12:03 2024
A2667/24 - RWY 07L/25R CLSD DUE TO RUBBER DEPOSITE REMOVAL. SEP 05 1600-2200 06-07 1500-2200 08 1600-2200 09-10 1500-2200 OCT 04-05 1500-2200 06 1600-2200 07-09 1500-2200 10 1600-2200 11 1500-2200, 05 SEP 16:00 2024 UNTIL 11 OCT 22:00 2024. CREATED: 02 SEP 11:58 2024
A2175/24 - INSET THR LGT ON RWY 07R/25L U/S DUE TO WIP
RMK: ELEVATED THR LGT AVBL. 01 AUG 00:00 2024 UNTIL 31 OCT 23:59 2024. CREATED: 18 JUL 13:14 2024
A2172/24 - RWY CENTRE LINE LGT ON RWY 07R/25L U/S DUE TO WIP. 01 AUG 00:00 2024 UNTIL 31 OCT 23:59 2024. CREATED: 18 JUL 12:50 2024</t>
  </si>
  <si>
    <t>WICC</t>
  </si>
  <si>
    <t>VTBS</t>
  </si>
  <si>
    <t>TAF VTBS 060500Z 0606/0712 06008KT 9999 FEW020 
  PROB40 
  TEMPO 0608/0612 VRB15KT -TSRA FEW018CB SCT030 BKN100</t>
  </si>
  <si>
    <t>A3414/24 - TWY S2 CLSD. 30 SEP 16:00 2024 UNTIL 30 NOV 15:59 2024. CREATED: 30 SEP 09:29
2024
A3396/24 - TWY CENTRE LINE LIGHTS AT CHANGI AIRPORT WILL BE TURNED ON
PROGRESSIVELY DUE TESTING IN PROGRESS. PILOTS ARE TO STRICTLY
ADHERE TO VERBAL ATC TAXI INSTRUCTIONS AND STOP BEHIND RED STOPBAR
LIGHTS AT ALL TIMES. SEP 30 0400-0900, OCT 01-31 0400-0900, NOV 01-24 0400-0900,
30 SEP 04:00 2024 UNTIL 24 NOV 09:00 2024. CREATED: 29 SEP 12:04 2024
A3396/24 - TWY CENTRE LINE LIGHTS AT CHANGI AIRPORT WILL BE TURNED ON
PROGRESSIVELY DUE TESTING IN PROGRESS. PILOTS ARE TO STRICTLY
ADHERE TO VERBAL ATC TAXI INSTRUCTIONS AND STOP BEHIND RED STOPBAR
LIGHTS AT ALL TIMES. SEP 30 0400-0900, OCT 01-31 0400-0900, NOV 01-24 0400-0900,
30 SEP 04:00 2024 UNTIL 24 NOV 09:00 2024. CREATED: 29 SEP 12:04 2024
A3084/24 - TWY G AND TWY H BTN TWY G3 AND TWY B CLSD. 05 SEP 09:10 2024 UNTIL 08 OCT 15:59 2024. CREATED: 05 SEP 11:05 2024</t>
  </si>
  <si>
    <t>WAHI</t>
  </si>
  <si>
    <t>VTCC</t>
  </si>
  <si>
    <t>WAHS</t>
  </si>
  <si>
    <t>NOT USE</t>
  </si>
  <si>
    <t>A3997/24 - SEQUENCED FLG LGT RWY32L U/S. 03 OCT 08:15 2024 UNTIL 28 NOV 23:59 2024. CREATED: 03 OCT 08:14 2024
A3955/24 - STOPBAR AND LEAD IN LGT FM P1 TIL P4 AND FM Q5 TIL Q7 U/S. 01 OCT 18:18 2024 UNTIL 30 OCT 23:59 2024. CREATED: 01 OCT 18:21 2024
A3954/24 - STOPBAR AND LEAD IN LGT FM Y1 TIL Y9 U/S. 01 OCT 18:12 2024 UNTIL 30 OCT 23:59 2024. CREATED: 01 OCT 18:15 2024
A3850/24 - SEQUENCED FLG LGT RWY32R U/S. 24 SEP 14:00 2024 UNTIL 24 OCT 22:00 2024. CREATED: 24 SEP 13:56 2024
A3602/24 - AUTOMATED WEATHER OBSERVING SYSTEM (AWOS) RWY 14L/32R U/S. 05 SEP 07:05 2024 UNTIL 27 NOV 23:59 2024. CREATED: 05 SEP 07:08 2024
A2389/24 - PILOT SHALL MAINTAIN SPEED 160KIAS AT 10NM UNTIL 5NM TO TOUCHDOWN. 01 JUL 03:48 2024 UNTIL PERM. CREATED: 01 JUL 04:07 2024</t>
  </si>
  <si>
    <t>TAF WBKK 060500Z 0606/0706 23006KT 9999 FEW014 
  TEMPO 0606/0610 12006KT 5000 TSRA FEW010 FEW016CB SCT030</t>
  </si>
  <si>
    <t>B2027/24 - RWY WIP DUE TO MAINT PSN 1245M BEYOND THR RWY 11, 26.5M NORTH EAST FM CENTERLINE AND PSN 1245M FM BEGINNING THR RWY 11, 67.5M SOUTHWEST FM CENTERLINE
RMK : ALL TFC CTN. 02 OCT 06:26 2024 UNTIL 16 OCT 22:00 2024. CREATED: 02 OCT 06:26 2024
B1894/24 - RWY 11/29 CLSD DUE TO RWY INSPECTION. DAILY 0550-0615, 16 SEP 05:50 2024 UNTIL 27 NOV 06:15 2024. CREATED: 15 SEP 10:46 2024
B1761/24 - PALS RWY 29 PARTLY U/S DUE TO TECR
RMK: AVBL APRX 85 PER CENT. 28 AUG 17:00 2024 UNTIL 28 NOV 16:00 2024. CREATED:
28 AUG 11:29 2024</t>
  </si>
  <si>
    <t>A3851/24 - RWY 04/22 CLSD. THU SUN 1900-2130, FRI SAT 1800-2130, 01 OCT 18:00 2024 UNTIL 01 JAN 21:30 2025. CREATED: 24 SEP 15:45 2024
A3842/24 - BAY B3 CLSD. 30 SEP 09:00 2024 UNTIL 08 NOV 09:00 2024. CREATED: 24 SEP 06:44
2024</t>
  </si>
  <si>
    <t>YPKG</t>
  </si>
  <si>
    <t>YPPD</t>
  </si>
  <si>
    <t>A3110/24 - PAPI RWY 05 U/S DUE TO MAINT. 04 OCT 04:20 2024 UNTIL 07 OCT 04:00 2024. CREATED: 04 OCT 04:20 2024
A2218/24 - RWY 05/23 CLSD DUE TO RWY INSPECTION
RMK : EXC FOR MILITARY EXER, MEDIVAC, CARGO FLT, AND HAJJ FLT. 2000-2030 0200-0215 0930-0945, 22 JUL 20:00 2024 UNTIL 22 OCT 09:45 2024. CREATED: 22 JUL 08:04 2024</t>
  </si>
  <si>
    <t>WAAA</t>
  </si>
  <si>
    <t>A3941/24 - POWER IN AND POWER OUT PSN AT MAIN APN BAY 2A, BAY 3A, BAY 4A, BAY
5A, BAY 6A, BAY 8A CLSD. 01 OCT 08:05 2024 UNTIL PERM. CREATED: 01 OCT 08:05 2024
A3941/24 - POWER IN AND POWER OUT PSN AT MAIN APN BAY 2A, BAY 3A, BAY 4A, BAY
5A, BAY 6A, BAY 8A CLSD. 01 OCT 08:05 2024 UNTIL PERM. CREATED: 01 OCT 08:05 2024
A3894/24 - AIMING POINT MARKINGS FOR RWY 16 BEGIN APRX 48M BEFORE PAPI
AND AIMING POINT MARKINGS FOR RWY 34 BEGIN APRX 55M BEFORE PAPI. 27 SEP 16:00
2024 UNTIL PERM. CREATED: 27 SEP 13:32 2024
A3643/24 - APCH RADAR OPS HRS CHG FM 0000 TO 1000. 09 SEP 03:00 2024 UNTIL 30 OCT 23:59 2024. CREATED: 09 SEP 02:53 2024</t>
  </si>
  <si>
    <t>WIMN</t>
  </si>
  <si>
    <t>WALL</t>
  </si>
  <si>
    <t>A2855/24 - RWY 10/28 CLSD DUE TO WIP
RMK:
- EXC MIL FLT EXER AND MEDIVAC HELICOPTER
- NO PERMITTED TO ALTN AD AND TKOF ALTN
- HEAVY EQPT PRESENT. SEP 22-29 1700-2159, 30 0900-2359, OCT 01-06 1700-2159, 07 0900-2359, 08-13 1700-2159, 14 0900-2359, 15-20 1700-2159, 21 0900-2359, OCT 22 - DEC 13 1700-2159, 22 SEP 17:00 2024 UNTIL 13 DEC 21:59 2024. CREATED: 18 SEP 11:09 2024</t>
  </si>
  <si>
    <t>A3980/24 - RWY 15/33 CLSD. DLY 1600-2200, 03 OCT 16:00 2024 UNTIL 21 OCT 22:00 2024. CREATED: 02 OCT 10:57 2024
A3197/24 - BAY 29, 30, 31, 32, 33, 34, 35, 36, 37 AND 38 DECOMMISSIONED. 13 AUG 22:58 2024 UNTIL PERM. CREATED: 13 AUG 22:58 2024
A1990/24 - BAY 19, BAY 20 AND BAY 21 CLSD. 02 JUN 03:06 2024 UNTIL PERM. CREATED: 02 JUN 03:10 2024</t>
  </si>
  <si>
    <t xml:space="preserve">WILL </t>
  </si>
  <si>
    <t>A2574/24 - TRIGGER NOTAM-PERM AIRAC AIP AMDT 151 WEF 03 OCT 2024
CHANGES INFORMATION OF I GUSTI NGURAH RAI AIRPORT - BALI. 03 OCT 00:00 2024
UNTIL 16 OCT 23:59 2024. CREATED: 26 AUG 02:49 2024</t>
  </si>
  <si>
    <t>A2846/24 - RWY 03R/21L CLSD DUE TO WIP. 02 1500-2200, 04 1500-1600, 05 06 AND 08 1500-2200, 02 OCT 15:00 2024 UNTIL 08 OCT 22:00 2024. CREATED: 02 OCT 08:35 2024
A2846/24 - RWY 03R/21L CLSD DUE TO WIP. 02 1500-2200, 04 1500-1600, 05 06 AND 08 1500-2200, 02 OCT 15:00 2024 UNTIL 08 OCT 22:00 2024. CREATED: 02 OCT 08:35 2024
J6358/24 - TEMPO RESTRICTED AREA ACT WI 0.5NM CENTRE OF 135526.22N1003713.11E
 APPROVAL SHALL BE MADE BEFORE ENTERING, EXCEPT DEP AND ARR ACFT AT
 VTBD PILOT IN COMMAND SHALL STRICTLY COMPLY WITH ATC INSTRUCTION. GND - 3000FT AGL, 30 SEP 06:18 2024 UNTIL 31 DEC 11:00 2024. CREATED: 30 SEP 06:19 2024</t>
  </si>
  <si>
    <t>B2021/24 - AD HOURS OF SERVICE CHANGED TO 2200-1300 DUE TO OPERATIONAL REASON. 02 OCT 00:00 2024 UNTIL 31 DEC 23:59 2024. CREATED: 01 OCT 08:22 2024</t>
  </si>
  <si>
    <t>A2713/24 - PALS RWY 18 U/S DUE TO MAINT. 23 SEP 03:28 2024 UNTIL 20 DEC 16:59 2024. CREATED: 23 SEP 03:29 2024
A2700/24 - SALS RWY 36 U/S DUE TO MAINT. 21 SEP 03:40 2024 UNTIL 20 DEC 17:00 2024. CREATED: 21 SEP 03:44 2024
A2694/24 - ATIS FREQ 127.2MHZ U/S. 20 SEP 09:15 2024 UNTIL 20 DEC 17:00 2024. CREATED: 20
SEP 09:16 2024</t>
  </si>
  <si>
    <t>TAF WBSB 060451Z 0606/0712 28008KT 9999 SCT015 FEW016CB 
  TEMPO 0608/0612 7000 -TSRA 
  BECMG 0612/0614 16004KT SCT014 FEW015CB</t>
  </si>
  <si>
    <t>WBGR</t>
  </si>
  <si>
    <t>A3113/24 - APRON WIP PSN AS FLW:
1.ALONG 45M EXTENDED TO SOUTH OF APRON
2.ALONG 25M EXTENDED TO WEST OF APRON. 04 OCT 11:46 2024 UNTIL 10 NOV 23:00
2024. CREATED: 04 OCT 11:47 2024</t>
  </si>
  <si>
    <t>A2891/24 - TXL T18 BTN TWY C AND ACFT STAND NR S101 CLSD DUE TO WIP. 06 OCT 20:00 2024 UNTIL 06 OCT 23:00 2024. CREATED: 04 OCT 09:08 2024
A2884/24 - RWY 01/19 CLSD DUE TO WIP. 06 OCT 19:00 2024 UNTIL 06 OCT 23:30 2024. CREATED: 04 OCT 06:37 2024
A2877/24 - STOP BAR TWY B1 AND TWY B2 U/S. 03 OCT 23:27 2024 UNTIL 18 OCT 23:30 2024. CREATED: 03 OCT 23:29 2024
A2829/24 - STOP BAR TWY B3, TWY B11, TWY E5 AND TWY E15 U/S. 03 OCT 00:00 2024 UNTIL 14 OCT 16:59 2024. CREATED: 01 OCT 05:44 2024
A2085/24 - VISUAL DOCKING GUIDANCE SYSTEM (VDGS) ACFT STAND NR 101-129, 201-203, 301-308, 401-403, 501-525, U/S DUE TO MAINT
RMK: ACFT HAVE TO FLW MARSHALLING SIGNALS STRICTLY. 05 AUG 04:38 2024 UNTIL 02 NOV 06:00 2024. CREATED: 05 AUG 04:40 2024</t>
  </si>
  <si>
    <t>ALL</t>
  </si>
  <si>
    <t>WIII WIPP WIMM WARR WADD WADL WATO WICC WAHH WAHS WIOO WIKT WSSS WMKK WMKP WMKJ WMSA VTBD VTBU VTBS  VTCC WBGG WBKK WBSB YPPH YPKG</t>
  </si>
  <si>
    <t>A2505/24 - RVR RWY 36 U/S. 07 SEP 05:05 2024 UNTIL 06 OCT 05:00 2024. CREATED: 07 SEP 05:06 2024
A2391/24 - ACFT STAND NR 1 CLSD DUE TO WIP. 28 AUG 00:01 2024 UNTIL 26 OCT 16:59 2024. CREATED: 27 AUG 08:21 2024
A2391/24 - ACFT STAND NR 1 CLSD DUE TO WIP. 28 AUG 00:01 2024 UNTIL 26 OCT 16:59 2024. CREATED: 27 AUG 08:21 2024</t>
  </si>
  <si>
    <t>B1823/24 - AD HOURS OF SERVICE CHANGED TO 2300-1400. 05 SEP 07:50 2024 UNTIL 04 DEC 23:59 2024. CREATED: 05 SEP 07:50 2024</t>
  </si>
  <si>
    <t>VTBB</t>
  </si>
  <si>
    <t>D1074/24 - GP/DME FREQ 335MHZ/CH40X WITHDRAWN FOR MAINT. 13 SEP 09:30 2024 UNTIL 13 DEC 09:00 2024. CREATED: 13 SEP 09:32 2024
D1035/24 - RWY GUARD LGT FOR TWY A, A2 AND C U/S. 07 SEP 02:00 2024 UNTIL 05 DEC 16:00 2024. CREATED: 07 SEP 12:01 2024
D0954/24 - RWY 07/25 CLSD FOR MAINT. DLY 1700-2100, 21 AUG 17:00 2024 UNTIL 18 NOV 21:00 2024. CREATED: 21 AUG 17:29 2024</t>
  </si>
  <si>
    <t>WAAF</t>
  </si>
  <si>
    <t>D0795/24 - TWY G CL LGT U/S. 18 JUL 10:00 2024 UNTIL 18 OCT 23:59 2024. CREATED: 18 JUL
09:59 2024</t>
  </si>
  <si>
    <t>D1127/24 - UA ACT WILL TAKE PLACE WI THE FLW COORD:
 042931.28N 1140234.03E - 042931.33N 1140237.31E -
 042927.39N 1140237.32E - 042927.30N 1140234.06E
 (INSTITUT LATIHAN PERINDUSTRIAN (ILP) MIRI, BANDAR BARU PERMYJAYA). SFC -
100FT AGL, 0000-1000, 01 OCT 00:00 2024 UNTIL 31 DEC 10:00 2024. CREATED: 30
SEP 05:07 2024</t>
  </si>
  <si>
    <t>WIII WIPP WIMM WARR WADD WADL WATO WAHI WILL WSSS WMKK WMKP WMKJ WMSA VDPP VTBD VTBU VTBS  VTCC WBGG WBKK WBGR  WBSB YPPH YPKG</t>
  </si>
  <si>
    <t xml:space="preserve">CREATE BY : </t>
  </si>
  <si>
    <t>DANDUNG</t>
  </si>
  <si>
    <t xml:space="preserve">CAPT. REZA PAHLEVI </t>
  </si>
  <si>
    <t>TEMPO 2114/2118 VRB15KT 3000 TSRA FEW018CB SCT030 BKN100</t>
  </si>
  <si>
    <t>TANKERING CGK HUB</t>
  </si>
  <si>
    <t>FLIGHT - QZ</t>
  </si>
  <si>
    <t>AMOUNT (KG)</t>
  </si>
  <si>
    <t>SAVING (US$)</t>
  </si>
  <si>
    <t>CARGO ANALISA PER-HARI INI</t>
  </si>
  <si>
    <t>FLIGHT</t>
  </si>
  <si>
    <t>TELEPORT</t>
  </si>
  <si>
    <t>NAVTEC</t>
  </si>
  <si>
    <t>QZ200</t>
  </si>
  <si>
    <t>QZ201</t>
  </si>
  <si>
    <t>TKG</t>
  </si>
  <si>
    <t>QZ802</t>
  </si>
  <si>
    <t>QZ803</t>
  </si>
  <si>
    <t>QZ202</t>
  </si>
  <si>
    <t>QZ203</t>
  </si>
  <si>
    <t>QZ262</t>
  </si>
  <si>
    <t>QZ263</t>
  </si>
  <si>
    <t>QZ250</t>
  </si>
  <si>
    <t>QZ251</t>
  </si>
  <si>
    <t>QZ530</t>
  </si>
  <si>
    <t>QZ531</t>
  </si>
  <si>
    <t>QZ724</t>
  </si>
  <si>
    <t>DTB</t>
  </si>
  <si>
    <t>QZ725</t>
  </si>
  <si>
    <t>QZ266</t>
  </si>
  <si>
    <t>QZ267</t>
  </si>
  <si>
    <t>QZ178</t>
  </si>
  <si>
    <t>QZ179</t>
  </si>
  <si>
    <t>QZ804</t>
  </si>
  <si>
    <t>QZ805</t>
  </si>
  <si>
    <t>QZ264</t>
  </si>
  <si>
    <t>QZ265</t>
  </si>
  <si>
    <t>QZ260</t>
  </si>
  <si>
    <t>QZ261</t>
  </si>
  <si>
    <t>QZ726</t>
  </si>
  <si>
    <t>QZ727</t>
  </si>
  <si>
    <t>QZ220</t>
  </si>
  <si>
    <t>QZ221</t>
  </si>
  <si>
    <t>QZ204</t>
  </si>
  <si>
    <t>QZ205</t>
  </si>
  <si>
    <t>QZ526</t>
  </si>
  <si>
    <t>QZ527</t>
  </si>
  <si>
    <t>QZ860</t>
  </si>
  <si>
    <t>QZ861</t>
  </si>
  <si>
    <t>QZ806</t>
  </si>
  <si>
    <t>QZ807</t>
  </si>
  <si>
    <t>QZ180</t>
  </si>
  <si>
    <t>QZ181</t>
  </si>
  <si>
    <t>QZ256</t>
  </si>
  <si>
    <t>UTP</t>
  </si>
  <si>
    <t>QZ257</t>
  </si>
  <si>
    <t>QZ808</t>
  </si>
  <si>
    <t>QZ809</t>
  </si>
  <si>
    <t>QZ252</t>
  </si>
  <si>
    <t>QZ253</t>
  </si>
  <si>
    <t>QZ240</t>
  </si>
  <si>
    <t>QZ241</t>
  </si>
  <si>
    <t>QZ210</t>
  </si>
  <si>
    <t>QZ211</t>
  </si>
  <si>
    <t>QZ208</t>
  </si>
  <si>
    <t>QZ209</t>
  </si>
  <si>
    <t>QZ258</t>
  </si>
  <si>
    <t>QZ259</t>
  </si>
  <si>
    <t>QZ810</t>
  </si>
  <si>
    <t>QZ811</t>
  </si>
  <si>
    <t>TOTAL</t>
  </si>
  <si>
    <t xml:space="preserve">  </t>
  </si>
  <si>
    <t>NAMA</t>
  </si>
  <si>
    <t>CAPT. ACHMAD NIBRASKA MUHARROM</t>
  </si>
  <si>
    <t>CAPT. WILLIAM WIRAWAN</t>
  </si>
  <si>
    <t>CAPT. ANDI DWI CAHYADI</t>
  </si>
  <si>
    <t>CAPT. REZA PAHLEVI</t>
  </si>
  <si>
    <t>CAPT. ANDY ANDRIYAN</t>
  </si>
  <si>
    <t>CAPT. HARRY KARYADHIE ARTHONO</t>
  </si>
  <si>
    <t>CAPT. ARDILES SOMPOTAN</t>
  </si>
  <si>
    <t>CAPT. ADITYA HERGIANTOMO</t>
  </si>
  <si>
    <t>CAPT. CHRISTANTO DHONOMIDJOJO</t>
  </si>
  <si>
    <t>CAPT. BRAM DIRGANTARA PUTRA</t>
  </si>
  <si>
    <t>CAPT. EKO SUHERWANTO</t>
  </si>
  <si>
    <t>CAPT. JULIAN HENDRA</t>
  </si>
  <si>
    <t>CAPT. FEBI IRAWAN</t>
  </si>
  <si>
    <t>CAPT. RIO ARIESTA RATULONA</t>
  </si>
  <si>
    <t>CAPT. FELLIAS</t>
  </si>
  <si>
    <t>CAPT. MOHAMMAD DENYNDRA RAMADHAN</t>
  </si>
  <si>
    <t>CAPT. IBRAHIM AJI ISHAQ</t>
  </si>
  <si>
    <t>CAPT. M. ARIE NOVAN WIBISONO</t>
  </si>
  <si>
    <t>CAPT. JATI ASTU PRATAMA PUTRA</t>
  </si>
  <si>
    <t>CAPT. PRADIDO HADIWINOTO</t>
  </si>
  <si>
    <t>CAPT. RAHADI MUHAMMAD MANTIKNO</t>
  </si>
  <si>
    <t>CAPT. SANJAYA GUNAWAN</t>
  </si>
  <si>
    <t>CAPT. WICAKSONO</t>
  </si>
  <si>
    <t>CAPT. WIDHI WIDAGDO</t>
  </si>
  <si>
    <t>CAPT. WIEMAR ADI NUGROHO</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</si>
</sst>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mm/dd/yyyy"/>
    <numFmt numFmtId="165" formatCode="_(* #,##0_);_(* \(#,##0\);_(* \-??_);_(@_)"/>
    <numFmt numFmtId="166" formatCode="[$-409]d\-mmm\-yy"/>
    <numFmt numFmtId="167" formatCode="0.00;[Red]0.00"/>
    <numFmt numFmtId="168" formatCode="#,##0;[Red]#,##0"/>
    <numFmt numFmtId="169" formatCode="mmm yyyy"/>
    <numFmt numFmtId="170" formatCode="dd/mm/yyyy"/>
    <numFmt numFmtId="171" formatCode="[$USD]\ #,##0"/>
  </numFmts>
  <fonts count="94">
    <font>
      <sz val="11.0"/>
      <color rgb="FF000000"/>
      <name val="Arial"/>
      <scheme val="minor"/>
    </font>
    <font>
      <sz val="11.0"/>
      <color rgb="FF000000"/>
      <name val="Calibri"/>
    </font>
    <font>
      <sz val="11.0"/>
      <color rgb="FF000000"/>
      <name val="Arial"/>
    </font>
    <font>
      <sz val="12.0"/>
      <color rgb="FF000000"/>
      <name val="Calibri"/>
    </font>
    <font>
      <b/>
      <sz val="11.0"/>
      <color rgb="FF000000"/>
      <name val="Calibri"/>
    </font>
    <font/>
    <font>
      <b/>
      <sz val="14.0"/>
      <color rgb="FFFFFFFF"/>
      <name val="Arial"/>
    </font>
    <font>
      <b/>
      <sz val="22.0"/>
      <color rgb="FF000000"/>
      <name val="Cambria"/>
    </font>
    <font>
      <b/>
      <sz val="14.0"/>
      <color rgb="FF000000"/>
      <name val="Arial"/>
    </font>
    <font>
      <sz val="14.0"/>
      <color rgb="FF000000"/>
      <name val="Calibri"/>
    </font>
    <font>
      <sz val="14.0"/>
      <color rgb="FF000000"/>
      <name val="Arial"/>
    </font>
    <font>
      <b/>
      <sz val="14.0"/>
      <color rgb="FF000000"/>
      <name val="Calibri"/>
    </font>
    <font>
      <i/>
      <sz val="12.0"/>
      <color rgb="FF0C0C0C"/>
      <name val="Calibri"/>
    </font>
    <font>
      <b/>
      <sz val="11.0"/>
      <color rgb="FF000000"/>
      <name val="Arial"/>
    </font>
    <font>
      <b/>
      <sz val="14.0"/>
      <color rgb="FF0C0C0C"/>
      <name val="Calibri"/>
    </font>
    <font>
      <i/>
      <sz val="14.0"/>
      <color rgb="FF000000"/>
      <name val="Calibri"/>
    </font>
    <font>
      <b/>
      <sz val="11.0"/>
      <color rgb="FFFFFFFF"/>
      <name val="Arial"/>
    </font>
    <font>
      <sz val="11.0"/>
      <color rgb="FFFFFFFF"/>
      <name val="Arial"/>
    </font>
    <font>
      <i/>
      <sz val="14.0"/>
      <color rgb="FF0C0C0C"/>
      <name val="Calibri"/>
    </font>
    <font>
      <sz val="11.0"/>
      <color theme="1"/>
      <name val="Arial"/>
    </font>
    <font>
      <i/>
      <sz val="14.0"/>
      <color theme="0"/>
      <name val="Calibri"/>
    </font>
    <font>
      <sz val="14.0"/>
      <color theme="0"/>
      <name val="Calibri"/>
    </font>
    <font>
      <b/>
      <sz val="10.0"/>
      <color rgb="FF000000"/>
      <name val="Arial"/>
    </font>
    <font>
      <sz val="12.0"/>
      <color rgb="FF000000"/>
      <name val="Arial"/>
    </font>
    <font>
      <sz val="14.0"/>
      <color rgb="FF000000"/>
      <name val="Tahoma"/>
    </font>
    <font>
      <b/>
      <sz val="10.0"/>
      <color rgb="FFFFFFFF"/>
      <name val="Arial"/>
    </font>
    <font>
      <sz val="12.0"/>
      <color rgb="FFFFFFFF"/>
      <name val="Arial"/>
    </font>
    <font>
      <b/>
      <sz val="11.0"/>
      <color theme="1"/>
      <name val="Arial"/>
    </font>
    <font>
      <color theme="1"/>
      <name val="Arial"/>
    </font>
    <font>
      <b/>
      <sz val="12.0"/>
      <color rgb="FF000000"/>
      <name val="Arial"/>
    </font>
    <font>
      <b/>
      <sz val="12.0"/>
      <color rgb="FFFFFFFF"/>
      <name val="Arial"/>
    </font>
    <font>
      <sz val="10.0"/>
      <color rgb="FF000000"/>
      <name val="Arial"/>
    </font>
    <font>
      <sz val="10.0"/>
      <color rgb="FFFFFFFF"/>
      <name val="Arial"/>
    </font>
    <font>
      <b/>
      <sz val="14.0"/>
      <color theme="0"/>
      <name val="Calibri"/>
    </font>
    <font>
      <b/>
      <sz val="14.0"/>
      <color theme="1"/>
      <name val="Calibri"/>
    </font>
    <font>
      <b/>
      <sz val="14.0"/>
      <color rgb="FF0C0C0C"/>
      <name val="Cambria"/>
    </font>
    <font>
      <i/>
      <sz val="14.0"/>
      <color rgb="FF0C0C0C"/>
      <name val="Arial"/>
    </font>
    <font>
      <b/>
      <sz val="14.0"/>
      <color rgb="FF0C0C0C"/>
      <name val="Arial"/>
    </font>
    <font>
      <sz val="14.0"/>
      <color rgb="FF0C0C0C"/>
      <name val="Arial"/>
    </font>
    <font>
      <i/>
      <sz val="14.0"/>
      <color rgb="FF000000"/>
      <name val="Arial"/>
    </font>
    <font>
      <i/>
      <sz val="10.0"/>
      <color rgb="FF0C0C0C"/>
      <name val="Calibri"/>
    </font>
    <font>
      <b/>
      <sz val="14.0"/>
      <color rgb="FF000000"/>
      <name val="Cambria"/>
    </font>
    <font>
      <sz val="14.0"/>
      <color rgb="FF000000"/>
      <name val="Cambria"/>
    </font>
    <font>
      <i/>
      <sz val="14.0"/>
      <color rgb="FFFFFFFF"/>
      <name val="Arial"/>
    </font>
    <font>
      <sz val="14.0"/>
      <color rgb="FFFFFFFF"/>
      <name val="Arial"/>
    </font>
    <font>
      <sz val="10.0"/>
      <color rgb="FF000000"/>
      <name val="Tahoma"/>
    </font>
    <font>
      <sz val="14.0"/>
      <color rgb="FFFFFFFF"/>
      <name val="Calibri"/>
    </font>
    <font>
      <sz val="12.0"/>
      <color rgb="FFFFFFFF"/>
      <name val="Calibri"/>
    </font>
    <font>
      <b/>
      <sz val="12.0"/>
      <color rgb="FF0C0C0C"/>
      <name val="Arial"/>
    </font>
    <font>
      <sz val="12.0"/>
      <color rgb="FF0C0C0C"/>
      <name val="Arial"/>
    </font>
    <font>
      <b/>
      <sz val="14.0"/>
      <color rgb="FFFFFFFF"/>
      <name val="Calibri"/>
    </font>
    <font>
      <u/>
      <sz val="11.0"/>
      <color rgb="FF0000FF"/>
      <name val="Arial"/>
    </font>
    <font>
      <b/>
      <sz val="14.0"/>
      <color rgb="FF000000"/>
      <name val="Tahoma"/>
    </font>
    <font>
      <b/>
      <sz val="12.0"/>
      <color rgb="FF000000"/>
      <name val="Calibri"/>
    </font>
    <font>
      <sz val="9.0"/>
      <color rgb="FF000000"/>
      <name val="Calibri"/>
    </font>
    <font>
      <sz val="14.0"/>
      <color theme="1"/>
      <name val="Arial"/>
    </font>
    <font>
      <u/>
      <sz val="11.0"/>
      <color rgb="FF0000FF"/>
      <name val="Arial"/>
    </font>
    <font>
      <b/>
      <sz val="11.0"/>
      <color theme="0"/>
      <name val="Arial"/>
    </font>
    <font>
      <b/>
      <sz val="14.0"/>
      <color theme="0"/>
      <name val="Arial"/>
    </font>
    <font>
      <sz val="11.0"/>
      <color theme="0"/>
      <name val="Arial"/>
    </font>
    <font>
      <i/>
      <sz val="14.0"/>
      <color theme="0"/>
      <name val="Arial"/>
    </font>
    <font>
      <sz val="14.0"/>
      <color theme="0"/>
      <name val="Arial"/>
    </font>
    <font>
      <sz val="12.0"/>
      <color theme="1"/>
      <name val="Arial"/>
    </font>
    <font>
      <b/>
      <sz val="10.0"/>
      <color theme="0"/>
      <name val="Arial"/>
    </font>
    <font>
      <sz val="12.0"/>
      <color theme="0"/>
      <name val="Arial"/>
    </font>
    <font>
      <b/>
      <sz val="12.0"/>
      <color theme="0"/>
      <name val="Arial"/>
    </font>
    <font>
      <sz val="10.0"/>
      <color theme="0"/>
      <name val="Arial"/>
    </font>
    <font>
      <i/>
      <sz val="14.0"/>
      <color theme="1"/>
      <name val="Arial"/>
    </font>
    <font>
      <b/>
      <sz val="14.0"/>
      <color theme="1"/>
      <name val="Arial"/>
    </font>
    <font>
      <sz val="14.0"/>
      <color theme="1"/>
      <name val="Calibri"/>
    </font>
    <font>
      <b/>
      <sz val="16.0"/>
      <color rgb="FF000000"/>
      <name val="Calibri"/>
    </font>
    <font>
      <b/>
      <sz val="22.0"/>
      <color rgb="FF000000"/>
      <name val="Calibri"/>
    </font>
    <font>
      <u/>
      <sz val="11.0"/>
      <color rgb="FF0000FF"/>
      <name val="Calibri"/>
    </font>
    <font>
      <sz val="11.0"/>
      <color rgb="FFFF0000"/>
      <name val="Calibri"/>
    </font>
    <font>
      <b/>
      <i/>
      <sz val="14.0"/>
      <color rgb="FF000000"/>
      <name val="Verdana"/>
    </font>
    <font>
      <b/>
      <sz val="20.0"/>
      <color rgb="FF000000"/>
      <name val="Calibri"/>
    </font>
    <font>
      <b/>
      <i/>
      <sz val="14.0"/>
      <color rgb="FF000000"/>
      <name val="Calibri"/>
    </font>
    <font>
      <u/>
      <sz val="11.0"/>
      <color rgb="FF0000FF"/>
      <name val="Calibri"/>
    </font>
    <font>
      <b/>
      <u/>
      <sz val="11.0"/>
      <color rgb="FF000000"/>
      <name val="Calibri"/>
    </font>
    <font>
      <b/>
      <i/>
      <sz val="14.0"/>
      <color rgb="FFFFFFFF"/>
      <name val="Calibri"/>
    </font>
    <font>
      <b/>
      <u/>
      <sz val="11.0"/>
      <color rgb="FF000000"/>
      <name val="Calibri"/>
    </font>
    <font>
      <u/>
      <sz val="11.0"/>
      <color rgb="FF0000FF"/>
      <name val="Calibri"/>
    </font>
    <font>
      <sz val="18.0"/>
      <color rgb="FFFF0000"/>
      <name val="Calibri"/>
    </font>
    <font>
      <b/>
      <sz val="18.0"/>
      <color rgb="FF000000"/>
      <name val="Calibri"/>
    </font>
    <font>
      <b/>
      <u/>
      <sz val="12.0"/>
      <color rgb="FF000000"/>
      <name val="Calibri"/>
    </font>
    <font>
      <b/>
      <u/>
      <sz val="12.0"/>
      <color rgb="FF000000"/>
      <name val="Calibri"/>
    </font>
    <font>
      <sz val="12.0"/>
      <color theme="1"/>
      <name val="Calibri"/>
    </font>
    <font>
      <b/>
      <u/>
      <sz val="16.0"/>
      <color rgb="FF000000"/>
      <name val="Calibri"/>
    </font>
    <font>
      <b/>
      <u/>
      <sz val="16.0"/>
      <color rgb="FF000000"/>
      <name val="Calibri"/>
    </font>
    <font>
      <b/>
      <u/>
      <sz val="16.0"/>
      <color rgb="FF000000"/>
      <name val="Calibri"/>
    </font>
    <font>
      <sz val="16.0"/>
      <color rgb="FF000000"/>
      <name val="Calibri"/>
    </font>
    <font>
      <b/>
      <i/>
      <sz val="14.0"/>
      <color theme="1"/>
      <name val="Calibri"/>
    </font>
    <font>
      <b/>
      <i/>
      <sz val="12.0"/>
      <color rgb="FF000000"/>
      <name val="Verdana"/>
    </font>
    <font>
      <u/>
      <sz val="11.0"/>
      <color rgb="FF800080"/>
      <name val="Arial"/>
    </font>
  </fonts>
  <fills count="15">
    <fill>
      <patternFill patternType="none"/>
    </fill>
    <fill>
      <patternFill patternType="lightGray"/>
    </fill>
    <fill>
      <patternFill patternType="solid">
        <fgColor rgb="FFFFC000"/>
        <bgColor rgb="FFFFC000"/>
      </patternFill>
    </fill>
    <fill>
      <patternFill patternType="solid">
        <fgColor rgb="FF92D050"/>
        <bgColor rgb="FF92D050"/>
      </patternFill>
    </fill>
    <fill>
      <patternFill patternType="solid">
        <fgColor rgb="FF000000"/>
        <bgColor rgb="FF000000"/>
      </patternFill>
    </fill>
    <fill>
      <patternFill patternType="solid">
        <fgColor rgb="FFA5A5A5"/>
        <bgColor rgb="FFA5A5A5"/>
      </patternFill>
    </fill>
    <fill>
      <patternFill patternType="solid">
        <fgColor rgb="FFFFFFFF"/>
        <bgColor rgb="FFFFFFFF"/>
      </patternFill>
    </fill>
    <fill>
      <patternFill patternType="solid">
        <fgColor rgb="FF00B0F0"/>
        <bgColor rgb="FF00B0F0"/>
      </patternFill>
    </fill>
    <fill>
      <patternFill patternType="solid">
        <fgColor rgb="FFFFFF00"/>
        <bgColor rgb="FFFFFF00"/>
      </patternFill>
    </fill>
    <fill>
      <patternFill patternType="solid">
        <fgColor theme="1"/>
        <bgColor theme="1"/>
      </patternFill>
    </fill>
    <fill>
      <patternFill patternType="solid">
        <fgColor rgb="FFF2F2F2"/>
        <bgColor rgb="FFF2F2F2"/>
      </patternFill>
    </fill>
    <fill>
      <patternFill patternType="solid">
        <fgColor rgb="FF548DD4"/>
        <bgColor rgb="FF548DD4"/>
      </patternFill>
    </fill>
    <fill>
      <patternFill patternType="solid">
        <fgColor rgb="FFBFBFBF"/>
        <bgColor rgb="FFBFBFBF"/>
      </patternFill>
    </fill>
    <fill>
      <patternFill patternType="solid">
        <fgColor rgb="FFD8D8D8"/>
        <bgColor rgb="FFD8D8D8"/>
      </patternFill>
    </fill>
    <fill>
      <patternFill patternType="solid">
        <fgColor theme="0"/>
        <bgColor theme="0"/>
      </patternFill>
    </fill>
  </fills>
  <borders count="81">
    <border/>
    <border>
      <left style="medium">
        <color rgb="FF000000"/>
      </left>
      <top style="medium">
        <color rgb="FF000000"/>
      </top>
      <bottom/>
    </border>
    <border>
      <right style="medium">
        <color rgb="FF000000"/>
      </right>
      <top style="medium">
        <color rgb="FF000000"/>
      </top>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top/>
      <bottom style="medium">
        <color rgb="FF000000"/>
      </bottom>
    </border>
    <border>
      <right style="medium">
        <color rgb="FF000000"/>
      </right>
      <top/>
      <bottom style="medium">
        <color rgb="FF000000"/>
      </bottom>
    </border>
    <border>
      <right style="medium">
        <color rgb="FF000000"/>
      </right>
      <top style="medium">
        <color rgb="FF000000"/>
      </top>
      <bottom style="medium">
        <color rgb="FF000000"/>
      </bottom>
    </border>
    <border>
      <left style="medium">
        <color rgb="FF000000"/>
      </left>
    </border>
    <border>
      <right style="medium">
        <color rgb="FF000000"/>
      </right>
    </border>
    <border>
      <left style="medium">
        <color rgb="FF000000"/>
      </left>
      <right/>
      <top style="medium">
        <color rgb="FF000000"/>
      </top>
      <bottom/>
    </border>
    <border>
      <left/>
      <right/>
      <top style="medium">
        <color rgb="FF000000"/>
      </top>
      <bottom/>
    </border>
    <border>
      <left style="thin">
        <color rgb="FFBFBFBF"/>
      </left>
      <top style="thin">
        <color rgb="FFBFBFBF"/>
      </top>
      <bottom style="thin">
        <color rgb="FFBFBFBF"/>
      </bottom>
    </border>
    <border>
      <left/>
      <right style="medium">
        <color rgb="FF000000"/>
      </right>
      <top style="medium">
        <color rgb="FF000000"/>
      </top>
      <bottom/>
    </border>
    <border>
      <top style="thin">
        <color rgb="FFBFBFBF"/>
      </top>
      <bottom style="thin">
        <color rgb="FFBFBFBF"/>
      </bottom>
    </border>
    <border>
      <right style="thin">
        <color rgb="FFD8D8D8"/>
      </right>
      <top style="thin">
        <color rgb="FFBFBFBF"/>
      </top>
      <bottom style="thin">
        <color rgb="FFBFBFBF"/>
      </bottom>
    </border>
    <border>
      <left style="thick">
        <color rgb="FFD8D8D8"/>
      </left>
      <right style="thick">
        <color rgb="FFD8D8D8"/>
      </right>
      <top style="thick">
        <color rgb="FFD8D8D8"/>
      </top>
      <bottom style="thick">
        <color rgb="FFD8D8D8"/>
      </bottom>
    </border>
    <border>
      <left style="thin">
        <color rgb="FF000000"/>
      </left>
      <right/>
      <top style="thin">
        <color rgb="FF000000"/>
      </top>
      <bottom style="thin">
        <color rgb="FF000000"/>
      </bottom>
    </border>
    <border>
      <left style="medium">
        <color rgb="FF000000"/>
      </left>
      <right/>
      <top/>
      <bottom/>
    </border>
    <border>
      <left/>
      <top/>
      <bottom/>
    </border>
    <border>
      <top/>
      <bottom/>
    </border>
    <border>
      <left/>
      <right/>
      <top/>
      <bottom/>
    </border>
    <border>
      <left/>
      <right style="medium">
        <color rgb="FF000000"/>
      </right>
      <top/>
      <bottom/>
    </border>
    <border>
      <left/>
      <right/>
      <top/>
      <bottom style="thin">
        <color rgb="FF000000"/>
      </bottom>
    </border>
    <border>
      <left/>
      <top style="thin">
        <color rgb="FFBFBFBF"/>
      </top>
      <bottom style="thin">
        <color rgb="FFBFBFBF"/>
      </bottom>
    </border>
    <border>
      <right style="thin">
        <color rgb="FFBFBFBF"/>
      </right>
      <top style="thin">
        <color rgb="FFBFBFBF"/>
      </top>
      <bottom style="thin">
        <color rgb="FFBFBFBF"/>
      </bottom>
    </border>
    <border>
      <left style="thin">
        <color rgb="FF000000"/>
      </left>
      <right style="thin">
        <color rgb="FF000000"/>
      </right>
      <top style="thin">
        <color rgb="FF000000"/>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top style="thin">
        <color rgb="FF000000"/>
      </top>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ck">
        <color rgb="FFD8D8D8"/>
      </left>
      <top style="thick">
        <color rgb="FFD8D8D8"/>
      </top>
      <bottom style="thick">
        <color rgb="FFD8D8D8"/>
      </bottom>
    </border>
    <border>
      <top style="thick">
        <color rgb="FFD8D8D8"/>
      </top>
      <bottom style="thick">
        <color rgb="FFD8D8D8"/>
      </bottom>
    </border>
    <border>
      <right style="thick">
        <color rgb="FFD8D8D8"/>
      </right>
      <top style="thick">
        <color rgb="FFD8D8D8"/>
      </top>
      <bottom style="thick">
        <color rgb="FFD8D8D8"/>
      </bottom>
    </border>
    <border>
      <left/>
      <top style="thin">
        <color rgb="FF000000"/>
      </top>
      <bottom style="thin">
        <color rgb="FF000000"/>
      </bottom>
    </border>
    <border>
      <left style="thin">
        <color rgb="FF000000"/>
      </left>
    </border>
    <border>
      <right style="thin">
        <color rgb="FF000000"/>
      </right>
    </border>
    <border>
      <left style="thin">
        <color rgb="FF000000"/>
      </left>
      <right style="thin">
        <color rgb="FF000000"/>
      </right>
    </border>
    <border>
      <left style="thin">
        <color rgb="FF000000"/>
      </left>
      <top style="thin">
        <color rgb="FF000000"/>
      </top>
      <bottom/>
    </border>
    <border>
      <top style="thin">
        <color rgb="FF000000"/>
      </top>
      <bottom/>
    </border>
    <border>
      <right style="thin">
        <color rgb="FF000000"/>
      </right>
      <top style="thin">
        <color rgb="FF000000"/>
      </top>
      <bottom/>
    </border>
    <border>
      <left style="medium">
        <color rgb="FF000000"/>
      </left>
      <right style="thin">
        <color rgb="FF000000"/>
      </right>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top/>
      <bottom/>
    </border>
    <border>
      <left style="thin">
        <color rgb="FF000000"/>
      </left>
      <right style="thin">
        <color rgb="FF000000"/>
      </right>
      <top/>
      <bottom/>
    </border>
    <border>
      <left style="thin">
        <color rgb="FF000000"/>
      </left>
      <right style="thin">
        <color rgb="FF000000"/>
      </right>
      <top/>
      <bottom style="thin">
        <color rgb="FF000000"/>
      </bottom>
    </border>
    <border>
      <left/>
      <top/>
    </border>
    <border>
      <top/>
    </border>
    <border>
      <left/>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right style="thin">
        <color rgb="FF000000"/>
      </right>
      <top/>
      <bottom style="thin">
        <color rgb="FF000000"/>
      </bottom>
    </border>
    <border>
      <left style="thin">
        <color rgb="FF000000"/>
      </left>
      <right/>
      <top/>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ttom/>
    </border>
    <border>
      <left style="thin">
        <color rgb="FF000000"/>
      </left>
      <right style="medium">
        <color rgb="FF000000"/>
      </right>
      <top style="thin">
        <color rgb="FF000000"/>
      </top>
    </border>
    <border>
      <left style="medium">
        <color rgb="FF000000"/>
      </left>
      <right style="medium">
        <color rgb="FF000000"/>
      </right>
      <top style="medium">
        <color rgb="FF000000"/>
      </top>
      <bottom style="medium">
        <color rgb="FF000000"/>
      </bottom>
    </border>
  </borders>
  <cellStyleXfs count="1">
    <xf borderId="0" fillId="0" fontId="0" numFmtId="0" applyAlignment="1" applyFont="1"/>
  </cellStyleXfs>
  <cellXfs count="748">
    <xf borderId="0" fillId="0" fontId="0" numFmtId="0" xfId="0" applyAlignment="1" applyFont="1">
      <alignment readingOrder="0" shrinkToFit="0" vertical="center" wrapText="0"/>
    </xf>
    <xf borderId="0" fillId="0" fontId="1" numFmtId="0" xfId="0" applyAlignment="1" applyFont="1">
      <alignment vertical="bottom"/>
    </xf>
    <xf borderId="0" fillId="0" fontId="1" numFmtId="164" xfId="0" applyAlignment="1" applyFont="1" applyNumberFormat="1">
      <alignment vertical="bottom"/>
    </xf>
    <xf borderId="0" fillId="0" fontId="2" numFmtId="0" xfId="0" applyAlignment="1" applyFont="1">
      <alignment vertical="bottom"/>
    </xf>
    <xf borderId="0" fillId="0" fontId="3" numFmtId="0" xfId="0" applyAlignment="1" applyFont="1">
      <alignment vertical="center"/>
    </xf>
    <xf borderId="1" fillId="2" fontId="4" numFmtId="0" xfId="0" applyAlignment="1" applyBorder="1" applyFill="1" applyFont="1">
      <alignment horizontal="center" vertical="bottom"/>
    </xf>
    <xf borderId="2" fillId="0" fontId="5" numFmtId="0" xfId="0" applyAlignment="1" applyBorder="1" applyFont="1">
      <alignment vertical="center"/>
    </xf>
    <xf borderId="3" fillId="3" fontId="4" numFmtId="0" xfId="0" applyAlignment="1" applyBorder="1" applyFill="1" applyFont="1">
      <alignment horizontal="center" vertical="center"/>
    </xf>
    <xf borderId="4" fillId="4" fontId="6" numFmtId="0" xfId="0" applyAlignment="1" applyBorder="1" applyFill="1" applyFont="1">
      <alignment horizontal="center" vertical="bottom"/>
    </xf>
    <xf borderId="5" fillId="0" fontId="5" numFmtId="0" xfId="0" applyAlignment="1" applyBorder="1" applyFont="1">
      <alignment vertical="center"/>
    </xf>
    <xf borderId="4" fillId="5" fontId="7" numFmtId="0" xfId="0" applyAlignment="1" applyBorder="1" applyFill="1" applyFont="1">
      <alignment horizontal="center" vertical="center"/>
    </xf>
    <xf borderId="6" fillId="2" fontId="1" numFmtId="20" xfId="0" applyAlignment="1" applyBorder="1" applyFill="1" applyFont="1" applyNumberFormat="1">
      <alignment horizontal="center" vertical="bottom"/>
    </xf>
    <xf borderId="7" fillId="0" fontId="5" numFmtId="0" xfId="0" applyAlignment="1" applyBorder="1" applyFont="1">
      <alignment vertical="center"/>
    </xf>
    <xf borderId="8" fillId="0" fontId="5" numFmtId="0" xfId="0" applyAlignment="1" applyBorder="1" applyFont="1">
      <alignment vertical="center"/>
    </xf>
    <xf borderId="0" fillId="0" fontId="8" numFmtId="0" xfId="0" applyAlignment="1" applyFont="1">
      <alignment horizontal="center" vertical="bottom"/>
    </xf>
    <xf borderId="9" fillId="0" fontId="3" numFmtId="0" xfId="0" applyAlignment="1" applyBorder="1" applyFont="1">
      <alignment vertical="center"/>
    </xf>
    <xf borderId="0" fillId="0" fontId="9" numFmtId="164" xfId="0" applyAlignment="1" applyFont="1" applyNumberFormat="1">
      <alignment vertical="bottom"/>
    </xf>
    <xf borderId="0" fillId="0" fontId="10" numFmtId="0" xfId="0" applyAlignment="1" applyFont="1">
      <alignment vertical="bottom"/>
    </xf>
    <xf borderId="1" fillId="2" fontId="11" numFmtId="0" xfId="0" applyAlignment="1" applyBorder="1" applyFill="1" applyFont="1">
      <alignment horizontal="center" vertical="bottom"/>
    </xf>
    <xf borderId="10" fillId="0" fontId="3" numFmtId="0" xfId="0" applyAlignment="1" applyBorder="1" applyFont="1">
      <alignment vertical="center"/>
    </xf>
    <xf borderId="9" fillId="0" fontId="12" numFmtId="0" xfId="0" applyAlignment="1" applyBorder="1" applyFont="1">
      <alignment horizontal="right" vertical="center"/>
    </xf>
    <xf borderId="11" fillId="6" fontId="13" numFmtId="165" xfId="0" applyAlignment="1" applyBorder="1" applyFill="1" applyFont="1" applyNumberFormat="1">
      <alignment horizontal="left" vertical="center"/>
    </xf>
    <xf borderId="12" fillId="6" fontId="8" numFmtId="0" xfId="0" applyAlignment="1" applyBorder="1" applyFill="1" applyFont="1">
      <alignment horizontal="left" vertical="center"/>
    </xf>
    <xf borderId="13" fillId="0" fontId="14" numFmtId="0" xfId="0" applyAlignment="1" applyBorder="1" applyFont="1">
      <alignment horizontal="left" vertical="center"/>
    </xf>
    <xf borderId="0" fillId="0" fontId="1" numFmtId="20" xfId="0" applyAlignment="1" applyFont="1" applyNumberFormat="1">
      <alignment horizontal="center" vertical="bottom"/>
    </xf>
    <xf borderId="14" fillId="6" fontId="2" numFmtId="0" xfId="0" applyAlignment="1" applyBorder="1" applyFill="1" applyFont="1">
      <alignment horizontal="left" vertical="center"/>
    </xf>
    <xf borderId="15" fillId="0" fontId="5" numFmtId="0" xfId="0" applyAlignment="1" applyBorder="1" applyFont="1">
      <alignment vertical="center"/>
    </xf>
    <xf borderId="16" fillId="0" fontId="5" numFmtId="0" xfId="0" applyAlignment="1" applyBorder="1" applyFont="1">
      <alignment vertical="center"/>
    </xf>
    <xf borderId="0" fillId="0" fontId="15" numFmtId="0" xfId="0" applyAlignment="1" applyFont="1">
      <alignment horizontal="right" vertical="center"/>
    </xf>
    <xf borderId="17" fillId="0" fontId="11" numFmtId="0" xfId="0" applyAlignment="1" applyBorder="1" applyFont="1">
      <alignment vertical="center"/>
    </xf>
    <xf borderId="11" fillId="6" fontId="16" numFmtId="165" xfId="0" applyAlignment="1" applyBorder="1" applyFill="1" applyFont="1" applyNumberFormat="1">
      <alignment horizontal="left" vertical="center"/>
    </xf>
    <xf borderId="0" fillId="0" fontId="9" numFmtId="20" xfId="0" applyAlignment="1" applyFont="1" applyNumberFormat="1">
      <alignment vertical="center"/>
    </xf>
    <xf borderId="12" fillId="6" fontId="6" numFmtId="0" xfId="0" applyAlignment="1" applyBorder="1" applyFill="1" applyFont="1">
      <alignment horizontal="left" vertical="center"/>
    </xf>
    <xf borderId="0" fillId="0" fontId="9" numFmtId="0" xfId="0" applyAlignment="1" applyFont="1">
      <alignment vertical="center"/>
    </xf>
    <xf borderId="3" fillId="7" fontId="4" numFmtId="0" xfId="0" applyAlignment="1" applyBorder="1" applyFill="1" applyFont="1">
      <alignment horizontal="center" vertical="bottom"/>
    </xf>
    <xf borderId="14" fillId="6" fontId="17" numFmtId="0" xfId="0" applyAlignment="1" applyBorder="1" applyFill="1" applyFont="1">
      <alignment horizontal="left" vertical="center"/>
    </xf>
    <xf borderId="3" fillId="7" fontId="4" numFmtId="20" xfId="0" applyAlignment="1" applyBorder="1" applyFill="1" applyFont="1" applyNumberFormat="1">
      <alignment horizontal="center" vertical="bottom"/>
    </xf>
    <xf borderId="3" fillId="3" fontId="11" numFmtId="0" xfId="0" applyAlignment="1" applyBorder="1" applyFill="1" applyFont="1">
      <alignment horizontal="center" vertical="center"/>
    </xf>
    <xf borderId="3" fillId="8" fontId="4" numFmtId="0" xfId="0" applyAlignment="1" applyBorder="1" applyFill="1" applyFont="1">
      <alignment horizontal="center" vertical="bottom"/>
    </xf>
    <xf borderId="0" fillId="0" fontId="15" numFmtId="0" xfId="0" applyAlignment="1" applyFont="1">
      <alignment vertical="center"/>
    </xf>
    <xf borderId="18" fillId="7" fontId="4" numFmtId="20" xfId="0" applyAlignment="1" applyBorder="1" applyFill="1" applyFont="1" applyNumberFormat="1">
      <alignment horizontal="center" vertical="bottom"/>
    </xf>
    <xf borderId="6" fillId="2" fontId="9" numFmtId="20" xfId="0" applyAlignment="1" applyBorder="1" applyFill="1" applyFont="1" applyNumberFormat="1">
      <alignment horizontal="center" vertical="bottom"/>
    </xf>
    <xf borderId="9" fillId="0" fontId="18" numFmtId="0" xfId="0" applyAlignment="1" applyBorder="1" applyFont="1">
      <alignment horizontal="right" vertical="center"/>
    </xf>
    <xf borderId="3" fillId="8" fontId="4" numFmtId="0" xfId="0" applyAlignment="1" applyBorder="1" applyFill="1" applyFont="1">
      <alignment horizontal="center" vertical="center"/>
    </xf>
    <xf borderId="0" fillId="0" fontId="9" numFmtId="20" xfId="0" applyAlignment="1" applyFont="1" applyNumberFormat="1">
      <alignment horizontal="center" vertical="bottom"/>
    </xf>
    <xf borderId="0" fillId="0" fontId="11" numFmtId="0" xfId="0" applyAlignment="1" applyFont="1">
      <alignment vertical="center"/>
    </xf>
    <xf borderId="19" fillId="6" fontId="13" numFmtId="165" xfId="0" applyAlignment="1" applyBorder="1" applyFill="1" applyFont="1" applyNumberFormat="1">
      <alignment horizontal="left" vertical="center"/>
    </xf>
    <xf borderId="3" fillId="9" fontId="4" numFmtId="0" xfId="0" applyAlignment="1" applyBorder="1" applyFill="1" applyFont="1">
      <alignment horizontal="center" vertical="bottom"/>
    </xf>
    <xf borderId="20" fillId="6" fontId="8" numFmtId="0" xfId="0" applyAlignment="1" applyBorder="1" applyFill="1" applyFont="1">
      <alignment horizontal="left" vertical="center"/>
    </xf>
    <xf borderId="21" fillId="0" fontId="5" numFmtId="0" xfId="0" applyAlignment="1" applyBorder="1" applyFont="1">
      <alignment vertical="center"/>
    </xf>
    <xf borderId="3" fillId="9" fontId="4" numFmtId="20" xfId="0" applyAlignment="1" applyBorder="1" applyFill="1" applyFont="1" applyNumberFormat="1">
      <alignment horizontal="center" vertical="bottom"/>
    </xf>
    <xf borderId="22" fillId="6" fontId="8" numFmtId="0" xfId="0" applyAlignment="1" applyBorder="1" applyFill="1" applyFont="1">
      <alignment horizontal="left" vertical="center"/>
    </xf>
    <xf borderId="13" fillId="0" fontId="14" numFmtId="164" xfId="0" applyAlignment="1" applyBorder="1" applyFont="1" applyNumberFormat="1">
      <alignment horizontal="left" vertical="center"/>
    </xf>
    <xf borderId="1" fillId="3" fontId="4" numFmtId="0" xfId="0" applyAlignment="1" applyBorder="1" applyFill="1" applyFont="1">
      <alignment horizontal="center" vertical="bottom"/>
    </xf>
    <xf borderId="4" fillId="6" fontId="8" numFmtId="0" xfId="0" applyAlignment="1" applyBorder="1" applyFill="1" applyFont="1">
      <alignment horizontal="center" vertical="center"/>
    </xf>
    <xf borderId="23" fillId="6" fontId="2" numFmtId="0" xfId="0" applyAlignment="1" applyBorder="1" applyFill="1" applyFont="1">
      <alignment horizontal="left" vertical="center"/>
    </xf>
    <xf borderId="19" fillId="6" fontId="16" numFmtId="165" xfId="0" applyAlignment="1" applyBorder="1" applyFill="1" applyFont="1" applyNumberFormat="1">
      <alignment horizontal="left" vertical="center"/>
    </xf>
    <xf borderId="20" fillId="6" fontId="6" numFmtId="0" xfId="0" applyAlignment="1" applyBorder="1" applyFill="1" applyFont="1">
      <alignment horizontal="left" vertical="center"/>
    </xf>
    <xf borderId="0" fillId="0" fontId="11" numFmtId="0" xfId="0" applyAlignment="1" applyFont="1">
      <alignment horizontal="left" shrinkToFit="0" vertical="center" wrapText="1"/>
    </xf>
    <xf borderId="22" fillId="6" fontId="6" numFmtId="0" xfId="0" applyAlignment="1" applyBorder="1" applyFill="1" applyFont="1">
      <alignment horizontal="left" vertical="center"/>
    </xf>
    <xf borderId="4" fillId="6" fontId="6" numFmtId="0" xfId="0" applyAlignment="1" applyBorder="1" applyFill="1" applyFont="1">
      <alignment horizontal="center" vertical="center"/>
    </xf>
    <xf borderId="23" fillId="6" fontId="17" numFmtId="0" xfId="0" applyAlignment="1" applyBorder="1" applyFill="1" applyFont="1">
      <alignment horizontal="left" vertical="center"/>
    </xf>
    <xf borderId="6" fillId="3" fontId="1" numFmtId="20" xfId="0" applyAlignment="1" applyBorder="1" applyFill="1" applyFont="1" applyNumberFormat="1">
      <alignment horizontal="center" vertical="bottom"/>
    </xf>
    <xf borderId="0" fillId="0" fontId="19" numFmtId="20" xfId="0" applyAlignment="1" applyFont="1" applyNumberFormat="1">
      <alignment vertical="center"/>
    </xf>
    <xf borderId="13" fillId="0" fontId="11" numFmtId="0" xfId="0" applyAlignment="1" applyBorder="1" applyFont="1">
      <alignment vertical="center"/>
    </xf>
    <xf borderId="3" fillId="7" fontId="11" numFmtId="0" xfId="0" applyAlignment="1" applyBorder="1" applyFill="1" applyFont="1">
      <alignment horizontal="center" vertical="bottom"/>
    </xf>
    <xf borderId="0" fillId="0" fontId="4" numFmtId="0" xfId="0" applyAlignment="1" applyFont="1">
      <alignment horizontal="center" vertical="bottom"/>
    </xf>
    <xf borderId="3" fillId="7" fontId="11" numFmtId="20" xfId="0" applyAlignment="1" applyBorder="1" applyFill="1" applyFont="1" applyNumberFormat="1">
      <alignment horizontal="center" vertical="bottom"/>
    </xf>
    <xf borderId="22" fillId="6" fontId="13" numFmtId="165" xfId="0" applyAlignment="1" applyBorder="1" applyFill="1" applyFont="1" applyNumberFormat="1">
      <alignment horizontal="left" vertical="center"/>
    </xf>
    <xf borderId="22" fillId="6" fontId="2" numFmtId="0" xfId="0" applyAlignment="1" applyBorder="1" applyFill="1" applyFont="1">
      <alignment horizontal="left" vertical="center"/>
    </xf>
    <xf borderId="24" fillId="6" fontId="8" numFmtId="0" xfId="0" applyAlignment="1" applyBorder="1" applyFill="1" applyFont="1">
      <alignment horizontal="left" vertical="center"/>
    </xf>
    <xf borderId="3" fillId="8" fontId="1" numFmtId="0" xfId="0" applyAlignment="1" applyBorder="1" applyFill="1" applyFont="1">
      <alignment horizontal="center" vertical="bottom"/>
    </xf>
    <xf borderId="25" fillId="10" fontId="11" numFmtId="0" xfId="0" applyAlignment="1" applyBorder="1" applyFill="1" applyFont="1">
      <alignment horizontal="center" vertical="center"/>
    </xf>
    <xf borderId="22" fillId="6" fontId="13" numFmtId="0" xfId="0" applyAlignment="1" applyBorder="1" applyFill="1" applyFont="1">
      <alignment horizontal="left" shrinkToFit="0" vertical="center" wrapText="1"/>
    </xf>
    <xf borderId="26" fillId="0" fontId="5" numFmtId="0" xfId="0" applyAlignment="1" applyBorder="1" applyFont="1">
      <alignment vertical="center"/>
    </xf>
    <xf borderId="0" fillId="0" fontId="20" numFmtId="0" xfId="0" applyAlignment="1" applyFont="1">
      <alignment horizontal="right" vertical="center"/>
    </xf>
    <xf borderId="22" fillId="6" fontId="16" numFmtId="165" xfId="0" applyAlignment="1" applyBorder="1" applyFill="1" applyFont="1" applyNumberFormat="1">
      <alignment horizontal="left" vertical="center"/>
    </xf>
    <xf borderId="22" fillId="6" fontId="17" numFmtId="0" xfId="0" applyAlignment="1" applyBorder="1" applyFill="1" applyFont="1">
      <alignment horizontal="left" vertical="center"/>
    </xf>
    <xf borderId="17" fillId="0" fontId="21" numFmtId="0" xfId="0" applyAlignment="1" applyBorder="1" applyFont="1">
      <alignment vertical="center"/>
    </xf>
    <xf borderId="24" fillId="6" fontId="6" numFmtId="0" xfId="0" applyAlignment="1" applyBorder="1" applyFill="1" applyFont="1">
      <alignment horizontal="left" vertical="center"/>
    </xf>
    <xf borderId="0" fillId="0" fontId="21" numFmtId="20" xfId="0" applyAlignment="1" applyFont="1" applyNumberFormat="1">
      <alignment vertical="center"/>
    </xf>
    <xf borderId="22" fillId="6" fontId="16" numFmtId="0" xfId="0" applyAlignment="1" applyBorder="1" applyFill="1" applyFont="1">
      <alignment horizontal="left" shrinkToFit="0" vertical="center" wrapText="1"/>
    </xf>
    <xf borderId="27" fillId="8" fontId="1" numFmtId="0" xfId="0" applyAlignment="1" applyBorder="1" applyFill="1" applyFont="1">
      <alignment horizontal="center" vertical="bottom"/>
    </xf>
    <xf borderId="0" fillId="0" fontId="21" numFmtId="0" xfId="0" applyAlignment="1" applyFont="1">
      <alignment vertical="center"/>
    </xf>
    <xf borderId="18" fillId="8" fontId="1" numFmtId="0" xfId="0" applyAlignment="1" applyBorder="1" applyFill="1" applyFont="1">
      <alignment horizontal="center" vertical="bottom"/>
    </xf>
    <xf borderId="28" fillId="6" fontId="22" numFmtId="0" xfId="0" applyAlignment="1" applyBorder="1" applyFill="1" applyFont="1">
      <alignment horizontal="left" vertical="center"/>
    </xf>
    <xf borderId="3" fillId="8" fontId="19" numFmtId="0" xfId="0" applyAlignment="1" applyBorder="1" applyFill="1" applyFont="1">
      <alignment horizontal="center" vertical="center"/>
    </xf>
    <xf borderId="29" fillId="0" fontId="5" numFmtId="0" xfId="0" applyAlignment="1" applyBorder="1" applyFont="1">
      <alignment vertical="center"/>
    </xf>
    <xf borderId="30" fillId="0" fontId="5" numFmtId="0" xfId="0" applyAlignment="1" applyBorder="1" applyFont="1">
      <alignment vertical="center"/>
    </xf>
    <xf borderId="3" fillId="9" fontId="1" numFmtId="0" xfId="0" applyAlignment="1" applyBorder="1" applyFill="1" applyFont="1">
      <alignment horizontal="center" vertical="bottom"/>
    </xf>
    <xf borderId="0" fillId="0" fontId="20" numFmtId="0" xfId="0" applyAlignment="1" applyFont="1">
      <alignment vertical="center"/>
    </xf>
    <xf borderId="28" fillId="6" fontId="23" numFmtId="0" xfId="0" applyAlignment="1" applyBorder="1" applyFill="1" applyFont="1">
      <alignment horizontal="center" vertical="center"/>
    </xf>
    <xf borderId="18" fillId="9" fontId="1" numFmtId="0" xfId="0" applyAlignment="1" applyBorder="1" applyFill="1" applyFont="1">
      <alignment horizontal="center" vertical="bottom"/>
    </xf>
    <xf borderId="3" fillId="6" fontId="22" numFmtId="0" xfId="0" applyAlignment="1" applyBorder="1" applyFill="1" applyFont="1">
      <alignment horizontal="left" vertical="center"/>
    </xf>
    <xf borderId="9" fillId="0" fontId="24" numFmtId="0" xfId="0" applyAlignment="1" applyBorder="1" applyFont="1">
      <alignment horizontal="right" shrinkToFit="0" vertical="bottom" wrapText="1"/>
    </xf>
    <xf borderId="0" fillId="0" fontId="21" numFmtId="0" xfId="0" applyAlignment="1" applyFont="1">
      <alignment horizontal="center" vertical="bottom"/>
    </xf>
    <xf borderId="3" fillId="9" fontId="2" numFmtId="0" xfId="0" applyAlignment="1" applyBorder="1" applyFill="1" applyFont="1">
      <alignment horizontal="center" vertical="bottom"/>
    </xf>
    <xf borderId="28" fillId="6" fontId="25" numFmtId="0" xfId="0" applyAlignment="1" applyBorder="1" applyFill="1" applyFont="1">
      <alignment horizontal="left" vertical="center"/>
    </xf>
    <xf borderId="0" fillId="0" fontId="4" numFmtId="0" xfId="0" applyAlignment="1" applyFont="1">
      <alignment vertical="bottom"/>
    </xf>
    <xf borderId="28" fillId="6" fontId="26" numFmtId="0" xfId="0" applyAlignment="1" applyBorder="1" applyFill="1" applyFont="1">
      <alignment horizontal="center" vertical="center"/>
    </xf>
    <xf borderId="3" fillId="6" fontId="25" numFmtId="0" xfId="0" applyAlignment="1" applyBorder="1" applyFill="1" applyFont="1">
      <alignment horizontal="left" vertical="center"/>
    </xf>
    <xf borderId="0" fillId="0" fontId="27" numFmtId="0" xfId="0" applyAlignment="1" applyFont="1">
      <alignment vertical="center"/>
    </xf>
    <xf borderId="0" fillId="0" fontId="28" numFmtId="0" xfId="0" applyAlignment="1" applyFont="1">
      <alignment vertical="center"/>
    </xf>
    <xf borderId="22" fillId="9" fontId="1" numFmtId="0" xfId="0" applyAlignment="1" applyBorder="1" applyFill="1" applyFont="1">
      <alignment vertical="bottom"/>
    </xf>
    <xf borderId="22" fillId="9" fontId="13" numFmtId="0" xfId="0" applyAlignment="1" applyBorder="1" applyFill="1" applyFont="1">
      <alignment vertical="bottom"/>
    </xf>
    <xf borderId="3" fillId="4" fontId="11" numFmtId="0" xfId="0" applyAlignment="1" applyBorder="1" applyFill="1" applyFont="1">
      <alignment horizontal="center" vertical="bottom"/>
    </xf>
    <xf borderId="3" fillId="4" fontId="11" numFmtId="20" xfId="0" applyAlignment="1" applyBorder="1" applyFill="1" applyFont="1" applyNumberFormat="1">
      <alignment horizontal="center" vertical="bottom"/>
    </xf>
    <xf borderId="28" fillId="0" fontId="29" numFmtId="0" xfId="0" applyAlignment="1" applyBorder="1" applyFont="1">
      <alignment horizontal="center" vertical="center"/>
    </xf>
    <xf borderId="31" fillId="0" fontId="3" numFmtId="0" xfId="0" applyAlignment="1" applyBorder="1" applyFont="1">
      <alignment vertical="center"/>
    </xf>
    <xf borderId="28" fillId="6" fontId="29" numFmtId="20" xfId="0" applyAlignment="1" applyBorder="1" applyFill="1" applyFont="1" applyNumberFormat="1">
      <alignment horizontal="center" vertical="center"/>
    </xf>
    <xf borderId="23" fillId="6" fontId="13" numFmtId="0" xfId="0" applyAlignment="1" applyBorder="1" applyFill="1" applyFont="1">
      <alignment horizontal="left" vertical="center"/>
    </xf>
    <xf borderId="3" fillId="0" fontId="11" numFmtId="0" xfId="0" applyAlignment="1" applyBorder="1" applyFont="1">
      <alignment horizontal="center" vertical="center"/>
    </xf>
    <xf borderId="28" fillId="0" fontId="9" numFmtId="0" xfId="0" applyAlignment="1" applyBorder="1" applyFont="1">
      <alignment horizontal="left" shrinkToFit="0" vertical="center" wrapText="1"/>
    </xf>
    <xf borderId="10" fillId="0" fontId="3" numFmtId="0" xfId="0" applyAlignment="1" applyBorder="1" applyFont="1">
      <alignment horizontal="left" vertical="top"/>
    </xf>
    <xf borderId="28" fillId="0" fontId="30" numFmtId="0" xfId="0" applyAlignment="1" applyBorder="1" applyFont="1">
      <alignment horizontal="center" vertical="center"/>
    </xf>
    <xf borderId="28" fillId="6" fontId="30" numFmtId="20" xfId="0" applyAlignment="1" applyBorder="1" applyFill="1" applyFont="1" applyNumberFormat="1">
      <alignment horizontal="center" vertical="center"/>
    </xf>
    <xf borderId="23" fillId="6" fontId="16" numFmtId="0" xfId="0" applyAlignment="1" applyBorder="1" applyFill="1" applyFont="1">
      <alignment horizontal="left" vertical="center"/>
    </xf>
    <xf borderId="10" fillId="0" fontId="3" numFmtId="0" xfId="0" applyAlignment="1" applyBorder="1" applyFont="1">
      <alignment horizontal="left" vertical="center"/>
    </xf>
    <xf borderId="28" fillId="6" fontId="29" numFmtId="38" xfId="0" applyAlignment="1" applyBorder="1" applyFill="1" applyFont="1" applyNumberFormat="1">
      <alignment horizontal="center" vertical="center"/>
    </xf>
    <xf borderId="10" fillId="0" fontId="3" numFmtId="0" xfId="0" applyAlignment="1" applyBorder="1" applyFont="1">
      <alignment horizontal="left" shrinkToFit="0" vertical="center" wrapText="1"/>
    </xf>
    <xf borderId="28" fillId="6" fontId="30" numFmtId="38" xfId="0" applyAlignment="1" applyBorder="1" applyFill="1" applyFont="1" applyNumberFormat="1">
      <alignment horizontal="center" vertical="center"/>
    </xf>
    <xf borderId="32" fillId="0" fontId="9" numFmtId="0" xfId="0" applyAlignment="1" applyBorder="1" applyFont="1">
      <alignment vertical="center"/>
    </xf>
    <xf borderId="28" fillId="6" fontId="23" numFmtId="166" xfId="0" applyAlignment="1" applyBorder="1" applyFill="1" applyFont="1" applyNumberFormat="1">
      <alignment horizontal="center" vertical="center"/>
    </xf>
    <xf borderId="33" fillId="0" fontId="9" numFmtId="0" xfId="0" applyAlignment="1" applyBorder="1" applyFont="1">
      <alignment horizontal="center" vertical="center"/>
    </xf>
    <xf borderId="33" fillId="0" fontId="3" numFmtId="0" xfId="0" applyAlignment="1" applyBorder="1" applyFont="1">
      <alignment horizontal="center" vertical="center"/>
    </xf>
    <xf borderId="34" fillId="0" fontId="9" numFmtId="0" xfId="0" applyAlignment="1" applyBorder="1" applyFont="1">
      <alignment horizontal="center" vertical="center"/>
    </xf>
    <xf borderId="32" fillId="0" fontId="5" numFmtId="0" xfId="0" applyAlignment="1" applyBorder="1" applyFont="1">
      <alignment vertical="center"/>
    </xf>
    <xf borderId="35" fillId="0" fontId="5" numFmtId="0" xfId="0" applyAlignment="1" applyBorder="1" applyFont="1">
      <alignment vertical="center"/>
    </xf>
    <xf borderId="10" fillId="0" fontId="3" numFmtId="0" xfId="0" applyAlignment="1" applyBorder="1" applyFont="1">
      <alignment horizontal="center" vertical="center"/>
    </xf>
    <xf borderId="28" fillId="6" fontId="26" numFmtId="166" xfId="0" applyAlignment="1" applyBorder="1" applyFill="1" applyFont="1" applyNumberFormat="1">
      <alignment horizontal="center" vertical="center"/>
    </xf>
    <xf borderId="36" fillId="0" fontId="5" numFmtId="0" xfId="0" applyAlignment="1" applyBorder="1" applyFont="1">
      <alignment vertical="center"/>
    </xf>
    <xf borderId="36" fillId="0" fontId="3" numFmtId="0" xfId="0" applyAlignment="1" applyBorder="1" applyFont="1">
      <alignment horizontal="center" vertical="center"/>
    </xf>
    <xf borderId="37" fillId="0" fontId="5" numFmtId="0" xfId="0" applyAlignment="1" applyBorder="1" applyFont="1">
      <alignment vertical="center"/>
    </xf>
    <xf borderId="31" fillId="0" fontId="5" numFmtId="0" xfId="0" applyAlignment="1" applyBorder="1" applyFont="1">
      <alignment vertical="center"/>
    </xf>
    <xf borderId="38" fillId="0" fontId="5" numFmtId="0" xfId="0" applyAlignment="1" applyBorder="1" applyFont="1">
      <alignment vertical="center"/>
    </xf>
    <xf borderId="3" fillId="0" fontId="9" numFmtId="0" xfId="0" applyAlignment="1" applyBorder="1" applyFont="1">
      <alignment horizontal="center" vertical="center"/>
    </xf>
    <xf borderId="22" fillId="6" fontId="22" numFmtId="165" xfId="0" applyAlignment="1" applyBorder="1" applyFill="1" applyFont="1" applyNumberFormat="1">
      <alignment horizontal="left" vertical="center"/>
    </xf>
    <xf borderId="22" fillId="6" fontId="22" numFmtId="0" xfId="0" applyAlignment="1" applyBorder="1" applyFill="1" applyFont="1">
      <alignment horizontal="left" vertical="center"/>
    </xf>
    <xf borderId="22" fillId="6" fontId="31" numFmtId="165" xfId="0" applyAlignment="1" applyBorder="1" applyFill="1" applyFont="1" applyNumberFormat="1">
      <alignment horizontal="left" vertical="center"/>
    </xf>
    <xf borderId="22" fillId="6" fontId="31" numFmtId="165" xfId="0" applyAlignment="1" applyBorder="1" applyFill="1" applyFont="1" applyNumberFormat="1">
      <alignment horizontal="left" shrinkToFit="0" vertical="center" wrapText="1"/>
    </xf>
    <xf borderId="3" fillId="0" fontId="11" numFmtId="20" xfId="0" applyAlignment="1" applyBorder="1" applyFont="1" applyNumberFormat="1">
      <alignment horizontal="center" vertical="center"/>
    </xf>
    <xf borderId="28" fillId="0" fontId="11" numFmtId="0" xfId="0" applyAlignment="1" applyBorder="1" applyFont="1">
      <alignment horizontal="center" shrinkToFit="0" vertical="center" wrapText="1"/>
    </xf>
    <xf borderId="23" fillId="6" fontId="2" numFmtId="165" xfId="0" applyAlignment="1" applyBorder="1" applyFill="1" applyFont="1" applyNumberFormat="1">
      <alignment horizontal="left" vertical="center"/>
    </xf>
    <xf borderId="3" fillId="0" fontId="21" numFmtId="0" xfId="0" applyAlignment="1" applyBorder="1" applyFont="1">
      <alignment horizontal="center" vertical="center"/>
    </xf>
    <xf borderId="22" fillId="6" fontId="25" numFmtId="165" xfId="0" applyAlignment="1" applyBorder="1" applyFill="1" applyFont="1" applyNumberFormat="1">
      <alignment horizontal="left" vertical="center"/>
    </xf>
    <xf borderId="22" fillId="6" fontId="25" numFmtId="0" xfId="0" applyAlignment="1" applyBorder="1" applyFill="1" applyFont="1">
      <alignment horizontal="left" vertical="center"/>
    </xf>
    <xf borderId="22" fillId="6" fontId="32" numFmtId="165" xfId="0" applyAlignment="1" applyBorder="1" applyFill="1" applyFont="1" applyNumberFormat="1">
      <alignment horizontal="left" vertical="center"/>
    </xf>
    <xf borderId="22" fillId="6" fontId="32" numFmtId="165" xfId="0" applyAlignment="1" applyBorder="1" applyFill="1" applyFont="1" applyNumberFormat="1">
      <alignment horizontal="left" shrinkToFit="0" vertical="center" wrapText="1"/>
    </xf>
    <xf borderId="23" fillId="6" fontId="17" numFmtId="165" xfId="0" applyAlignment="1" applyBorder="1" applyFill="1" applyFont="1" applyNumberFormat="1">
      <alignment horizontal="left" vertical="center"/>
    </xf>
    <xf borderId="0" fillId="0" fontId="11" numFmtId="0" xfId="0" applyAlignment="1" applyFont="1">
      <alignment horizontal="center" vertical="bottom"/>
    </xf>
    <xf borderId="3" fillId="0" fontId="33" numFmtId="20" xfId="0" applyAlignment="1" applyBorder="1" applyFont="1" applyNumberFormat="1">
      <alignment horizontal="center" vertical="center"/>
    </xf>
    <xf borderId="22" fillId="6" fontId="31" numFmtId="0" xfId="0" applyAlignment="1" applyBorder="1" applyFill="1" applyFont="1">
      <alignment horizontal="left" vertical="center"/>
    </xf>
    <xf borderId="28" fillId="0" fontId="34" numFmtId="0" xfId="0" applyAlignment="1" applyBorder="1" applyFont="1">
      <alignment horizontal="center" vertical="center"/>
    </xf>
    <xf borderId="28" fillId="7" fontId="29" numFmtId="37" xfId="0" applyAlignment="1" applyBorder="1" applyFill="1" applyFont="1" applyNumberFormat="1">
      <alignment horizontal="right" vertical="center"/>
    </xf>
    <xf borderId="23" fillId="6" fontId="13" numFmtId="37" xfId="0" applyAlignment="1" applyBorder="1" applyFill="1" applyFont="1" applyNumberFormat="1">
      <alignment horizontal="left" vertical="center"/>
    </xf>
    <xf borderId="13" fillId="0" fontId="35" numFmtId="0" xfId="0" applyAlignment="1" applyBorder="1" applyFont="1">
      <alignment horizontal="left" vertical="center"/>
    </xf>
    <xf borderId="22" fillId="6" fontId="23" numFmtId="0" xfId="0" applyAlignment="1" applyBorder="1" applyFill="1" applyFont="1">
      <alignment horizontal="left" vertical="center"/>
    </xf>
    <xf borderId="22" fillId="6" fontId="32" numFmtId="0" xfId="0" applyAlignment="1" applyBorder="1" applyFill="1" applyFont="1">
      <alignment horizontal="left" vertical="center"/>
    </xf>
    <xf borderId="22" fillId="6" fontId="26" numFmtId="0" xfId="0" applyAlignment="1" applyBorder="1" applyFill="1" applyFont="1">
      <alignment horizontal="left" vertical="center"/>
    </xf>
    <xf borderId="28" fillId="7" fontId="30" numFmtId="37" xfId="0" applyAlignment="1" applyBorder="1" applyFill="1" applyFont="1" applyNumberFormat="1">
      <alignment horizontal="right" vertical="center"/>
    </xf>
    <xf borderId="0" fillId="0" fontId="36" numFmtId="0" xfId="0" applyAlignment="1" applyFont="1">
      <alignment horizontal="right" vertical="center"/>
    </xf>
    <xf borderId="23" fillId="6" fontId="16" numFmtId="37" xfId="0" applyAlignment="1" applyBorder="1" applyFill="1" applyFont="1" applyNumberFormat="1">
      <alignment horizontal="left" vertical="center"/>
    </xf>
    <xf borderId="17" fillId="0" fontId="37" numFmtId="0" xfId="0" applyAlignment="1" applyBorder="1" applyFont="1">
      <alignment vertical="center"/>
    </xf>
    <xf borderId="0" fillId="0" fontId="38" numFmtId="20" xfId="0" applyAlignment="1" applyFont="1" applyNumberFormat="1">
      <alignment vertical="center"/>
    </xf>
    <xf borderId="3" fillId="8" fontId="11" numFmtId="0" xfId="0" applyAlignment="1" applyBorder="1" applyFill="1" applyFont="1">
      <alignment horizontal="center" vertical="bottom"/>
    </xf>
    <xf borderId="0" fillId="0" fontId="39" numFmtId="0" xfId="0" applyAlignment="1" applyFont="1">
      <alignment horizontal="right" vertical="center"/>
    </xf>
    <xf borderId="0" fillId="0" fontId="10" numFmtId="0" xfId="0" applyAlignment="1" applyFont="1">
      <alignment vertical="center"/>
    </xf>
    <xf borderId="28" fillId="0" fontId="34" numFmtId="0" xfId="0" applyAlignment="1" applyBorder="1" applyFont="1">
      <alignment horizontal="center" shrinkToFit="0" vertical="center" wrapText="1"/>
    </xf>
    <xf borderId="3" fillId="8" fontId="11" numFmtId="0" xfId="0" applyAlignment="1" applyBorder="1" applyFill="1" applyFont="1">
      <alignment vertical="bottom"/>
    </xf>
    <xf borderId="0" fillId="0" fontId="36" numFmtId="0" xfId="0" applyAlignment="1" applyFont="1">
      <alignment vertical="center"/>
    </xf>
    <xf borderId="3" fillId="0" fontId="9" numFmtId="20" xfId="0" applyAlignment="1" applyBorder="1" applyFont="1" applyNumberFormat="1">
      <alignment horizontal="center" vertical="center"/>
    </xf>
    <xf borderId="0" fillId="0" fontId="38" numFmtId="0" xfId="0" applyAlignment="1" applyFont="1">
      <alignment vertical="center"/>
    </xf>
    <xf borderId="28" fillId="6" fontId="29" numFmtId="38" xfId="0" applyAlignment="1" applyBorder="1" applyFill="1" applyFont="1" applyNumberFormat="1">
      <alignment horizontal="right" vertical="center"/>
    </xf>
    <xf borderId="17" fillId="0" fontId="8" numFmtId="0" xfId="0" applyAlignment="1" applyBorder="1" applyFont="1">
      <alignment vertical="center"/>
    </xf>
    <xf borderId="9" fillId="0" fontId="40" numFmtId="0" xfId="0" applyAlignment="1" applyBorder="1" applyFont="1">
      <alignment horizontal="right" vertical="center"/>
    </xf>
    <xf borderId="3" fillId="0" fontId="21" numFmtId="20" xfId="0" applyAlignment="1" applyBorder="1" applyFont="1" applyNumberFormat="1">
      <alignment horizontal="center" vertical="center"/>
    </xf>
    <xf borderId="0" fillId="0" fontId="39" numFmtId="0" xfId="0" applyAlignment="1" applyFont="1">
      <alignment vertical="center"/>
    </xf>
    <xf borderId="28" fillId="6" fontId="30" numFmtId="38" xfId="0" applyAlignment="1" applyBorder="1" applyFill="1" applyFont="1" applyNumberFormat="1">
      <alignment horizontal="right" vertical="center"/>
    </xf>
    <xf borderId="13" fillId="0" fontId="35" numFmtId="164" xfId="0" applyAlignment="1" applyBorder="1" applyFont="1" applyNumberFormat="1">
      <alignment horizontal="left" vertical="center"/>
    </xf>
    <xf borderId="3" fillId="8" fontId="9" numFmtId="0" xfId="0" applyAlignment="1" applyBorder="1" applyFill="1" applyFont="1">
      <alignment horizontal="center" vertical="bottom"/>
    </xf>
    <xf borderId="3" fillId="6" fontId="31" numFmtId="0" xfId="0" applyAlignment="1" applyBorder="1" applyFill="1" applyFont="1">
      <alignment horizontal="left" vertical="center"/>
    </xf>
    <xf borderId="28" fillId="6" fontId="29" numFmtId="37" xfId="0" applyAlignment="1" applyBorder="1" applyFill="1" applyFont="1" applyNumberFormat="1">
      <alignment horizontal="right" vertical="center"/>
    </xf>
    <xf borderId="0" fillId="0" fontId="24" numFmtId="0" xfId="0" applyAlignment="1" applyFont="1">
      <alignment horizontal="left" shrinkToFit="0" vertical="center" wrapText="1"/>
    </xf>
    <xf borderId="3" fillId="6" fontId="23" numFmtId="0" xfId="0" applyAlignment="1" applyBorder="1" applyFill="1" applyFont="1">
      <alignment horizontal="left" vertical="center"/>
    </xf>
    <xf borderId="3" fillId="6" fontId="26" numFmtId="0" xfId="0" applyAlignment="1" applyBorder="1" applyFill="1" applyFont="1">
      <alignment horizontal="left" vertical="center"/>
    </xf>
    <xf borderId="13" fillId="0" fontId="41" numFmtId="0" xfId="0" applyAlignment="1" applyBorder="1" applyFont="1">
      <alignment vertical="center"/>
    </xf>
    <xf borderId="26" fillId="0" fontId="42" numFmtId="0" xfId="0" applyAlignment="1" applyBorder="1" applyFont="1">
      <alignment vertical="center"/>
    </xf>
    <xf borderId="28" fillId="6" fontId="30" numFmtId="37" xfId="0" applyAlignment="1" applyBorder="1" applyFill="1" applyFont="1" applyNumberFormat="1">
      <alignment horizontal="right" vertical="center"/>
    </xf>
    <xf borderId="0" fillId="0" fontId="43" numFmtId="0" xfId="0" applyAlignment="1" applyFont="1">
      <alignment horizontal="right" vertical="center"/>
    </xf>
    <xf borderId="17" fillId="0" fontId="44" numFmtId="0" xfId="0" applyAlignment="1" applyBorder="1" applyFont="1">
      <alignment vertical="center"/>
    </xf>
    <xf borderId="0" fillId="0" fontId="44" numFmtId="20" xfId="0" applyAlignment="1" applyFont="1" applyNumberFormat="1">
      <alignment vertical="center"/>
    </xf>
    <xf borderId="0" fillId="0" fontId="44" numFmtId="0" xfId="0" applyAlignment="1" applyFont="1">
      <alignment vertical="center"/>
    </xf>
    <xf borderId="3" fillId="4" fontId="11" numFmtId="167" xfId="0" applyAlignment="1" applyBorder="1" applyFill="1" applyFont="1" applyNumberFormat="1">
      <alignment vertical="bottom"/>
    </xf>
    <xf borderId="3" fillId="4" fontId="9" numFmtId="0" xfId="0" applyAlignment="1" applyBorder="1" applyFill="1" applyFont="1">
      <alignment horizontal="center" vertical="bottom"/>
    </xf>
    <xf borderId="0" fillId="0" fontId="43" numFmtId="0" xfId="0" applyAlignment="1" applyFont="1">
      <alignment vertical="center"/>
    </xf>
    <xf borderId="18" fillId="6" fontId="31" numFmtId="0" xfId="0" applyAlignment="1" applyBorder="1" applyFill="1" applyFont="1">
      <alignment horizontal="left" vertical="center"/>
    </xf>
    <xf borderId="39" fillId="6" fontId="31" numFmtId="0" xfId="0" applyAlignment="1" applyBorder="1" applyFill="1" applyFont="1">
      <alignment horizontal="left" vertical="center"/>
    </xf>
    <xf borderId="40" fillId="6" fontId="31" numFmtId="0" xfId="0" applyAlignment="1" applyBorder="1" applyFill="1" applyFont="1">
      <alignment horizontal="left" vertical="center"/>
    </xf>
    <xf borderId="9" fillId="0" fontId="45" numFmtId="0" xfId="0" applyAlignment="1" applyBorder="1" applyFont="1">
      <alignment horizontal="right" shrinkToFit="0" vertical="bottom" wrapText="1"/>
    </xf>
    <xf borderId="28" fillId="6" fontId="31" numFmtId="0" xfId="0" applyAlignment="1" applyBorder="1" applyFill="1" applyFont="1">
      <alignment horizontal="left" vertical="center"/>
    </xf>
    <xf borderId="0" fillId="0" fontId="44" numFmtId="0" xfId="0" applyAlignment="1" applyFont="1">
      <alignment horizontal="center" vertical="bottom"/>
    </xf>
    <xf borderId="39" fillId="6" fontId="23" numFmtId="0" xfId="0" applyAlignment="1" applyBorder="1" applyFill="1" applyFont="1">
      <alignment horizontal="left" vertical="center"/>
    </xf>
    <xf borderId="40" fillId="6" fontId="23" numFmtId="0" xfId="0" applyAlignment="1" applyBorder="1" applyFill="1" applyFont="1">
      <alignment horizontal="left" vertical="center"/>
    </xf>
    <xf borderId="0" fillId="0" fontId="46" numFmtId="0" xfId="0" applyAlignment="1" applyFont="1">
      <alignment vertical="center"/>
    </xf>
    <xf borderId="28" fillId="6" fontId="23" numFmtId="0" xfId="0" applyAlignment="1" applyBorder="1" applyFill="1" applyFont="1">
      <alignment horizontal="left" vertical="center"/>
    </xf>
    <xf borderId="18" fillId="6" fontId="32" numFmtId="0" xfId="0" applyAlignment="1" applyBorder="1" applyFill="1" applyFont="1">
      <alignment horizontal="left" vertical="center"/>
    </xf>
    <xf borderId="39" fillId="6" fontId="32" numFmtId="0" xfId="0" applyAlignment="1" applyBorder="1" applyFill="1" applyFont="1">
      <alignment horizontal="left" vertical="center"/>
    </xf>
    <xf borderId="39" fillId="6" fontId="26" numFmtId="0" xfId="0" applyAlignment="1" applyBorder="1" applyFill="1" applyFont="1">
      <alignment horizontal="left" vertical="center"/>
    </xf>
    <xf borderId="40" fillId="6" fontId="26" numFmtId="0" xfId="0" applyAlignment="1" applyBorder="1" applyFill="1" applyFont="1">
      <alignment horizontal="left" vertical="center"/>
    </xf>
    <xf borderId="28" fillId="6" fontId="26" numFmtId="0" xfId="0" applyAlignment="1" applyBorder="1" applyFill="1" applyFont="1">
      <alignment horizontal="left" vertical="center"/>
    </xf>
    <xf borderId="0" fillId="0" fontId="47" numFmtId="0" xfId="0" applyAlignment="1" applyFont="1">
      <alignment vertical="center"/>
    </xf>
    <xf borderId="41" fillId="6" fontId="31" numFmtId="0" xfId="0" applyAlignment="1" applyBorder="1" applyFill="1" applyFont="1">
      <alignment horizontal="left" vertical="center"/>
    </xf>
    <xf borderId="42" fillId="6" fontId="31" numFmtId="0" xfId="0" applyAlignment="1" applyBorder="1" applyFill="1" applyFont="1">
      <alignment horizontal="left" vertical="center"/>
    </xf>
    <xf borderId="41" fillId="6" fontId="32" numFmtId="0" xfId="0" applyAlignment="1" applyBorder="1" applyFill="1" applyFont="1">
      <alignment horizontal="left" vertical="center"/>
    </xf>
    <xf borderId="43" fillId="6" fontId="7" numFmtId="0" xfId="0" applyAlignment="1" applyBorder="1" applyFill="1" applyFont="1">
      <alignment horizontal="center" vertical="center"/>
    </xf>
    <xf borderId="42" fillId="6" fontId="32" numFmtId="0" xfId="0" applyAlignment="1" applyBorder="1" applyFill="1" applyFont="1">
      <alignment horizontal="left" vertical="center"/>
    </xf>
    <xf borderId="44" fillId="6" fontId="7" numFmtId="0" xfId="0" applyAlignment="1" applyBorder="1" applyFill="1" applyFont="1">
      <alignment horizontal="center" vertical="center"/>
    </xf>
    <xf borderId="45" fillId="6" fontId="7" numFmtId="0" xfId="0" applyAlignment="1" applyBorder="1" applyFill="1" applyFont="1">
      <alignment horizontal="center" vertical="center"/>
    </xf>
    <xf borderId="43" fillId="6" fontId="23" numFmtId="0" xfId="0" applyAlignment="1" applyBorder="1" applyFill="1" applyFont="1">
      <alignment horizontal="left" vertical="center"/>
    </xf>
    <xf borderId="28" fillId="0" fontId="29" numFmtId="37" xfId="0" applyAlignment="1" applyBorder="1" applyFont="1" applyNumberFormat="1">
      <alignment horizontal="right" vertical="center"/>
    </xf>
    <xf borderId="44" fillId="0" fontId="5" numFmtId="0" xfId="0" applyAlignment="1" applyBorder="1" applyFont="1">
      <alignment vertical="center"/>
    </xf>
    <xf borderId="45" fillId="0" fontId="5" numFmtId="0" xfId="0" applyAlignment="1" applyBorder="1" applyFont="1">
      <alignment vertical="center"/>
    </xf>
    <xf borderId="9" fillId="6" fontId="7" numFmtId="0" xfId="0" applyAlignment="1" applyBorder="1" applyFill="1" applyFont="1">
      <alignment horizontal="center" vertical="center"/>
    </xf>
    <xf borderId="0" fillId="6" fontId="7" numFmtId="0" xfId="0" applyAlignment="1" applyFill="1" applyFont="1">
      <alignment horizontal="center" vertical="center"/>
    </xf>
    <xf borderId="10" fillId="6" fontId="7" numFmtId="0" xfId="0" applyAlignment="1" applyBorder="1" applyFill="1" applyFont="1">
      <alignment horizontal="center" vertical="center"/>
    </xf>
    <xf borderId="28" fillId="0" fontId="30" numFmtId="37" xfId="0" applyAlignment="1" applyBorder="1" applyFont="1" applyNumberFormat="1">
      <alignment horizontal="right" vertical="center"/>
    </xf>
    <xf borderId="9" fillId="6" fontId="23" numFmtId="0" xfId="0" applyAlignment="1" applyBorder="1" applyFill="1" applyFont="1">
      <alignment horizontal="left" vertical="center"/>
    </xf>
    <xf borderId="10" fillId="0" fontId="5" numFmtId="0" xfId="0" applyAlignment="1" applyBorder="1" applyFont="1">
      <alignment vertical="center"/>
    </xf>
    <xf borderId="0" fillId="0" fontId="9" numFmtId="0" xfId="0" applyAlignment="1" applyFont="1">
      <alignment vertical="bottom"/>
    </xf>
    <xf borderId="0" fillId="0" fontId="11" numFmtId="0" xfId="0" applyAlignment="1" applyFont="1">
      <alignment vertical="bottom"/>
    </xf>
    <xf borderId="32" fillId="0" fontId="3" numFmtId="0" xfId="0" applyAlignment="1" applyBorder="1" applyFont="1">
      <alignment vertical="center"/>
    </xf>
    <xf borderId="46" fillId="6" fontId="7" numFmtId="0" xfId="0" applyAlignment="1" applyBorder="1" applyFill="1" applyFont="1">
      <alignment horizontal="center" vertical="center"/>
    </xf>
    <xf borderId="22" fillId="6" fontId="23" numFmtId="0" xfId="0" applyAlignment="1" applyBorder="1" applyFill="1" applyFont="1">
      <alignment horizontal="right" vertical="center"/>
    </xf>
    <xf borderId="33" fillId="0" fontId="1" numFmtId="0" xfId="0" applyAlignment="1" applyBorder="1" applyFont="1">
      <alignment horizontal="center" vertical="center"/>
    </xf>
    <xf borderId="47" fillId="6" fontId="7" numFmtId="0" xfId="0" applyAlignment="1" applyBorder="1" applyFill="1" applyFont="1">
      <alignment horizontal="center" vertical="center"/>
    </xf>
    <xf borderId="22" fillId="6" fontId="26" numFmtId="0" xfId="0" applyAlignment="1" applyBorder="1" applyFill="1" applyFont="1">
      <alignment horizontal="right" vertical="center"/>
    </xf>
    <xf borderId="34" fillId="0" fontId="3" numFmtId="0" xfId="0" applyAlignment="1" applyBorder="1" applyFont="1">
      <alignment horizontal="center" vertical="center"/>
    </xf>
    <xf borderId="48" fillId="6" fontId="7" numFmtId="0" xfId="0" applyAlignment="1" applyBorder="1" applyFill="1" applyFont="1">
      <alignment horizontal="center" vertical="center"/>
    </xf>
    <xf borderId="46" fillId="6" fontId="23" numFmtId="0" xfId="0" applyAlignment="1" applyBorder="1" applyFill="1" applyFont="1">
      <alignment horizontal="left" vertical="center"/>
    </xf>
    <xf borderId="47" fillId="6" fontId="23" numFmtId="0" xfId="0" applyAlignment="1" applyBorder="1" applyFill="1" applyFont="1">
      <alignment horizontal="left" vertical="center"/>
    </xf>
    <xf borderId="48" fillId="6" fontId="23" numFmtId="0" xfId="0" applyAlignment="1" applyBorder="1" applyFill="1" applyFont="1">
      <alignment horizontal="left" vertical="center"/>
    </xf>
    <xf borderId="36" fillId="0" fontId="1" numFmtId="0" xfId="0" applyAlignment="1" applyBorder="1" applyFont="1">
      <alignment horizontal="center" vertical="center"/>
    </xf>
    <xf borderId="9" fillId="0" fontId="48" numFmtId="0" xfId="0" applyAlignment="1" applyBorder="1" applyFont="1">
      <alignment horizontal="left" vertical="center"/>
    </xf>
    <xf borderId="49" fillId="0" fontId="49" numFmtId="0" xfId="0" applyAlignment="1" applyBorder="1" applyFont="1">
      <alignment horizontal="center" vertical="center"/>
    </xf>
    <xf borderId="50" fillId="0" fontId="5" numFmtId="0" xfId="0" applyAlignment="1" applyBorder="1" applyFont="1">
      <alignment vertical="center"/>
    </xf>
    <xf borderId="51" fillId="0" fontId="5" numFmtId="0" xfId="0" applyAlignment="1" applyBorder="1" applyFont="1">
      <alignment vertical="center"/>
    </xf>
    <xf borderId="0" fillId="0" fontId="48" numFmtId="0" xfId="0" applyAlignment="1" applyFont="1">
      <alignment horizontal="right" vertical="center"/>
    </xf>
    <xf borderId="17" fillId="0" fontId="49" numFmtId="0" xfId="0" applyAlignment="1" applyBorder="1" applyFont="1">
      <alignment horizontal="center" vertical="center"/>
    </xf>
    <xf borderId="0" fillId="0" fontId="49" numFmtId="20" xfId="0" applyAlignment="1" applyFont="1" applyNumberFormat="1">
      <alignment vertical="center"/>
    </xf>
    <xf borderId="0" fillId="0" fontId="29" numFmtId="0" xfId="0" applyAlignment="1" applyFont="1">
      <alignment horizontal="right" vertical="center"/>
    </xf>
    <xf borderId="3" fillId="0" fontId="46" numFmtId="0" xfId="0" applyAlignment="1" applyBorder="1" applyFont="1">
      <alignment horizontal="center" vertical="center"/>
    </xf>
    <xf borderId="3" fillId="0" fontId="50" numFmtId="0" xfId="0" applyAlignment="1" applyBorder="1" applyFont="1">
      <alignment horizontal="center" vertical="center"/>
    </xf>
    <xf borderId="0" fillId="0" fontId="18" numFmtId="0" xfId="0" applyAlignment="1" applyFont="1">
      <alignment horizontal="right" vertical="center"/>
    </xf>
    <xf borderId="3" fillId="0" fontId="46" numFmtId="20" xfId="0" applyAlignment="1" applyBorder="1" applyFont="1" applyNumberFormat="1">
      <alignment horizontal="center" vertical="center"/>
    </xf>
    <xf borderId="0" fillId="0" fontId="23" numFmtId="0" xfId="0" applyAlignment="1" applyFont="1">
      <alignment vertical="center"/>
    </xf>
    <xf borderId="0" fillId="0" fontId="23" numFmtId="0" xfId="0" applyAlignment="1" applyFont="1">
      <alignment horizontal="center" vertical="center"/>
    </xf>
    <xf borderId="0" fillId="0" fontId="51" numFmtId="0" xfId="0" applyAlignment="1" applyFont="1">
      <alignment vertical="bottom"/>
    </xf>
    <xf borderId="28" fillId="0" fontId="50" numFmtId="0" xfId="0" applyAlignment="1" applyBorder="1" applyFont="1">
      <alignment horizontal="center" shrinkToFit="0" vertical="center" wrapText="1"/>
    </xf>
    <xf borderId="0" fillId="0" fontId="49" numFmtId="0" xfId="0" applyAlignment="1" applyFont="1">
      <alignment horizontal="right" vertical="center"/>
    </xf>
    <xf borderId="0" fillId="0" fontId="3" numFmtId="0" xfId="0" applyAlignment="1" applyFont="1">
      <alignment horizontal="center" vertical="center"/>
    </xf>
    <xf borderId="28" fillId="2" fontId="29" numFmtId="37" xfId="0" applyAlignment="1" applyBorder="1" applyFill="1" applyFont="1" applyNumberFormat="1">
      <alignment horizontal="right" vertical="center"/>
    </xf>
    <xf borderId="0" fillId="0" fontId="52" numFmtId="0" xfId="0" applyAlignment="1" applyFont="1">
      <alignment horizontal="left" shrinkToFit="0" vertical="center" wrapText="1"/>
    </xf>
    <xf borderId="28" fillId="2" fontId="30" numFmtId="37" xfId="0" applyAlignment="1" applyBorder="1" applyFill="1" applyFont="1" applyNumberFormat="1">
      <alignment horizontal="right" vertical="center"/>
    </xf>
    <xf borderId="17" fillId="0" fontId="23" numFmtId="0" xfId="0" applyAlignment="1" applyBorder="1" applyFont="1">
      <alignment horizontal="center" vertical="center"/>
    </xf>
    <xf borderId="0" fillId="0" fontId="23" numFmtId="20" xfId="0" applyAlignment="1" applyFont="1" applyNumberFormat="1">
      <alignment vertical="center"/>
    </xf>
    <xf borderId="49" fillId="0" fontId="23" numFmtId="0" xfId="0" applyAlignment="1" applyBorder="1" applyFont="1">
      <alignment horizontal="center" vertical="center"/>
    </xf>
    <xf borderId="3" fillId="0" fontId="50" numFmtId="20" xfId="0" applyAlignment="1" applyBorder="1" applyFont="1" applyNumberFormat="1">
      <alignment horizontal="center" vertical="center"/>
    </xf>
    <xf borderId="17" fillId="0" fontId="26" numFmtId="0" xfId="0" applyAlignment="1" applyBorder="1" applyFont="1">
      <alignment horizontal="center" vertical="center"/>
    </xf>
    <xf borderId="28" fillId="7" fontId="29" numFmtId="168" xfId="0" applyAlignment="1" applyBorder="1" applyFill="1" applyFont="1" applyNumberFormat="1">
      <alignment horizontal="right" vertical="center"/>
    </xf>
    <xf borderId="0" fillId="0" fontId="24" numFmtId="0" xfId="0" applyAlignment="1" applyFont="1">
      <alignment horizontal="right" shrinkToFit="0" vertical="bottom" wrapText="1"/>
    </xf>
    <xf borderId="0" fillId="0" fontId="23" numFmtId="0" xfId="0" applyAlignment="1" applyFont="1">
      <alignment horizontal="center" vertical="bottom"/>
    </xf>
    <xf borderId="0" fillId="0" fontId="47" numFmtId="0" xfId="0" applyAlignment="1" applyFont="1">
      <alignment horizontal="center" vertical="center"/>
    </xf>
    <xf borderId="9" fillId="0" fontId="9" numFmtId="0" xfId="0" applyAlignment="1" applyBorder="1" applyFont="1">
      <alignment vertical="center"/>
    </xf>
    <xf borderId="28" fillId="7" fontId="30" numFmtId="168" xfId="0" applyAlignment="1" applyBorder="1" applyFill="1" applyFont="1" applyNumberFormat="1">
      <alignment horizontal="right" vertical="center"/>
    </xf>
    <xf borderId="0" fillId="0" fontId="8" numFmtId="0" xfId="0" applyAlignment="1" applyFont="1">
      <alignment vertical="center"/>
    </xf>
    <xf borderId="0" fillId="0" fontId="53" numFmtId="0" xfId="0" applyAlignment="1" applyFont="1">
      <alignment vertical="center"/>
    </xf>
    <xf borderId="3" fillId="0" fontId="3" numFmtId="0" xfId="0" applyAlignment="1" applyBorder="1" applyFont="1">
      <alignment horizontal="center" vertical="center"/>
    </xf>
    <xf borderId="28" fillId="0" fontId="9" numFmtId="0" xfId="0" applyAlignment="1" applyBorder="1" applyFont="1">
      <alignment horizontal="center" vertical="center"/>
    </xf>
    <xf borderId="3" fillId="0" fontId="3" numFmtId="20" xfId="0" applyAlignment="1" applyBorder="1" applyFont="1" applyNumberFormat="1">
      <alignment horizontal="center" vertical="center"/>
    </xf>
    <xf borderId="28" fillId="0" fontId="3" numFmtId="0" xfId="0" applyAlignment="1" applyBorder="1" applyFont="1">
      <alignment horizontal="center" shrinkToFit="0" vertical="center" wrapText="1"/>
    </xf>
    <xf borderId="29" fillId="0" fontId="9" numFmtId="0" xfId="0" applyAlignment="1" applyBorder="1" applyFont="1">
      <alignment vertical="center"/>
    </xf>
    <xf borderId="29" fillId="0" fontId="3" numFmtId="0" xfId="0" applyAlignment="1" applyBorder="1" applyFont="1">
      <alignment vertical="center"/>
    </xf>
    <xf borderId="30" fillId="0" fontId="9" numFmtId="0" xfId="0" applyAlignment="1" applyBorder="1" applyFont="1">
      <alignment vertical="center"/>
    </xf>
    <xf borderId="30" fillId="0" fontId="3" numFmtId="0" xfId="0" applyAlignment="1" applyBorder="1" applyFont="1">
      <alignment vertical="center"/>
    </xf>
    <xf borderId="0" fillId="0" fontId="9" numFmtId="0" xfId="0" applyAlignment="1" applyFont="1">
      <alignment horizontal="center" vertical="center"/>
    </xf>
    <xf borderId="0" fillId="0" fontId="9" numFmtId="20" xfId="0" applyAlignment="1" applyFont="1" applyNumberFormat="1">
      <alignment horizontal="center" vertical="center"/>
    </xf>
    <xf borderId="0" fillId="0" fontId="3" numFmtId="20" xfId="0" applyAlignment="1" applyFont="1" applyNumberFormat="1">
      <alignment horizontal="center" vertical="center"/>
    </xf>
    <xf borderId="32" fillId="0" fontId="9" numFmtId="0" xfId="0" applyAlignment="1" applyBorder="1" applyFont="1">
      <alignment horizontal="center" vertical="center"/>
    </xf>
    <xf borderId="32" fillId="0" fontId="3" numFmtId="0" xfId="0" applyAlignment="1" applyBorder="1" applyFont="1">
      <alignment horizontal="center" vertical="center"/>
    </xf>
    <xf borderId="28" fillId="0" fontId="11" numFmtId="0" xfId="0" applyAlignment="1" applyBorder="1" applyFont="1">
      <alignment horizontal="center" vertical="center"/>
    </xf>
    <xf borderId="35" fillId="0" fontId="1" numFmtId="0" xfId="0" applyAlignment="1" applyBorder="1" applyFont="1">
      <alignment horizontal="center" vertical="center"/>
    </xf>
    <xf borderId="22" fillId="4" fontId="9" numFmtId="0" xfId="0" applyAlignment="1" applyBorder="1" applyFill="1" applyFont="1">
      <alignment vertical="bottom"/>
    </xf>
    <xf borderId="22" fillId="4" fontId="10" numFmtId="0" xfId="0" applyAlignment="1" applyBorder="1" applyFill="1" applyFont="1">
      <alignment vertical="bottom"/>
    </xf>
    <xf borderId="35" fillId="0" fontId="3" numFmtId="0" xfId="0" applyAlignment="1" applyBorder="1" applyFont="1">
      <alignment horizontal="center" vertical="center"/>
    </xf>
    <xf borderId="38" fillId="0" fontId="1" numFmtId="0" xfId="0" applyAlignment="1" applyBorder="1" applyFont="1">
      <alignment horizontal="center" vertical="center"/>
    </xf>
    <xf borderId="3" fillId="0" fontId="3" numFmtId="0" xfId="0" applyAlignment="1" applyBorder="1" applyFont="1">
      <alignment vertical="center"/>
    </xf>
    <xf borderId="18" fillId="6" fontId="54" numFmtId="0" xfId="0" applyAlignment="1" applyBorder="1" applyFill="1" applyFont="1">
      <alignment shrinkToFit="0" vertical="center" wrapText="1"/>
    </xf>
    <xf borderId="39" fillId="6" fontId="54" numFmtId="0" xfId="0" applyAlignment="1" applyBorder="1" applyFill="1" applyFont="1">
      <alignment vertical="center"/>
    </xf>
    <xf borderId="40" fillId="6" fontId="54" numFmtId="0" xfId="0" applyAlignment="1" applyBorder="1" applyFill="1" applyFont="1">
      <alignment vertical="center"/>
    </xf>
    <xf borderId="23" fillId="6" fontId="54" numFmtId="0" xfId="0" applyAlignment="1" applyBorder="1" applyFill="1" applyFont="1">
      <alignment horizontal="center" vertical="center"/>
    </xf>
    <xf borderId="38" fillId="0" fontId="3" numFmtId="0" xfId="0" applyAlignment="1" applyBorder="1" applyFont="1">
      <alignment horizontal="center" vertical="center"/>
    </xf>
    <xf borderId="36" fillId="0" fontId="11" numFmtId="0" xfId="0" applyAlignment="1" applyBorder="1" applyFont="1">
      <alignment vertical="center"/>
    </xf>
    <xf borderId="36" fillId="0" fontId="11" numFmtId="0" xfId="0" applyAlignment="1" applyBorder="1" applyFont="1">
      <alignment horizontal="center" vertical="center"/>
    </xf>
    <xf borderId="28" fillId="6" fontId="29" numFmtId="3" xfId="0" applyAlignment="1" applyBorder="1" applyFill="1" applyFont="1" applyNumberFormat="1">
      <alignment horizontal="right" vertical="center"/>
    </xf>
    <xf borderId="3" fillId="0" fontId="9" numFmtId="0" xfId="0" applyAlignment="1" applyBorder="1" applyFont="1">
      <alignment vertical="center"/>
    </xf>
    <xf borderId="28" fillId="6" fontId="11" numFmtId="0" xfId="0" applyAlignment="1" applyBorder="1" applyFill="1" applyFont="1">
      <alignment horizontal="left" shrinkToFit="0" vertical="center" wrapText="1"/>
    </xf>
    <xf borderId="18" fillId="6" fontId="9" numFmtId="0" xfId="0" applyAlignment="1" applyBorder="1" applyFill="1" applyFont="1">
      <alignment shrinkToFit="0" vertical="center" wrapText="1"/>
    </xf>
    <xf borderId="30" fillId="0" fontId="11" numFmtId="0" xfId="0" applyAlignment="1" applyBorder="1" applyFont="1">
      <alignment horizontal="center" vertical="center"/>
    </xf>
    <xf borderId="39" fillId="6" fontId="9" numFmtId="0" xfId="0" applyAlignment="1" applyBorder="1" applyFill="1" applyFont="1">
      <alignment vertical="center"/>
    </xf>
    <xf borderId="28" fillId="6" fontId="30" numFmtId="3" xfId="0" applyAlignment="1" applyBorder="1" applyFill="1" applyFont="1" applyNumberFormat="1">
      <alignment horizontal="right" vertical="center"/>
    </xf>
    <xf borderId="52" fillId="6" fontId="11" numFmtId="0" xfId="0" applyAlignment="1" applyBorder="1" applyFill="1" applyFont="1">
      <alignment horizontal="left" shrinkToFit="0" vertical="center" wrapText="1"/>
    </xf>
    <xf borderId="40" fillId="6" fontId="9" numFmtId="0" xfId="0" applyAlignment="1" applyBorder="1" applyFill="1" applyFont="1">
      <alignment vertical="center"/>
    </xf>
    <xf borderId="36" fillId="0" fontId="9" numFmtId="0" xfId="0" applyAlignment="1" applyBorder="1" applyFont="1">
      <alignment vertical="center"/>
    </xf>
    <xf borderId="23" fillId="6" fontId="54" numFmtId="0" xfId="0" applyAlignment="1" applyBorder="1" applyFill="1" applyFont="1">
      <alignment horizontal="center" shrinkToFit="0" vertical="center" wrapText="1"/>
    </xf>
    <xf borderId="28" fillId="6" fontId="23" numFmtId="0" xfId="0" applyAlignment="1" applyBorder="1" applyFill="1" applyFont="1">
      <alignment horizontal="right" vertical="center"/>
    </xf>
    <xf borderId="28" fillId="6" fontId="26" numFmtId="0" xfId="0" applyAlignment="1" applyBorder="1" applyFill="1" applyFont="1">
      <alignment horizontal="right" vertical="center"/>
    </xf>
    <xf borderId="33" fillId="0" fontId="4" numFmtId="0" xfId="0" applyAlignment="1" applyBorder="1" applyFont="1">
      <alignment horizontal="center" vertical="center"/>
    </xf>
    <xf borderId="33" fillId="0" fontId="53" numFmtId="0" xfId="0" applyAlignment="1" applyBorder="1" applyFont="1">
      <alignment horizontal="center" vertical="center"/>
    </xf>
    <xf borderId="34" fillId="0" fontId="53" numFmtId="0" xfId="0" applyAlignment="1" applyBorder="1" applyFont="1">
      <alignment horizontal="center" vertical="center"/>
    </xf>
    <xf borderId="53" fillId="0" fontId="53" numFmtId="0" xfId="0" applyAlignment="1" applyBorder="1" applyFont="1">
      <alignment horizontal="center" vertical="center"/>
    </xf>
    <xf borderId="54" fillId="0" fontId="5" numFmtId="0" xfId="0" applyAlignment="1" applyBorder="1" applyFont="1">
      <alignment vertical="center"/>
    </xf>
    <xf borderId="32" fillId="0" fontId="4" numFmtId="0" xfId="0" applyAlignment="1" applyBorder="1" applyFont="1">
      <alignment horizontal="center" vertical="center"/>
    </xf>
    <xf borderId="36" fillId="0" fontId="4" numFmtId="0" xfId="0" applyAlignment="1" applyBorder="1" applyFont="1">
      <alignment horizontal="center" vertical="center"/>
    </xf>
    <xf borderId="0" fillId="0" fontId="11" numFmtId="0" xfId="0" applyAlignment="1" applyFont="1">
      <alignment horizontal="center" vertical="center"/>
    </xf>
    <xf borderId="31" fillId="0" fontId="4" numFmtId="0" xfId="0" applyAlignment="1" applyBorder="1" applyFont="1">
      <alignment horizontal="center" vertical="center"/>
    </xf>
    <xf borderId="55" fillId="0" fontId="9" numFmtId="0" xfId="0" applyAlignment="1" applyBorder="1" applyFont="1">
      <alignment horizontal="center" vertical="center"/>
    </xf>
    <xf borderId="54" fillId="0" fontId="11" numFmtId="0" xfId="0" applyAlignment="1" applyBorder="1" applyFont="1">
      <alignment horizontal="center" vertical="center"/>
    </xf>
    <xf borderId="3" fillId="0" fontId="23" numFmtId="0" xfId="0" applyAlignment="1" applyBorder="1" applyFont="1">
      <alignment horizontal="center" vertical="center"/>
    </xf>
    <xf borderId="3" fillId="0" fontId="23" numFmtId="20" xfId="0" applyAlignment="1" applyBorder="1" applyFont="1" applyNumberFormat="1">
      <alignment horizontal="center" vertical="center"/>
    </xf>
    <xf borderId="46" fillId="0" fontId="3" numFmtId="0" xfId="0" applyAlignment="1" applyBorder="1" applyFont="1">
      <alignment vertical="center"/>
    </xf>
    <xf borderId="47" fillId="0" fontId="3" numFmtId="0" xfId="0" applyAlignment="1" applyBorder="1" applyFont="1">
      <alignment vertical="center"/>
    </xf>
    <xf borderId="28" fillId="0" fontId="23" numFmtId="0" xfId="0" applyAlignment="1" applyBorder="1" applyFont="1">
      <alignment horizontal="center" shrinkToFit="0" vertical="center" wrapText="1"/>
    </xf>
    <xf borderId="56" fillId="6" fontId="11" numFmtId="0" xfId="0" applyAlignment="1" applyBorder="1" applyFill="1" applyFont="1">
      <alignment horizontal="left" shrinkToFit="0" vertical="center" wrapText="1"/>
    </xf>
    <xf borderId="57" fillId="0" fontId="5" numFmtId="0" xfId="0" applyAlignment="1" applyBorder="1" applyFont="1">
      <alignment vertical="center"/>
    </xf>
    <xf borderId="37" fillId="0" fontId="29" numFmtId="0" xfId="0" applyAlignment="1" applyBorder="1" applyFont="1">
      <alignment horizontal="center" vertical="center"/>
    </xf>
    <xf borderId="48" fillId="0" fontId="3" numFmtId="0" xfId="0" applyAlignment="1" applyBorder="1" applyFont="1">
      <alignment vertical="center"/>
    </xf>
    <xf borderId="58" fillId="0" fontId="5" numFmtId="0" xfId="0" applyAlignment="1" applyBorder="1" applyFont="1">
      <alignment vertical="center"/>
    </xf>
    <xf borderId="28" fillId="0" fontId="23" numFmtId="0" xfId="0" applyAlignment="1" applyBorder="1" applyFont="1">
      <alignment horizontal="center" vertical="center"/>
    </xf>
    <xf borderId="28" fillId="0" fontId="23" numFmtId="20" xfId="0" applyAlignment="1" applyBorder="1" applyFont="1" applyNumberFormat="1">
      <alignment horizontal="center" vertical="center"/>
    </xf>
    <xf borderId="59" fillId="0" fontId="3" numFmtId="0" xfId="0" applyAlignment="1" applyBorder="1" applyFont="1">
      <alignment vertical="center"/>
    </xf>
    <xf borderId="20" fillId="6" fontId="31" numFmtId="0" xfId="0" applyAlignment="1" applyBorder="1" applyFill="1" applyFont="1">
      <alignment horizontal="left" vertical="center"/>
    </xf>
    <xf borderId="22" fillId="6" fontId="31" numFmtId="0" xfId="0" applyAlignment="1" applyBorder="1" applyFill="1" applyFont="1">
      <alignment vertical="center"/>
    </xf>
    <xf borderId="22" fillId="6" fontId="32" numFmtId="0" xfId="0" applyAlignment="1" applyBorder="1" applyFill="1" applyFont="1">
      <alignment vertical="center"/>
    </xf>
    <xf borderId="55" fillId="0" fontId="9" numFmtId="0" xfId="0" applyAlignment="1" applyBorder="1" applyFont="1">
      <alignment vertical="center"/>
    </xf>
    <xf borderId="55" fillId="0" fontId="11" numFmtId="0" xfId="0" applyAlignment="1" applyBorder="1" applyFont="1">
      <alignment horizontal="center" vertical="center"/>
    </xf>
    <xf borderId="20" fillId="6" fontId="22" numFmtId="0" xfId="0" applyAlignment="1" applyBorder="1" applyFill="1" applyFont="1">
      <alignment horizontal="left" vertical="center"/>
    </xf>
    <xf borderId="20" fillId="6" fontId="25" numFmtId="0" xfId="0" applyAlignment="1" applyBorder="1" applyFill="1" applyFont="1">
      <alignment horizontal="left" vertical="center"/>
    </xf>
    <xf borderId="28" fillId="0" fontId="11" numFmtId="0" xfId="0" applyAlignment="1" applyBorder="1" applyFont="1">
      <alignment horizontal="left" vertical="center"/>
    </xf>
    <xf borderId="20" fillId="6" fontId="22" numFmtId="38" xfId="0" applyAlignment="1" applyBorder="1" applyFill="1" applyFont="1" applyNumberFormat="1">
      <alignment horizontal="left" vertical="center"/>
    </xf>
    <xf borderId="20" fillId="6" fontId="25" numFmtId="38" xfId="0" applyAlignment="1" applyBorder="1" applyFill="1" applyFont="1" applyNumberFormat="1">
      <alignment horizontal="left" vertical="center"/>
    </xf>
    <xf borderId="60" fillId="6" fontId="13" numFmtId="165" xfId="0" applyAlignment="1" applyBorder="1" applyFill="1" applyFont="1" applyNumberFormat="1">
      <alignment horizontal="left" vertical="center"/>
    </xf>
    <xf borderId="61" fillId="6" fontId="13" numFmtId="165" xfId="0" applyAlignment="1" applyBorder="1" applyFill="1" applyFont="1" applyNumberFormat="1">
      <alignment horizontal="left" vertical="center"/>
    </xf>
    <xf borderId="61" fillId="6" fontId="2" numFmtId="0" xfId="0" applyAlignment="1" applyBorder="1" applyFill="1" applyFont="1">
      <alignment horizontal="left" vertical="center"/>
    </xf>
    <xf borderId="62" fillId="6" fontId="2" numFmtId="0" xfId="0" applyAlignment="1" applyBorder="1" applyFill="1" applyFont="1">
      <alignment horizontal="left" vertical="center"/>
    </xf>
    <xf borderId="60" fillId="6" fontId="16" numFmtId="165" xfId="0" applyAlignment="1" applyBorder="1" applyFill="1" applyFont="1" applyNumberFormat="1">
      <alignment horizontal="left" vertical="center"/>
    </xf>
    <xf borderId="61" fillId="6" fontId="16" numFmtId="165" xfId="0" applyAlignment="1" applyBorder="1" applyFill="1" applyFont="1" applyNumberFormat="1">
      <alignment horizontal="left" vertical="center"/>
    </xf>
    <xf borderId="61" fillId="6" fontId="17" numFmtId="0" xfId="0" applyAlignment="1" applyBorder="1" applyFill="1" applyFont="1">
      <alignment horizontal="left" vertical="center"/>
    </xf>
    <xf borderId="62" fillId="6" fontId="17" numFmtId="0" xfId="0" applyAlignment="1" applyBorder="1" applyFill="1" applyFont="1">
      <alignment horizontal="left" vertical="center"/>
    </xf>
    <xf borderId="47" fillId="0" fontId="9" numFmtId="0" xfId="0" applyAlignment="1" applyBorder="1" applyFont="1">
      <alignment vertical="center"/>
    </xf>
    <xf borderId="34" fillId="0" fontId="4" numFmtId="0" xfId="0" applyAlignment="1" applyBorder="1" applyFont="1">
      <alignment horizontal="center" vertical="center"/>
    </xf>
    <xf borderId="37" fillId="0" fontId="4" numFmtId="0" xfId="0" applyAlignment="1" applyBorder="1" applyFont="1">
      <alignment horizontal="center" vertical="center"/>
    </xf>
    <xf borderId="28" fillId="0" fontId="3" numFmtId="0" xfId="0" applyAlignment="1" applyBorder="1" applyFont="1">
      <alignment vertical="center"/>
    </xf>
    <xf borderId="63" fillId="6" fontId="54" numFmtId="0" xfId="0" applyAlignment="1" applyBorder="1" applyFill="1" applyFont="1">
      <alignment horizontal="center" vertical="center"/>
    </xf>
    <xf borderId="37" fillId="0" fontId="11" numFmtId="0" xfId="0" applyAlignment="1" applyBorder="1" applyFont="1">
      <alignment horizontal="center" vertical="center"/>
    </xf>
    <xf borderId="0" fillId="0" fontId="3" numFmtId="169" xfId="0" applyAlignment="1" applyFont="1" applyNumberFormat="1">
      <alignment horizontal="left" vertical="center"/>
    </xf>
    <xf borderId="47" fillId="0" fontId="28" numFmtId="0" xfId="0" applyAlignment="1" applyBorder="1" applyFont="1">
      <alignment vertical="center"/>
    </xf>
    <xf borderId="48" fillId="0" fontId="28" numFmtId="0" xfId="0" applyAlignment="1" applyBorder="1" applyFont="1">
      <alignment vertical="center"/>
    </xf>
    <xf borderId="0" fillId="0" fontId="6" numFmtId="0" xfId="0" applyAlignment="1" applyFont="1">
      <alignment horizontal="center" vertical="bottom"/>
    </xf>
    <xf borderId="0" fillId="0" fontId="55" numFmtId="0" xfId="0" applyAlignment="1" applyFont="1">
      <alignment vertical="center"/>
    </xf>
    <xf borderId="3" fillId="8" fontId="11" numFmtId="20" xfId="0" applyAlignment="1" applyBorder="1" applyFill="1" applyFont="1" applyNumberFormat="1">
      <alignment horizontal="center" vertical="bottom"/>
    </xf>
    <xf borderId="28" fillId="6" fontId="31" numFmtId="0" xfId="0" applyAlignment="1" applyBorder="1" applyFill="1" applyFont="1">
      <alignment horizontal="center" vertical="center"/>
    </xf>
    <xf borderId="28" fillId="6" fontId="32" numFmtId="0" xfId="0" applyAlignment="1" applyBorder="1" applyFill="1" applyFont="1">
      <alignment horizontal="center" vertical="center"/>
    </xf>
    <xf borderId="28" fillId="0" fontId="25" numFmtId="0" xfId="0" applyAlignment="1" applyBorder="1" applyFont="1">
      <alignment horizontal="center" vertical="center"/>
    </xf>
    <xf borderId="28" fillId="6" fontId="25" numFmtId="20" xfId="0" applyAlignment="1" applyBorder="1" applyFill="1" applyFont="1" applyNumberFormat="1">
      <alignment horizontal="center" vertical="center"/>
    </xf>
    <xf borderId="28" fillId="8" fontId="25" numFmtId="0" xfId="0" applyAlignment="1" applyBorder="1" applyFill="1" applyFont="1">
      <alignment horizontal="center" vertical="center"/>
    </xf>
    <xf borderId="28" fillId="6" fontId="25" numFmtId="38" xfId="0" applyAlignment="1" applyBorder="1" applyFill="1" applyFont="1" applyNumberFormat="1">
      <alignment horizontal="center" vertical="center"/>
    </xf>
    <xf borderId="28" fillId="6" fontId="32" numFmtId="166" xfId="0" applyAlignment="1" applyBorder="1" applyFill="1" applyFont="1" applyNumberFormat="1">
      <alignment horizontal="center" vertical="center"/>
    </xf>
    <xf borderId="28" fillId="7" fontId="25" numFmtId="37" xfId="0" applyAlignment="1" applyBorder="1" applyFill="1" applyFont="1" applyNumberFormat="1">
      <alignment horizontal="right" vertical="center"/>
    </xf>
    <xf borderId="18" fillId="8" fontId="9" numFmtId="0" xfId="0" applyAlignment="1" applyBorder="1" applyFill="1" applyFont="1">
      <alignment horizontal="center" vertical="bottom"/>
    </xf>
    <xf borderId="28" fillId="6" fontId="25" numFmtId="38" xfId="0" applyAlignment="1" applyBorder="1" applyFill="1" applyFont="1" applyNumberFormat="1">
      <alignment horizontal="right" vertical="center"/>
    </xf>
    <xf borderId="27" fillId="8" fontId="9" numFmtId="0" xfId="0" applyAlignment="1" applyBorder="1" applyFill="1" applyFont="1">
      <alignment horizontal="center" vertical="bottom"/>
    </xf>
    <xf borderId="64" fillId="8" fontId="9" numFmtId="0" xfId="0" applyAlignment="1" applyBorder="1" applyFill="1" applyFont="1">
      <alignment horizontal="center" vertical="bottom"/>
    </xf>
    <xf borderId="3" fillId="6" fontId="32" numFmtId="0" xfId="0" applyAlignment="1" applyBorder="1" applyFill="1" applyFont="1">
      <alignment horizontal="left" vertical="center"/>
    </xf>
    <xf borderId="28" fillId="6" fontId="25" numFmtId="37" xfId="0" applyAlignment="1" applyBorder="1" applyFill="1" applyFont="1" applyNumberFormat="1">
      <alignment horizontal="right" vertical="center"/>
    </xf>
    <xf borderId="3" fillId="4" fontId="9" numFmtId="0" xfId="0" applyAlignment="1" applyBorder="1" applyFill="1" applyFont="1">
      <alignment vertical="bottom"/>
    </xf>
    <xf borderId="40" fillId="6" fontId="32" numFmtId="0" xfId="0" applyAlignment="1" applyBorder="1" applyFill="1" applyFont="1">
      <alignment horizontal="left" vertical="center"/>
    </xf>
    <xf borderId="28" fillId="6" fontId="32" numFmtId="0" xfId="0" applyAlignment="1" applyBorder="1" applyFill="1" applyFont="1">
      <alignment horizontal="left" vertical="center"/>
    </xf>
    <xf borderId="28" fillId="0" fontId="25" numFmtId="37" xfId="0" applyAlignment="1" applyBorder="1" applyFont="1" applyNumberFormat="1">
      <alignment horizontal="right" vertical="center"/>
    </xf>
    <xf borderId="22" fillId="6" fontId="32" numFmtId="0" xfId="0" applyAlignment="1" applyBorder="1" applyFill="1" applyFont="1">
      <alignment horizontal="right" vertical="center"/>
    </xf>
    <xf borderId="28" fillId="2" fontId="25" numFmtId="37" xfId="0" applyAlignment="1" applyBorder="1" applyFill="1" applyFont="1" applyNumberFormat="1">
      <alignment horizontal="right" vertical="center"/>
    </xf>
    <xf borderId="28" fillId="7" fontId="25" numFmtId="168" xfId="0" applyAlignment="1" applyBorder="1" applyFill="1" applyFont="1" applyNumberFormat="1">
      <alignment horizontal="right" vertical="center"/>
    </xf>
    <xf borderId="13" fillId="0" fontId="35" numFmtId="170" xfId="0" applyAlignment="1" applyBorder="1" applyFont="1" applyNumberFormat="1">
      <alignment horizontal="left" vertical="center"/>
    </xf>
    <xf borderId="26" fillId="0" fontId="41" numFmtId="0" xfId="0" applyAlignment="1" applyBorder="1" applyFont="1">
      <alignment vertical="center"/>
    </xf>
    <xf borderId="17" fillId="0" fontId="6" numFmtId="0" xfId="0" applyAlignment="1" applyBorder="1" applyFont="1">
      <alignment vertical="center"/>
    </xf>
    <xf borderId="0" fillId="0" fontId="6" numFmtId="0" xfId="0" applyAlignment="1" applyFont="1">
      <alignment vertical="center"/>
    </xf>
    <xf borderId="0" fillId="0" fontId="50" numFmtId="0" xfId="0" applyAlignment="1" applyFont="1">
      <alignment vertical="center"/>
    </xf>
    <xf borderId="28" fillId="6" fontId="25" numFmtId="3" xfId="0" applyAlignment="1" applyBorder="1" applyFill="1" applyFont="1" applyNumberFormat="1">
      <alignment horizontal="right" vertical="center"/>
    </xf>
    <xf borderId="28" fillId="6" fontId="32" numFmtId="0" xfId="0" applyAlignment="1" applyBorder="1" applyFill="1" applyFont="1">
      <alignment horizontal="right" vertical="center"/>
    </xf>
    <xf borderId="36" fillId="0" fontId="9" numFmtId="0" xfId="0" applyAlignment="1" applyBorder="1" applyFont="1">
      <alignment horizontal="center" vertical="center"/>
    </xf>
    <xf borderId="28" fillId="0" fontId="50" numFmtId="0" xfId="0" applyAlignment="1" applyBorder="1" applyFont="1">
      <alignment horizontal="center" vertical="center"/>
    </xf>
    <xf borderId="28" fillId="0" fontId="46" numFmtId="0" xfId="0" applyAlignment="1" applyBorder="1" applyFont="1">
      <alignment horizontal="center" shrinkToFit="0" vertical="center" wrapText="1"/>
    </xf>
    <xf borderId="20" fillId="6" fontId="32" numFmtId="0" xfId="0" applyAlignment="1" applyBorder="1" applyFill="1" applyFont="1">
      <alignment horizontal="left" vertical="center"/>
    </xf>
    <xf borderId="3" fillId="9" fontId="11" numFmtId="0" xfId="0" applyAlignment="1" applyBorder="1" applyFill="1" applyFont="1">
      <alignment horizontal="center" vertical="bottom"/>
    </xf>
    <xf borderId="3" fillId="9" fontId="11" numFmtId="20" xfId="0" applyAlignment="1" applyBorder="1" applyFill="1" applyFont="1" applyNumberFormat="1">
      <alignment horizontal="center" vertical="bottom"/>
    </xf>
    <xf borderId="28" fillId="6" fontId="13" numFmtId="0" xfId="0" applyAlignment="1" applyBorder="1" applyFill="1" applyFont="1">
      <alignment horizontal="center" vertical="center"/>
    </xf>
    <xf borderId="3" fillId="6" fontId="13" numFmtId="0" xfId="0" applyAlignment="1" applyBorder="1" applyFill="1" applyFont="1">
      <alignment horizontal="left" vertical="center"/>
    </xf>
    <xf borderId="35" fillId="0" fontId="9" numFmtId="0" xfId="0" applyAlignment="1" applyBorder="1" applyFont="1">
      <alignment horizontal="center" vertical="center"/>
    </xf>
    <xf borderId="38" fillId="0" fontId="9" numFmtId="0" xfId="0" applyAlignment="1" applyBorder="1" applyFont="1">
      <alignment horizontal="center" vertical="center"/>
    </xf>
    <xf borderId="28" fillId="0" fontId="13" numFmtId="0" xfId="0" applyAlignment="1" applyBorder="1" applyFont="1">
      <alignment horizontal="center" vertical="center"/>
    </xf>
    <xf borderId="3" fillId="0" fontId="11" numFmtId="0" xfId="0" applyAlignment="1" applyBorder="1" applyFont="1">
      <alignment vertical="center"/>
    </xf>
    <xf borderId="55" fillId="0" fontId="11" numFmtId="0" xfId="0" applyAlignment="1" applyBorder="1" applyFont="1">
      <alignment vertical="center"/>
    </xf>
    <xf borderId="35" fillId="0" fontId="11" numFmtId="0" xfId="0" applyAlignment="1" applyBorder="1" applyFont="1">
      <alignment horizontal="center" vertical="center"/>
    </xf>
    <xf borderId="28" fillId="6" fontId="13" numFmtId="166" xfId="0" applyAlignment="1" applyBorder="1" applyFill="1" applyFont="1" applyNumberFormat="1">
      <alignment horizontal="center" vertical="center"/>
    </xf>
    <xf borderId="22" fillId="6" fontId="13" numFmtId="0" xfId="0" applyAlignment="1" applyBorder="1" applyFill="1" applyFont="1">
      <alignment horizontal="left" vertical="center"/>
    </xf>
    <xf borderId="22" fillId="6" fontId="2" numFmtId="165" xfId="0" applyAlignment="1" applyBorder="1" applyFill="1" applyFont="1" applyNumberFormat="1">
      <alignment horizontal="left" vertical="center"/>
    </xf>
    <xf borderId="22" fillId="6" fontId="2" numFmtId="165" xfId="0" applyAlignment="1" applyBorder="1" applyFill="1" applyFont="1" applyNumberFormat="1">
      <alignment horizontal="left" shrinkToFit="0" vertical="center" wrapText="1"/>
    </xf>
    <xf borderId="3" fillId="9" fontId="9" numFmtId="0" xfId="0" applyAlignment="1" applyBorder="1" applyFill="1" applyFont="1">
      <alignment horizontal="center" vertical="bottom"/>
    </xf>
    <xf borderId="18" fillId="9" fontId="9" numFmtId="0" xfId="0" applyAlignment="1" applyBorder="1" applyFill="1" applyFont="1">
      <alignment horizontal="center" vertical="bottom"/>
    </xf>
    <xf borderId="3" fillId="9" fontId="9" numFmtId="0" xfId="0" applyAlignment="1" applyBorder="1" applyFill="1" applyFont="1">
      <alignment vertical="bottom"/>
    </xf>
    <xf borderId="3" fillId="6" fontId="2" numFmtId="0" xfId="0" applyAlignment="1" applyBorder="1" applyFill="1" applyFont="1">
      <alignment horizontal="left" vertical="center"/>
    </xf>
    <xf borderId="65" fillId="9" fontId="9" numFmtId="0" xfId="0" applyAlignment="1" applyBorder="1" applyFill="1" applyFont="1">
      <alignment horizontal="center" vertical="bottom"/>
    </xf>
    <xf borderId="0" fillId="0" fontId="56" numFmtId="0" xfId="0" applyAlignment="1" applyFont="1">
      <alignment vertical="center"/>
    </xf>
    <xf borderId="22" fillId="9" fontId="9" numFmtId="0" xfId="0" applyAlignment="1" applyBorder="1" applyFill="1" applyFont="1">
      <alignment vertical="bottom"/>
    </xf>
    <xf borderId="22" fillId="9" fontId="10" numFmtId="0" xfId="0" applyAlignment="1" applyBorder="1" applyFill="1" applyFont="1">
      <alignment vertical="bottom"/>
    </xf>
    <xf borderId="0" fillId="0" fontId="31" numFmtId="0" xfId="0" applyAlignment="1" applyFont="1">
      <alignment horizontal="left" vertical="center"/>
    </xf>
    <xf borderId="66" fillId="8" fontId="9" numFmtId="0" xfId="0" applyAlignment="1" applyBorder="1" applyFill="1" applyFont="1">
      <alignment horizontal="center" shrinkToFit="0" vertical="bottom" wrapText="1"/>
    </xf>
    <xf borderId="67" fillId="0" fontId="5" numFmtId="0" xfId="0" applyAlignment="1" applyBorder="1" applyFont="1">
      <alignment vertical="center"/>
    </xf>
    <xf borderId="68" fillId="0" fontId="5" numFmtId="0" xfId="0" applyAlignment="1" applyBorder="1" applyFont="1">
      <alignment vertical="center"/>
    </xf>
    <xf borderId="17" fillId="0" fontId="37" numFmtId="0" xfId="0" applyAlignment="1" applyBorder="1" applyFont="1">
      <alignment horizontal="right" vertical="center"/>
    </xf>
    <xf borderId="10" fillId="0" fontId="9" numFmtId="0" xfId="0" applyAlignment="1" applyBorder="1" applyFont="1">
      <alignment vertical="center"/>
    </xf>
    <xf borderId="11" fillId="6" fontId="57" numFmtId="165" xfId="0" applyAlignment="1" applyBorder="1" applyFill="1" applyFont="1" applyNumberFormat="1">
      <alignment horizontal="left" vertical="center"/>
    </xf>
    <xf borderId="12" fillId="6" fontId="58" numFmtId="0" xfId="0" applyAlignment="1" applyBorder="1" applyFill="1" applyFont="1">
      <alignment horizontal="left" vertical="center"/>
    </xf>
    <xf borderId="14" fillId="6" fontId="59" numFmtId="0" xfId="0" applyAlignment="1" applyBorder="1" applyFill="1" applyFont="1">
      <alignment horizontal="left" vertical="center"/>
    </xf>
    <xf borderId="0" fillId="0" fontId="60" numFmtId="0" xfId="0" applyAlignment="1" applyFont="1">
      <alignment horizontal="right" vertical="center"/>
    </xf>
    <xf borderId="17" fillId="0" fontId="61" numFmtId="0" xfId="0" applyAlignment="1" applyBorder="1" applyFont="1">
      <alignment vertical="center"/>
    </xf>
    <xf borderId="0" fillId="0" fontId="61" numFmtId="20" xfId="0" applyAlignment="1" applyFont="1" applyNumberFormat="1">
      <alignment vertical="center"/>
    </xf>
    <xf borderId="0" fillId="0" fontId="61" numFmtId="0" xfId="0" applyAlignment="1" applyFont="1">
      <alignment vertical="center"/>
    </xf>
    <xf borderId="0" fillId="0" fontId="60" numFmtId="0" xfId="0" applyAlignment="1" applyFont="1">
      <alignment vertical="center"/>
    </xf>
    <xf borderId="19" fillId="6" fontId="57" numFmtId="165" xfId="0" applyAlignment="1" applyBorder="1" applyFill="1" applyFont="1" applyNumberFormat="1">
      <alignment horizontal="left" vertical="center"/>
    </xf>
    <xf borderId="20" fillId="6" fontId="58" numFmtId="0" xfId="0" applyAlignment="1" applyBorder="1" applyFill="1" applyFont="1">
      <alignment horizontal="left" vertical="center"/>
    </xf>
    <xf borderId="22" fillId="6" fontId="58" numFmtId="0" xfId="0" applyAlignment="1" applyBorder="1" applyFill="1" applyFont="1">
      <alignment horizontal="left" vertical="center"/>
    </xf>
    <xf borderId="4" fillId="6" fontId="58" numFmtId="0" xfId="0" applyAlignment="1" applyBorder="1" applyFill="1" applyFont="1">
      <alignment horizontal="center" vertical="center"/>
    </xf>
    <xf borderId="23" fillId="6" fontId="59" numFmtId="0" xfId="0" applyAlignment="1" applyBorder="1" applyFill="1" applyFont="1">
      <alignment horizontal="left" vertical="center"/>
    </xf>
    <xf borderId="3" fillId="8" fontId="53" numFmtId="0" xfId="0" applyAlignment="1" applyBorder="1" applyFill="1" applyFont="1">
      <alignment horizontal="center" vertical="bottom"/>
    </xf>
    <xf borderId="3" fillId="8" fontId="53" numFmtId="20" xfId="0" applyAlignment="1" applyBorder="1" applyFill="1" applyFont="1" applyNumberFormat="1">
      <alignment horizontal="center" vertical="bottom"/>
    </xf>
    <xf borderId="0" fillId="0" fontId="62" numFmtId="0" xfId="0" applyAlignment="1" applyFont="1">
      <alignment vertical="center"/>
    </xf>
    <xf borderId="22" fillId="6" fontId="57" numFmtId="165" xfId="0" applyAlignment="1" applyBorder="1" applyFill="1" applyFont="1" applyNumberFormat="1">
      <alignment horizontal="left" vertical="center"/>
    </xf>
    <xf borderId="22" fillId="6" fontId="59" numFmtId="0" xfId="0" applyAlignment="1" applyBorder="1" applyFill="1" applyFont="1">
      <alignment horizontal="left" vertical="center"/>
    </xf>
    <xf borderId="24" fillId="6" fontId="58" numFmtId="0" xfId="0" applyAlignment="1" applyBorder="1" applyFill="1" applyFont="1">
      <alignment horizontal="left" vertical="center"/>
    </xf>
    <xf borderId="31" fillId="0" fontId="9" numFmtId="0" xfId="0" applyAlignment="1" applyBorder="1" applyFont="1">
      <alignment vertical="center"/>
    </xf>
    <xf borderId="22" fillId="6" fontId="57" numFmtId="0" xfId="0" applyAlignment="1" applyBorder="1" applyFill="1" applyFont="1">
      <alignment horizontal="left" shrinkToFit="0" vertical="center" wrapText="1"/>
    </xf>
    <xf borderId="3" fillId="8" fontId="4" numFmtId="20" xfId="0" applyAlignment="1" applyBorder="1" applyFill="1" applyFont="1" applyNumberFormat="1">
      <alignment horizontal="center" vertical="bottom"/>
    </xf>
    <xf borderId="10" fillId="0" fontId="9" numFmtId="0" xfId="0" applyAlignment="1" applyBorder="1" applyFont="1">
      <alignment horizontal="left" vertical="top"/>
    </xf>
    <xf borderId="28" fillId="6" fontId="63" numFmtId="0" xfId="0" applyAlignment="1" applyBorder="1" applyFill="1" applyFont="1">
      <alignment horizontal="left" vertical="center"/>
    </xf>
    <xf borderId="28" fillId="6" fontId="64" numFmtId="0" xfId="0" applyAlignment="1" applyBorder="1" applyFill="1" applyFont="1">
      <alignment horizontal="center" vertical="center"/>
    </xf>
    <xf borderId="3" fillId="6" fontId="63" numFmtId="0" xfId="0" applyAlignment="1" applyBorder="1" applyFill="1" applyFont="1">
      <alignment horizontal="left" vertical="center"/>
    </xf>
    <xf borderId="10" fillId="0" fontId="9" numFmtId="0" xfId="0" applyAlignment="1" applyBorder="1" applyFont="1">
      <alignment horizontal="left" vertical="center"/>
    </xf>
    <xf borderId="10" fillId="0" fontId="9" numFmtId="0" xfId="0" applyAlignment="1" applyBorder="1" applyFont="1">
      <alignment horizontal="left" shrinkToFit="0" vertical="center" wrapText="1"/>
    </xf>
    <xf borderId="28" fillId="0" fontId="22" numFmtId="0" xfId="0" applyAlignment="1" applyBorder="1" applyFont="1">
      <alignment horizontal="center" vertical="center"/>
    </xf>
    <xf borderId="28" fillId="6" fontId="22" numFmtId="20" xfId="0" applyAlignment="1" applyBorder="1" applyFill="1" applyFont="1" applyNumberFormat="1">
      <alignment horizontal="center" vertical="center"/>
    </xf>
    <xf borderId="28" fillId="0" fontId="65" numFmtId="0" xfId="0" applyAlignment="1" applyBorder="1" applyFont="1">
      <alignment horizontal="center" vertical="center"/>
    </xf>
    <xf borderId="10" fillId="0" fontId="9" numFmtId="0" xfId="0" applyAlignment="1" applyBorder="1" applyFont="1">
      <alignment horizontal="center" vertical="center"/>
    </xf>
    <xf borderId="28" fillId="6" fontId="65" numFmtId="20" xfId="0" applyAlignment="1" applyBorder="1" applyFill="1" applyFont="1" applyNumberFormat="1">
      <alignment horizontal="center" vertical="center"/>
    </xf>
    <xf borderId="23" fillId="6" fontId="57" numFmtId="0" xfId="0" applyAlignment="1" applyBorder="1" applyFill="1" applyFont="1">
      <alignment horizontal="left" vertical="center"/>
    </xf>
    <xf borderId="28" fillId="6" fontId="22" numFmtId="38" xfId="0" applyAlignment="1" applyBorder="1" applyFill="1" applyFont="1" applyNumberFormat="1">
      <alignment horizontal="center" vertical="center"/>
    </xf>
    <xf borderId="28" fillId="6" fontId="65" numFmtId="38" xfId="0" applyAlignment="1" applyBorder="1" applyFill="1" applyFont="1" applyNumberFormat="1">
      <alignment horizontal="center" vertical="center"/>
    </xf>
    <xf borderId="23" fillId="6" fontId="9" numFmtId="0" xfId="0" applyAlignment="1" applyBorder="1" applyFill="1" applyFont="1">
      <alignment horizontal="center" vertical="center"/>
    </xf>
    <xf borderId="28" fillId="6" fontId="31" numFmtId="166" xfId="0" applyAlignment="1" applyBorder="1" applyFill="1" applyFont="1" applyNumberFormat="1">
      <alignment horizontal="center" vertical="center"/>
    </xf>
    <xf borderId="28" fillId="6" fontId="64" numFmtId="166" xfId="0" applyAlignment="1" applyBorder="1" applyFill="1" applyFont="1" applyNumberFormat="1">
      <alignment horizontal="center" vertical="center"/>
    </xf>
    <xf borderId="33" fillId="0" fontId="11" numFmtId="0" xfId="0" applyAlignment="1" applyBorder="1" applyFont="1">
      <alignment vertical="center"/>
    </xf>
    <xf borderId="33" fillId="0" fontId="11" numFmtId="0" xfId="0" applyAlignment="1" applyBorder="1" applyFont="1">
      <alignment horizontal="center" vertical="center"/>
    </xf>
    <xf borderId="23" fillId="6" fontId="9" numFmtId="0" xfId="0" applyAlignment="1" applyBorder="1" applyFill="1" applyFont="1">
      <alignment horizontal="center" shrinkToFit="0" vertical="center" wrapText="1"/>
    </xf>
    <xf borderId="22" fillId="6" fontId="63" numFmtId="165" xfId="0" applyAlignment="1" applyBorder="1" applyFill="1" applyFont="1" applyNumberFormat="1">
      <alignment horizontal="left" vertical="center"/>
    </xf>
    <xf borderId="22" fillId="6" fontId="63" numFmtId="0" xfId="0" applyAlignment="1" applyBorder="1" applyFill="1" applyFont="1">
      <alignment horizontal="left" vertical="center"/>
    </xf>
    <xf borderId="22" fillId="6" fontId="66" numFmtId="165" xfId="0" applyAlignment="1" applyBorder="1" applyFill="1" applyFont="1" applyNumberFormat="1">
      <alignment horizontal="left" vertical="center"/>
    </xf>
    <xf borderId="22" fillId="6" fontId="66" numFmtId="165" xfId="0" applyAlignment="1" applyBorder="1" applyFill="1" applyFont="1" applyNumberFormat="1">
      <alignment horizontal="left" shrinkToFit="0" vertical="center" wrapText="1"/>
    </xf>
    <xf borderId="23" fillId="6" fontId="59" numFmtId="165" xfId="0" applyAlignment="1" applyBorder="1" applyFill="1" applyFont="1" applyNumberFormat="1">
      <alignment horizontal="left" vertical="center"/>
    </xf>
    <xf borderId="28" fillId="7" fontId="22" numFmtId="37" xfId="0" applyAlignment="1" applyBorder="1" applyFill="1" applyFont="1" applyNumberFormat="1">
      <alignment horizontal="right" vertical="center"/>
    </xf>
    <xf borderId="0" fillId="0" fontId="9" numFmtId="0" xfId="0" applyAlignment="1" applyFont="1">
      <alignment horizontal="right" vertical="center"/>
    </xf>
    <xf borderId="22" fillId="6" fontId="66" numFmtId="0" xfId="0" applyAlignment="1" applyBorder="1" applyFill="1" applyFont="1">
      <alignment horizontal="left" vertical="center"/>
    </xf>
    <xf borderId="22" fillId="6" fontId="64" numFmtId="0" xfId="0" applyAlignment="1" applyBorder="1" applyFill="1" applyFont="1">
      <alignment horizontal="left" vertical="center"/>
    </xf>
    <xf borderId="28" fillId="7" fontId="65" numFmtId="37" xfId="0" applyAlignment="1" applyBorder="1" applyFill="1" applyFont="1" applyNumberFormat="1">
      <alignment horizontal="right" vertical="center"/>
    </xf>
    <xf borderId="23" fillId="6" fontId="57" numFmtId="37" xfId="0" applyAlignment="1" applyBorder="1" applyFill="1" applyFont="1" applyNumberFormat="1">
      <alignment horizontal="left" vertical="center"/>
    </xf>
    <xf borderId="3" fillId="8" fontId="4" numFmtId="0" xfId="0" applyAlignment="1" applyBorder="1" applyFill="1" applyFont="1">
      <alignment vertical="bottom"/>
    </xf>
    <xf borderId="28" fillId="6" fontId="22" numFmtId="38" xfId="0" applyAlignment="1" applyBorder="1" applyFill="1" applyFont="1" applyNumberFormat="1">
      <alignment horizontal="right" vertical="center"/>
    </xf>
    <xf borderId="28" fillId="6" fontId="65" numFmtId="38" xfId="0" applyAlignment="1" applyBorder="1" applyFill="1" applyFont="1" applyNumberFormat="1">
      <alignment horizontal="right" vertical="center"/>
    </xf>
    <xf borderId="28" fillId="6" fontId="22" numFmtId="37" xfId="0" applyAlignment="1" applyBorder="1" applyFill="1" applyFont="1" applyNumberFormat="1">
      <alignment horizontal="right" vertical="center"/>
    </xf>
    <xf borderId="3" fillId="6" fontId="64" numFmtId="0" xfId="0" applyAlignment="1" applyBorder="1" applyFill="1" applyFont="1">
      <alignment horizontal="left" vertical="center"/>
    </xf>
    <xf borderId="28" fillId="6" fontId="65" numFmtId="37" xfId="0" applyAlignment="1" applyBorder="1" applyFill="1" applyFont="1" applyNumberFormat="1">
      <alignment horizontal="right" vertical="center"/>
    </xf>
    <xf borderId="3" fillId="9" fontId="4" numFmtId="167" xfId="0" applyAlignment="1" applyBorder="1" applyFill="1" applyFont="1" applyNumberFormat="1">
      <alignment vertical="bottom"/>
    </xf>
    <xf borderId="18" fillId="6" fontId="66" numFmtId="0" xfId="0" applyAlignment="1" applyBorder="1" applyFill="1" applyFont="1">
      <alignment horizontal="left" vertical="center"/>
    </xf>
    <xf borderId="39" fillId="6" fontId="66" numFmtId="0" xfId="0" applyAlignment="1" applyBorder="1" applyFill="1" applyFont="1">
      <alignment horizontal="left" vertical="center"/>
    </xf>
    <xf borderId="39" fillId="6" fontId="64" numFmtId="0" xfId="0" applyAlignment="1" applyBorder="1" applyFill="1" applyFont="1">
      <alignment horizontal="left" vertical="center"/>
    </xf>
    <xf borderId="40" fillId="6" fontId="64" numFmtId="0" xfId="0" applyAlignment="1" applyBorder="1" applyFill="1" applyFont="1">
      <alignment horizontal="left" vertical="center"/>
    </xf>
    <xf borderId="28" fillId="6" fontId="64" numFmtId="0" xfId="0" applyAlignment="1" applyBorder="1" applyFill="1" applyFont="1">
      <alignment horizontal="left" vertical="center"/>
    </xf>
    <xf borderId="0" fillId="0" fontId="67" numFmtId="0" xfId="0" applyAlignment="1" applyFont="1">
      <alignment horizontal="right" vertical="center"/>
    </xf>
    <xf borderId="17" fillId="0" fontId="68" numFmtId="0" xfId="0" applyAlignment="1" applyBorder="1" applyFont="1">
      <alignment vertical="center"/>
    </xf>
    <xf borderId="0" fillId="0" fontId="55" numFmtId="20" xfId="0" applyAlignment="1" applyFont="1" applyNumberFormat="1">
      <alignment vertical="center"/>
    </xf>
    <xf borderId="41" fillId="6" fontId="66" numFmtId="0" xfId="0" applyAlignment="1" applyBorder="1" applyFill="1" applyFont="1">
      <alignment horizontal="left" vertical="center"/>
    </xf>
    <xf borderId="42" fillId="6" fontId="66" numFmtId="0" xfId="0" applyAlignment="1" applyBorder="1" applyFill="1" applyFont="1">
      <alignment horizontal="left" vertical="center"/>
    </xf>
    <xf borderId="0" fillId="0" fontId="67" numFmtId="0" xfId="0" applyAlignment="1" applyFont="1">
      <alignment vertical="center"/>
    </xf>
    <xf borderId="28" fillId="0" fontId="22" numFmtId="37" xfId="0" applyAlignment="1" applyBorder="1" applyFont="1" applyNumberFormat="1">
      <alignment horizontal="right" vertical="center"/>
    </xf>
    <xf borderId="0" fillId="0" fontId="69" numFmtId="0" xfId="0" applyAlignment="1" applyFont="1">
      <alignment vertical="center"/>
    </xf>
    <xf borderId="28" fillId="0" fontId="65" numFmtId="37" xfId="0" applyAlignment="1" applyBorder="1" applyFont="1" applyNumberFormat="1">
      <alignment horizontal="right" vertical="center"/>
    </xf>
    <xf borderId="22" fillId="6" fontId="31" numFmtId="0" xfId="0" applyAlignment="1" applyBorder="1" applyFill="1" applyFont="1">
      <alignment horizontal="right" vertical="center"/>
    </xf>
    <xf borderId="22" fillId="6" fontId="64" numFmtId="0" xfId="0" applyAlignment="1" applyBorder="1" applyFill="1" applyFont="1">
      <alignment horizontal="right" vertical="center"/>
    </xf>
    <xf borderId="0" fillId="0" fontId="61" numFmtId="0" xfId="0" applyAlignment="1" applyFont="1">
      <alignment horizontal="center" vertical="bottom"/>
    </xf>
    <xf borderId="28" fillId="2" fontId="22" numFmtId="37" xfId="0" applyAlignment="1" applyBorder="1" applyFill="1" applyFont="1" applyNumberFormat="1">
      <alignment horizontal="right" vertical="center"/>
    </xf>
    <xf borderId="28" fillId="2" fontId="65" numFmtId="37" xfId="0" applyAlignment="1" applyBorder="1" applyFill="1" applyFont="1" applyNumberFormat="1">
      <alignment horizontal="right" vertical="center"/>
    </xf>
    <xf borderId="28" fillId="7" fontId="22" numFmtId="168" xfId="0" applyAlignment="1" applyBorder="1" applyFill="1" applyFont="1" applyNumberFormat="1">
      <alignment horizontal="right" vertical="center"/>
    </xf>
    <xf borderId="28" fillId="7" fontId="65" numFmtId="168" xfId="0" applyAlignment="1" applyBorder="1" applyFill="1" applyFont="1" applyNumberFormat="1">
      <alignment horizontal="right" vertical="center"/>
    </xf>
    <xf borderId="22" fillId="9" fontId="2" numFmtId="0" xfId="0" applyAlignment="1" applyBorder="1" applyFill="1" applyFont="1">
      <alignment vertical="bottom"/>
    </xf>
    <xf borderId="28" fillId="6" fontId="22" numFmtId="3" xfId="0" applyAlignment="1" applyBorder="1" applyFill="1" applyFont="1" applyNumberFormat="1">
      <alignment horizontal="right" vertical="center"/>
    </xf>
    <xf borderId="28" fillId="6" fontId="65" numFmtId="3" xfId="0" applyAlignment="1" applyBorder="1" applyFill="1" applyFont="1" applyNumberFormat="1">
      <alignment horizontal="right" vertical="center"/>
    </xf>
    <xf borderId="3" fillId="0" fontId="33" numFmtId="0" xfId="0" applyAlignment="1" applyBorder="1" applyFont="1">
      <alignment horizontal="center" vertical="center"/>
    </xf>
    <xf borderId="28" fillId="0" fontId="33" numFmtId="0" xfId="0" applyAlignment="1" applyBorder="1" applyFont="1">
      <alignment horizontal="center" shrinkToFit="0" vertical="center" wrapText="1"/>
    </xf>
    <xf borderId="28" fillId="6" fontId="31" numFmtId="0" xfId="0" applyAlignment="1" applyBorder="1" applyFill="1" applyFont="1">
      <alignment horizontal="right" vertical="center"/>
    </xf>
    <xf borderId="28" fillId="6" fontId="64" numFmtId="0" xfId="0" applyAlignment="1" applyBorder="1" applyFill="1" applyFont="1">
      <alignment horizontal="right" vertical="center"/>
    </xf>
    <xf borderId="3" fillId="0" fontId="69" numFmtId="0" xfId="0" applyAlignment="1" applyBorder="1" applyFont="1">
      <alignment horizontal="center" vertical="center"/>
    </xf>
    <xf borderId="3" fillId="0" fontId="34" numFmtId="20" xfId="0" applyAlignment="1" applyBorder="1" applyFont="1" applyNumberFormat="1">
      <alignment horizontal="center" vertical="center"/>
    </xf>
    <xf borderId="3" fillId="0" fontId="69" numFmtId="20" xfId="0" applyAlignment="1" applyBorder="1" applyFont="1" applyNumberFormat="1">
      <alignment horizontal="center" vertical="center"/>
    </xf>
    <xf borderId="3" fillId="0" fontId="34" numFmtId="0" xfId="0" applyAlignment="1" applyBorder="1" applyFont="1">
      <alignment horizontal="center" vertical="center"/>
    </xf>
    <xf borderId="22" fillId="6" fontId="66" numFmtId="0" xfId="0" applyAlignment="1" applyBorder="1" applyFill="1" applyFont="1">
      <alignment vertical="center"/>
    </xf>
    <xf borderId="20" fillId="6" fontId="63" numFmtId="0" xfId="0" applyAlignment="1" applyBorder="1" applyFill="1" applyFont="1">
      <alignment horizontal="left" vertical="center"/>
    </xf>
    <xf borderId="20" fillId="6" fontId="63" numFmtId="38" xfId="0" applyAlignment="1" applyBorder="1" applyFill="1" applyFont="1" applyNumberFormat="1">
      <alignment horizontal="left" vertical="center"/>
    </xf>
    <xf borderId="60" fillId="6" fontId="57" numFmtId="165" xfId="0" applyAlignment="1" applyBorder="1" applyFill="1" applyFont="1" applyNumberFormat="1">
      <alignment horizontal="left" vertical="center"/>
    </xf>
    <xf borderId="61" fillId="6" fontId="57" numFmtId="165" xfId="0" applyAlignment="1" applyBorder="1" applyFill="1" applyFont="1" applyNumberFormat="1">
      <alignment horizontal="left" vertical="center"/>
    </xf>
    <xf borderId="61" fillId="6" fontId="59" numFmtId="0" xfId="0" applyAlignment="1" applyBorder="1" applyFill="1" applyFont="1">
      <alignment horizontal="left" vertical="center"/>
    </xf>
    <xf borderId="62" fillId="6" fontId="59" numFmtId="0" xfId="0" applyAlignment="1" applyBorder="1" applyFill="1" applyFont="1">
      <alignment horizontal="left" vertical="center"/>
    </xf>
    <xf borderId="0" fillId="0" fontId="53" numFmtId="0" xfId="0" applyAlignment="1" applyFont="1">
      <alignment horizontal="center" vertical="center"/>
    </xf>
    <xf borderId="0" fillId="0" fontId="70" numFmtId="0" xfId="0" applyAlignment="1" applyFont="1">
      <alignment vertical="bottom"/>
    </xf>
    <xf borderId="9" fillId="0" fontId="71" numFmtId="0" xfId="0" applyAlignment="1" applyBorder="1" applyFont="1">
      <alignment horizontal="center" vertical="center"/>
    </xf>
    <xf borderId="9" fillId="0" fontId="5" numFmtId="0" xfId="0" applyAlignment="1" applyBorder="1" applyFont="1">
      <alignment vertical="center"/>
    </xf>
    <xf borderId="69" fillId="11" fontId="4" numFmtId="0" xfId="0" applyAlignment="1" applyBorder="1" applyFill="1" applyFont="1">
      <alignment horizontal="center" vertical="center"/>
    </xf>
    <xf borderId="70" fillId="11" fontId="11" numFmtId="0" xfId="0" applyAlignment="1" applyBorder="1" applyFill="1" applyFont="1">
      <alignment horizontal="center" vertical="center"/>
    </xf>
    <xf borderId="70" fillId="8" fontId="11" numFmtId="0" xfId="0" applyAlignment="1" applyBorder="1" applyFill="1" applyFont="1">
      <alignment horizontal="center" vertical="center"/>
    </xf>
    <xf borderId="71" fillId="11" fontId="11" numFmtId="0" xfId="0" applyAlignment="1" applyBorder="1" applyFill="1" applyFont="1">
      <alignment horizontal="center" vertical="center"/>
    </xf>
    <xf borderId="71" fillId="3" fontId="4" numFmtId="0" xfId="0" applyAlignment="1" applyBorder="1" applyFill="1" applyFont="1">
      <alignment horizontal="center" shrinkToFit="0" vertical="center" wrapText="1"/>
    </xf>
    <xf borderId="72" fillId="6" fontId="4" numFmtId="0" xfId="0" applyAlignment="1" applyBorder="1" applyFill="1" applyFont="1">
      <alignment horizontal="center" vertical="center"/>
    </xf>
    <xf borderId="0" fillId="0" fontId="72" numFmtId="0" xfId="0" applyAlignment="1" applyFont="1">
      <alignment vertical="bottom"/>
    </xf>
    <xf borderId="0" fillId="0" fontId="73" numFmtId="0" xfId="0" applyAlignment="1" applyFont="1">
      <alignment vertical="bottom"/>
    </xf>
    <xf borderId="36" fillId="0" fontId="74" numFmtId="166" xfId="0" applyAlignment="1" applyBorder="1" applyFont="1" applyNumberFormat="1">
      <alignment horizontal="center" vertical="center"/>
    </xf>
    <xf borderId="73" fillId="6" fontId="11" numFmtId="0" xfId="0" applyAlignment="1" applyBorder="1" applyFill="1" applyFont="1">
      <alignment horizontal="center" vertical="center"/>
    </xf>
    <xf borderId="65" fillId="6" fontId="4" numFmtId="0" xfId="0" applyAlignment="1" applyBorder="1" applyFill="1" applyFont="1">
      <alignment horizontal="center" shrinkToFit="0" vertical="center" wrapText="1"/>
    </xf>
    <xf borderId="3" fillId="0" fontId="1" numFmtId="0" xfId="0" applyAlignment="1" applyBorder="1" applyFont="1">
      <alignment horizontal="center" vertical="center"/>
    </xf>
    <xf borderId="3" fillId="6" fontId="9" numFmtId="0" xfId="0" applyAlignment="1" applyBorder="1" applyFill="1" applyFont="1">
      <alignment horizontal="center" vertical="center"/>
    </xf>
    <xf borderId="3" fillId="6" fontId="11" numFmtId="0" xfId="0" applyAlignment="1" applyBorder="1" applyFill="1" applyFont="1">
      <alignment horizontal="center" vertical="center"/>
    </xf>
    <xf borderId="3" fillId="0" fontId="9" numFmtId="0" xfId="0" applyAlignment="1" applyBorder="1" applyFont="1">
      <alignment horizontal="center" shrinkToFit="0" vertical="bottom" wrapText="1"/>
    </xf>
    <xf borderId="39" fillId="6" fontId="11" numFmtId="3" xfId="0" applyAlignment="1" applyBorder="1" applyFill="1" applyFont="1" applyNumberFormat="1">
      <alignment horizontal="center" vertical="center"/>
    </xf>
    <xf borderId="3" fillId="6" fontId="4" numFmtId="3" xfId="0" applyAlignment="1" applyBorder="1" applyFill="1" applyFont="1" applyNumberFormat="1">
      <alignment horizontal="center" vertical="bottom"/>
    </xf>
    <xf borderId="3" fillId="0" fontId="4" numFmtId="0" xfId="0" applyAlignment="1" applyBorder="1" applyFont="1">
      <alignment horizontal="center" vertical="bottom"/>
    </xf>
    <xf borderId="4" fillId="0" fontId="75" numFmtId="0" xfId="0" applyAlignment="1" applyBorder="1" applyFont="1">
      <alignment vertical="bottom"/>
    </xf>
    <xf borderId="3" fillId="0" fontId="9" numFmtId="0" xfId="0" applyAlignment="1" applyBorder="1" applyFont="1">
      <alignment horizontal="center" vertical="bottom"/>
    </xf>
    <xf borderId="5" fillId="0" fontId="75" numFmtId="0" xfId="0" applyAlignment="1" applyBorder="1" applyFont="1">
      <alignment vertical="bottom"/>
    </xf>
    <xf borderId="39" fillId="6" fontId="76" numFmtId="0" xfId="0" applyAlignment="1" applyBorder="1" applyFill="1" applyFont="1">
      <alignment horizontal="center" vertical="bottom"/>
    </xf>
    <xf borderId="8" fillId="0" fontId="4" numFmtId="0" xfId="0" applyAlignment="1" applyBorder="1" applyFont="1">
      <alignment vertical="bottom"/>
    </xf>
    <xf borderId="3" fillId="0" fontId="9" numFmtId="0" xfId="0" applyAlignment="1" applyBorder="1" applyFont="1">
      <alignment vertical="bottom"/>
    </xf>
    <xf borderId="43" fillId="0" fontId="75" numFmtId="0" xfId="0" applyAlignment="1" applyBorder="1" applyFont="1">
      <alignment vertical="bottom"/>
    </xf>
    <xf borderId="44" fillId="0" fontId="4" numFmtId="0" xfId="0" applyAlignment="1" applyBorder="1" applyFont="1">
      <alignment vertical="bottom"/>
    </xf>
    <xf borderId="44" fillId="0" fontId="1" numFmtId="0" xfId="0" applyAlignment="1" applyBorder="1" applyFont="1">
      <alignment vertical="bottom"/>
    </xf>
    <xf borderId="45" fillId="0" fontId="1" numFmtId="0" xfId="0" applyAlignment="1" applyBorder="1" applyFont="1">
      <alignment vertical="bottom"/>
    </xf>
    <xf borderId="9" fillId="0" fontId="75" numFmtId="0" xfId="0" applyAlignment="1" applyBorder="1" applyFont="1">
      <alignment vertical="bottom"/>
    </xf>
    <xf borderId="10" fillId="0" fontId="1" numFmtId="0" xfId="0" applyAlignment="1" applyBorder="1" applyFont="1">
      <alignment vertical="bottom"/>
    </xf>
    <xf borderId="46" fillId="0" fontId="75" numFmtId="0" xfId="0" applyAlignment="1" applyBorder="1" applyFont="1">
      <alignment vertical="bottom"/>
    </xf>
    <xf borderId="47" fillId="0" fontId="4" numFmtId="0" xfId="0" applyAlignment="1" applyBorder="1" applyFont="1">
      <alignment vertical="bottom"/>
    </xf>
    <xf borderId="47" fillId="0" fontId="1" numFmtId="0" xfId="0" applyAlignment="1" applyBorder="1" applyFont="1">
      <alignment vertical="bottom"/>
    </xf>
    <xf borderId="48" fillId="0" fontId="1" numFmtId="0" xfId="0" applyAlignment="1" applyBorder="1" applyFont="1">
      <alignment vertical="bottom"/>
    </xf>
    <xf borderId="39" fillId="6" fontId="11" numFmtId="0" xfId="0" applyAlignment="1" applyBorder="1" applyFill="1" applyFont="1">
      <alignment horizontal="center" vertical="bottom"/>
    </xf>
    <xf borderId="3" fillId="0" fontId="74" numFmtId="0" xfId="0" applyAlignment="1" applyBorder="1" applyFont="1">
      <alignment horizontal="center" vertical="center"/>
    </xf>
    <xf borderId="11" fillId="8" fontId="77" numFmtId="0" xfId="0" applyAlignment="1" applyBorder="1" applyFill="1" applyFont="1">
      <alignment vertical="bottom"/>
    </xf>
    <xf borderId="12" fillId="8" fontId="1" numFmtId="0" xfId="0" applyAlignment="1" applyBorder="1" applyFill="1" applyFont="1">
      <alignment vertical="bottom"/>
    </xf>
    <xf borderId="14" fillId="8" fontId="1" numFmtId="0" xfId="0" applyAlignment="1" applyBorder="1" applyFill="1" applyFont="1">
      <alignment vertical="bottom"/>
    </xf>
    <xf borderId="19" fillId="8" fontId="1" numFmtId="0" xfId="0" applyAlignment="1" applyBorder="1" applyFill="1" applyFont="1">
      <alignment vertical="bottom"/>
    </xf>
    <xf borderId="22" fillId="8" fontId="1" numFmtId="0" xfId="0" applyAlignment="1" applyBorder="1" applyFill="1" applyFont="1">
      <alignment vertical="bottom"/>
    </xf>
    <xf borderId="23" fillId="8" fontId="1" numFmtId="0" xfId="0" applyAlignment="1" applyBorder="1" applyFill="1" applyFont="1">
      <alignment vertical="bottom"/>
    </xf>
    <xf borderId="60" fillId="8" fontId="1" numFmtId="0" xfId="0" applyAlignment="1" applyBorder="1" applyFill="1" applyFont="1">
      <alignment vertical="bottom"/>
    </xf>
    <xf borderId="61" fillId="8" fontId="1" numFmtId="0" xfId="0" applyAlignment="1" applyBorder="1" applyFill="1" applyFont="1">
      <alignment vertical="bottom"/>
    </xf>
    <xf borderId="62" fillId="8" fontId="1" numFmtId="0" xfId="0" applyAlignment="1" applyBorder="1" applyFill="1" applyFont="1">
      <alignment vertical="bottom"/>
    </xf>
    <xf borderId="3" fillId="6" fontId="1" numFmtId="0" xfId="0" applyAlignment="1" applyBorder="1" applyFill="1" applyFont="1">
      <alignment horizontal="center" vertical="center"/>
    </xf>
    <xf borderId="0" fillId="0" fontId="78" numFmtId="0" xfId="0" applyAlignment="1" applyFont="1">
      <alignment vertical="bottom"/>
    </xf>
    <xf borderId="11" fillId="3" fontId="1" numFmtId="0" xfId="0" applyAlignment="1" applyBorder="1" applyFill="1" applyFont="1">
      <alignment vertical="bottom"/>
    </xf>
    <xf borderId="12" fillId="3" fontId="1" numFmtId="0" xfId="0" applyAlignment="1" applyBorder="1" applyFill="1" applyFont="1">
      <alignment vertical="bottom"/>
    </xf>
    <xf borderId="14" fillId="3" fontId="1" numFmtId="0" xfId="0" applyAlignment="1" applyBorder="1" applyFill="1" applyFont="1">
      <alignment vertical="bottom"/>
    </xf>
    <xf borderId="19" fillId="3" fontId="1" numFmtId="0" xfId="0" applyAlignment="1" applyBorder="1" applyFill="1" applyFont="1">
      <alignment vertical="bottom"/>
    </xf>
    <xf borderId="39" fillId="6" fontId="76" numFmtId="3" xfId="0" applyAlignment="1" applyBorder="1" applyFill="1" applyFont="1" applyNumberFormat="1">
      <alignment horizontal="center" vertical="bottom"/>
    </xf>
    <xf borderId="22" fillId="3" fontId="1" numFmtId="0" xfId="0" applyAlignment="1" applyBorder="1" applyFill="1" applyFont="1">
      <alignment vertical="bottom"/>
    </xf>
    <xf borderId="23" fillId="3" fontId="1" numFmtId="0" xfId="0" applyAlignment="1" applyBorder="1" applyFill="1" applyFont="1">
      <alignment vertical="bottom"/>
    </xf>
    <xf borderId="60" fillId="3" fontId="1" numFmtId="0" xfId="0" applyAlignment="1" applyBorder="1" applyFill="1" applyFont="1">
      <alignment vertical="bottom"/>
    </xf>
    <xf borderId="61" fillId="3" fontId="1" numFmtId="0" xfId="0" applyAlignment="1" applyBorder="1" applyFill="1" applyFont="1">
      <alignment vertical="bottom"/>
    </xf>
    <xf borderId="62" fillId="3" fontId="1" numFmtId="0" xfId="0" applyAlignment="1" applyBorder="1" applyFill="1" applyFont="1">
      <alignment vertical="bottom"/>
    </xf>
    <xf borderId="39" fillId="6" fontId="79" numFmtId="3" xfId="0" applyAlignment="1" applyBorder="1" applyFill="1" applyFont="1" applyNumberFormat="1">
      <alignment horizontal="center" vertical="bottom"/>
    </xf>
    <xf borderId="3" fillId="0" fontId="1" numFmtId="0" xfId="0" applyAlignment="1" applyBorder="1" applyFont="1">
      <alignment vertical="bottom"/>
    </xf>
    <xf borderId="3" fillId="0" fontId="4" numFmtId="0" xfId="0" applyAlignment="1" applyBorder="1" applyFont="1">
      <alignment vertical="bottom"/>
    </xf>
    <xf borderId="11" fillId="2" fontId="80" numFmtId="0" xfId="0" applyAlignment="1" applyBorder="1" applyFill="1" applyFont="1">
      <alignment vertical="bottom"/>
    </xf>
    <xf borderId="12" fillId="2" fontId="1" numFmtId="0" xfId="0" applyAlignment="1" applyBorder="1" applyFill="1" applyFont="1">
      <alignment vertical="bottom"/>
    </xf>
    <xf borderId="14" fillId="2" fontId="1" numFmtId="0" xfId="0" applyAlignment="1" applyBorder="1" applyFill="1" applyFont="1">
      <alignment vertical="bottom"/>
    </xf>
    <xf borderId="19" fillId="2" fontId="81" numFmtId="0" xfId="0" applyAlignment="1" applyBorder="1" applyFill="1" applyFont="1">
      <alignment vertical="bottom"/>
    </xf>
    <xf borderId="22" fillId="2" fontId="1" numFmtId="0" xfId="0" applyAlignment="1" applyBorder="1" applyFill="1" applyFont="1">
      <alignment vertical="bottom"/>
    </xf>
    <xf borderId="23" fillId="2" fontId="1" numFmtId="0" xfId="0" applyAlignment="1" applyBorder="1" applyFill="1" applyFont="1">
      <alignment vertical="bottom"/>
    </xf>
    <xf borderId="19" fillId="2" fontId="1" numFmtId="0" xfId="0" applyAlignment="1" applyBorder="1" applyFill="1" applyFont="1">
      <alignment vertical="bottom"/>
    </xf>
    <xf borderId="60" fillId="2" fontId="1" numFmtId="0" xfId="0" applyAlignment="1" applyBorder="1" applyFill="1" applyFont="1">
      <alignment vertical="bottom"/>
    </xf>
    <xf borderId="61" fillId="2" fontId="1" numFmtId="0" xfId="0" applyAlignment="1" applyBorder="1" applyFill="1" applyFont="1">
      <alignment vertical="bottom"/>
    </xf>
    <xf borderId="62" fillId="2" fontId="1" numFmtId="0" xfId="0" applyAlignment="1" applyBorder="1" applyFill="1" applyFont="1">
      <alignment vertical="bottom"/>
    </xf>
    <xf borderId="0" fillId="0" fontId="3" numFmtId="14" xfId="0" applyAlignment="1" applyFont="1" applyNumberFormat="1">
      <alignment vertical="center"/>
    </xf>
    <xf borderId="0" fillId="0" fontId="23" numFmtId="0" xfId="0" applyAlignment="1" applyFont="1">
      <alignment vertical="bottom"/>
    </xf>
    <xf borderId="1" fillId="2" fontId="53" numFmtId="0" xfId="0" applyAlignment="1" applyBorder="1" applyFill="1" applyFont="1">
      <alignment horizontal="center" vertical="bottom"/>
    </xf>
    <xf borderId="0" fillId="0" fontId="82" numFmtId="0" xfId="0" applyAlignment="1" applyFont="1">
      <alignment vertical="bottom"/>
    </xf>
    <xf borderId="0" fillId="0" fontId="83" numFmtId="0" xfId="0" applyAlignment="1" applyFont="1">
      <alignment vertical="bottom"/>
    </xf>
    <xf borderId="22" fillId="3" fontId="4" numFmtId="0" xfId="0" applyAlignment="1" applyBorder="1" applyFill="1" applyFont="1">
      <alignment vertical="bottom"/>
    </xf>
    <xf borderId="3" fillId="3" fontId="53" numFmtId="0" xfId="0" applyAlignment="1" applyBorder="1" applyFill="1" applyFont="1">
      <alignment horizontal="center" vertical="center"/>
    </xf>
    <xf borderId="22" fillId="3" fontId="4" numFmtId="0" xfId="0" applyAlignment="1" applyBorder="1" applyFill="1" applyFont="1">
      <alignment horizontal="center" vertical="bottom"/>
    </xf>
    <xf borderId="6" fillId="2" fontId="3" numFmtId="20" xfId="0" applyAlignment="1" applyBorder="1" applyFill="1" applyFont="1" applyNumberFormat="1">
      <alignment horizontal="center" vertical="bottom"/>
    </xf>
    <xf borderId="0" fillId="0" fontId="3" numFmtId="20" xfId="0" applyAlignment="1" applyFont="1" applyNumberFormat="1">
      <alignment horizontal="center" vertical="bottom"/>
    </xf>
    <xf borderId="3" fillId="7" fontId="53" numFmtId="0" xfId="0" applyAlignment="1" applyBorder="1" applyFill="1" applyFont="1">
      <alignment horizontal="center" vertical="center"/>
    </xf>
    <xf borderId="3" fillId="7" fontId="53" numFmtId="20" xfId="0" applyAlignment="1" applyBorder="1" applyFill="1" applyFont="1" applyNumberFormat="1">
      <alignment horizontal="center" vertical="center"/>
    </xf>
    <xf borderId="64" fillId="8" fontId="53" numFmtId="0" xfId="0" applyAlignment="1" applyBorder="1" applyFill="1" applyFont="1">
      <alignment horizontal="center" vertical="bottom"/>
    </xf>
    <xf borderId="28" fillId="6" fontId="2" numFmtId="0" xfId="0" applyAlignment="1" applyBorder="1" applyFill="1" applyFont="1">
      <alignment horizontal="center" vertical="center"/>
    </xf>
    <xf borderId="28" fillId="6" fontId="17" numFmtId="0" xfId="0" applyAlignment="1" applyBorder="1" applyFill="1" applyFont="1">
      <alignment horizontal="center" vertical="center"/>
    </xf>
    <xf borderId="3" fillId="6" fontId="16" numFmtId="0" xfId="0" applyAlignment="1" applyBorder="1" applyFill="1" applyFont="1">
      <alignment horizontal="left" vertical="center"/>
    </xf>
    <xf borderId="3" fillId="4" fontId="53" numFmtId="0" xfId="0" applyAlignment="1" applyBorder="1" applyFill="1" applyFont="1">
      <alignment horizontal="center" vertical="bottom"/>
    </xf>
    <xf borderId="3" fillId="4" fontId="53" numFmtId="20" xfId="0" applyAlignment="1" applyBorder="1" applyFill="1" applyFont="1" applyNumberFormat="1">
      <alignment horizontal="center" vertical="bottom"/>
    </xf>
    <xf borderId="1" fillId="3" fontId="53" numFmtId="0" xfId="0" applyAlignment="1" applyBorder="1" applyFill="1" applyFont="1">
      <alignment horizontal="center" vertical="bottom"/>
    </xf>
    <xf borderId="28" fillId="8" fontId="29" numFmtId="0" xfId="0" applyAlignment="1" applyBorder="1" applyFill="1" applyFont="1">
      <alignment horizontal="center" vertical="center"/>
    </xf>
    <xf borderId="28" fillId="6" fontId="13" numFmtId="20" xfId="0" applyAlignment="1" applyBorder="1" applyFill="1" applyFont="1" applyNumberFormat="1">
      <alignment horizontal="center" vertical="center"/>
    </xf>
    <xf borderId="28" fillId="0" fontId="16" numFmtId="0" xfId="0" applyAlignment="1" applyBorder="1" applyFont="1">
      <alignment horizontal="center" vertical="center"/>
    </xf>
    <xf borderId="28" fillId="6" fontId="16" numFmtId="20" xfId="0" applyAlignment="1" applyBorder="1" applyFill="1" applyFont="1" applyNumberFormat="1">
      <alignment horizontal="center" vertical="center"/>
    </xf>
    <xf borderId="6" fillId="3" fontId="3" numFmtId="20" xfId="0" applyAlignment="1" applyBorder="1" applyFill="1" applyFont="1" applyNumberFormat="1">
      <alignment horizontal="center" vertical="bottom"/>
    </xf>
    <xf borderId="0" fillId="0" fontId="23" numFmtId="20" xfId="0" applyAlignment="1" applyFont="1" applyNumberFormat="1">
      <alignment vertical="bottom"/>
    </xf>
    <xf borderId="28" fillId="6" fontId="13" numFmtId="38" xfId="0" applyAlignment="1" applyBorder="1" applyFill="1" applyFont="1" applyNumberFormat="1">
      <alignment horizontal="center" vertical="center"/>
    </xf>
    <xf borderId="28" fillId="6" fontId="16" numFmtId="38" xfId="0" applyAlignment="1" applyBorder="1" applyFill="1" applyFont="1" applyNumberFormat="1">
      <alignment horizontal="center" vertical="center"/>
    </xf>
    <xf borderId="28" fillId="6" fontId="17" numFmtId="166" xfId="0" applyAlignment="1" applyBorder="1" applyFill="1" applyFont="1" applyNumberFormat="1">
      <alignment horizontal="center" vertical="center"/>
    </xf>
    <xf borderId="22" fillId="6" fontId="16" numFmtId="0" xfId="0" applyAlignment="1" applyBorder="1" applyFill="1" applyFont="1">
      <alignment horizontal="left" vertical="center"/>
    </xf>
    <xf borderId="22" fillId="6" fontId="17" numFmtId="165" xfId="0" applyAlignment="1" applyBorder="1" applyFill="1" applyFont="1" applyNumberFormat="1">
      <alignment horizontal="left" vertical="center"/>
    </xf>
    <xf borderId="22" fillId="6" fontId="17" numFmtId="165" xfId="0" applyAlignment="1" applyBorder="1" applyFill="1" applyFont="1" applyNumberFormat="1">
      <alignment horizontal="left" shrinkToFit="0" vertical="center" wrapText="1"/>
    </xf>
    <xf borderId="0" fillId="0" fontId="53" numFmtId="0" xfId="0" applyAlignment="1" applyFont="1">
      <alignment horizontal="center" vertical="bottom"/>
    </xf>
    <xf borderId="28" fillId="7" fontId="16" numFmtId="37" xfId="0" applyAlignment="1" applyBorder="1" applyFill="1" applyFont="1" applyNumberFormat="1">
      <alignment horizontal="right" vertical="center"/>
    </xf>
    <xf borderId="3" fillId="8" fontId="3" numFmtId="0" xfId="0" applyAlignment="1" applyBorder="1" applyFill="1" applyFont="1">
      <alignment horizontal="center" vertical="bottom"/>
    </xf>
    <xf borderId="27" fillId="8" fontId="3" numFmtId="0" xfId="0" applyAlignment="1" applyBorder="1" applyFill="1" applyFont="1">
      <alignment horizontal="center" vertical="bottom"/>
    </xf>
    <xf borderId="28" fillId="6" fontId="16" numFmtId="38" xfId="0" applyAlignment="1" applyBorder="1" applyFill="1" applyFont="1" applyNumberFormat="1">
      <alignment horizontal="right" vertical="center"/>
    </xf>
    <xf borderId="18" fillId="8" fontId="3" numFmtId="0" xfId="0" applyAlignment="1" applyBorder="1" applyFill="1" applyFont="1">
      <alignment horizontal="center" vertical="bottom"/>
    </xf>
    <xf borderId="0" fillId="0" fontId="84" numFmtId="0" xfId="0" applyAlignment="1" applyFont="1">
      <alignment horizontal="center" vertical="center"/>
    </xf>
    <xf borderId="0" fillId="0" fontId="85" numFmtId="0" xfId="0" applyAlignment="1" applyFont="1">
      <alignment vertical="center"/>
    </xf>
    <xf borderId="0" fillId="0" fontId="10" numFmtId="20" xfId="0" applyAlignment="1" applyFont="1" applyNumberFormat="1">
      <alignment vertical="center"/>
    </xf>
    <xf borderId="3" fillId="0" fontId="3" numFmtId="0" xfId="0" applyAlignment="1" applyBorder="1" applyFont="1">
      <alignment shrinkToFit="0" vertical="center" wrapText="1"/>
    </xf>
    <xf borderId="3" fillId="7" fontId="53" numFmtId="0" xfId="0" applyAlignment="1" applyBorder="1" applyFill="1" applyFont="1">
      <alignment horizontal="center" shrinkToFit="0" vertical="center" wrapText="1"/>
    </xf>
    <xf borderId="3" fillId="12" fontId="53" numFmtId="0" xfId="0" applyAlignment="1" applyBorder="1" applyFill="1" applyFont="1">
      <alignment horizontal="center" vertical="center"/>
    </xf>
    <xf borderId="3" fillId="12" fontId="86" numFmtId="0" xfId="0" applyAlignment="1" applyBorder="1" applyFill="1" applyFont="1">
      <alignment shrinkToFit="0" vertical="center" wrapText="1"/>
    </xf>
    <xf borderId="0" fillId="0" fontId="87" numFmtId="0" xfId="0" applyAlignment="1" applyFont="1">
      <alignment horizontal="center" vertical="center"/>
    </xf>
    <xf borderId="22" fillId="13" fontId="88" numFmtId="0" xfId="0" applyAlignment="1" applyBorder="1" applyFill="1" applyFont="1">
      <alignment horizontal="center" vertical="center"/>
    </xf>
    <xf borderId="0" fillId="0" fontId="89" numFmtId="0" xfId="0" applyAlignment="1" applyFont="1">
      <alignment vertical="center"/>
    </xf>
    <xf borderId="0" fillId="0" fontId="90" numFmtId="0" xfId="0" applyAlignment="1" applyFont="1">
      <alignment vertical="center"/>
    </xf>
    <xf borderId="3" fillId="6" fontId="17" numFmtId="0" xfId="0" applyAlignment="1" applyBorder="1" applyFill="1" applyFont="1">
      <alignment horizontal="left" vertical="center"/>
    </xf>
    <xf borderId="3" fillId="6" fontId="3" numFmtId="0" xfId="0" applyAlignment="1" applyBorder="1" applyFill="1" applyFont="1">
      <alignment shrinkToFit="0" vertical="center" wrapText="1"/>
    </xf>
    <xf borderId="3" fillId="2" fontId="70" numFmtId="0" xfId="0" applyAlignment="1" applyBorder="1" applyFill="1" applyFont="1">
      <alignment horizontal="center" vertical="center"/>
    </xf>
    <xf borderId="3" fillId="3" fontId="3" numFmtId="0" xfId="0" applyAlignment="1" applyBorder="1" applyFill="1" applyFont="1">
      <alignment shrinkToFit="0" vertical="center" wrapText="1"/>
    </xf>
    <xf borderId="3" fillId="12" fontId="3" numFmtId="0" xfId="0" applyAlignment="1" applyBorder="1" applyFill="1" applyFont="1">
      <alignment shrinkToFit="0" vertical="center" wrapText="1"/>
    </xf>
    <xf borderId="3" fillId="2" fontId="70" numFmtId="0" xfId="0" applyAlignment="1" applyBorder="1" applyFill="1" applyFont="1">
      <alignment horizontal="center" shrinkToFit="0" vertical="center" wrapText="1"/>
    </xf>
    <xf borderId="28" fillId="6" fontId="16" numFmtId="37" xfId="0" applyAlignment="1" applyBorder="1" applyFill="1" applyFont="1" applyNumberFormat="1">
      <alignment horizontal="right" vertical="center"/>
    </xf>
    <xf borderId="3" fillId="4" fontId="3" numFmtId="0" xfId="0" applyAlignment="1" applyBorder="1" applyFill="1" applyFont="1">
      <alignment horizontal="center" vertical="bottom"/>
    </xf>
    <xf borderId="27" fillId="12" fontId="53" numFmtId="0" xfId="0" applyAlignment="1" applyBorder="1" applyFill="1" applyFont="1">
      <alignment horizontal="center" vertical="center"/>
    </xf>
    <xf borderId="27" fillId="12" fontId="3" numFmtId="0" xfId="0" applyAlignment="1" applyBorder="1" applyFill="1" applyFont="1">
      <alignment shrinkToFit="0" vertical="center" wrapText="1"/>
    </xf>
    <xf borderId="64" fillId="4" fontId="3" numFmtId="0" xfId="0" applyAlignment="1" applyBorder="1" applyFill="1" applyFont="1">
      <alignment horizontal="center" vertical="bottom"/>
    </xf>
    <xf borderId="27" fillId="7" fontId="53" numFmtId="0" xfId="0" applyAlignment="1" applyBorder="1" applyFill="1" applyFont="1">
      <alignment horizontal="center" vertical="center"/>
    </xf>
    <xf borderId="33" fillId="0" fontId="3" numFmtId="0" xfId="0" applyAlignment="1" applyBorder="1" applyFont="1">
      <alignment shrinkToFit="0" vertical="center" wrapText="1"/>
    </xf>
    <xf borderId="3" fillId="7" fontId="53" numFmtId="0" xfId="0" applyAlignment="1" applyBorder="1" applyFill="1" applyFont="1">
      <alignment vertical="center"/>
    </xf>
    <xf borderId="3" fillId="13" fontId="70" numFmtId="0" xfId="0" applyAlignment="1" applyBorder="1" applyFill="1" applyFont="1">
      <alignment horizontal="center" vertical="center"/>
    </xf>
    <xf borderId="3" fillId="8" fontId="3" numFmtId="0" xfId="0" applyAlignment="1" applyBorder="1" applyFill="1" applyFont="1">
      <alignment shrinkToFit="0" vertical="center" wrapText="1"/>
    </xf>
    <xf borderId="3" fillId="0" fontId="53" numFmtId="0" xfId="0" applyAlignment="1" applyBorder="1" applyFont="1">
      <alignment shrinkToFit="0" vertical="center" wrapText="1"/>
    </xf>
    <xf borderId="0" fillId="0" fontId="3" numFmtId="0" xfId="0" applyAlignment="1" applyFont="1">
      <alignment shrinkToFit="0" vertical="center" wrapText="1"/>
    </xf>
    <xf borderId="0" fillId="0" fontId="53" numFmtId="0" xfId="0" applyAlignment="1" applyFont="1">
      <alignment shrinkToFit="0" vertical="center" wrapText="1"/>
    </xf>
    <xf borderId="18" fillId="4" fontId="3" numFmtId="0" xfId="0" applyAlignment="1" applyBorder="1" applyFill="1" applyFont="1">
      <alignment horizontal="center" vertical="bottom"/>
    </xf>
    <xf borderId="3" fillId="12" fontId="70" numFmtId="0" xfId="0" applyAlignment="1" applyBorder="1" applyFill="1" applyFont="1">
      <alignment horizontal="center" vertical="center"/>
    </xf>
    <xf borderId="39" fillId="6" fontId="2" numFmtId="0" xfId="0" applyAlignment="1" applyBorder="1" applyFill="1" applyFont="1">
      <alignment horizontal="left" vertical="center"/>
    </xf>
    <xf borderId="40" fillId="6" fontId="2" numFmtId="0" xfId="0" applyAlignment="1" applyBorder="1" applyFill="1" applyFont="1">
      <alignment horizontal="left" vertical="center"/>
    </xf>
    <xf borderId="3" fillId="3" fontId="3" numFmtId="0" xfId="0" applyAlignment="1" applyBorder="1" applyFill="1" applyFont="1">
      <alignment vertical="center"/>
    </xf>
    <xf borderId="28" fillId="6" fontId="2" numFmtId="0" xfId="0" applyAlignment="1" applyBorder="1" applyFill="1" applyFont="1">
      <alignment horizontal="left" vertical="center"/>
    </xf>
    <xf borderId="64" fillId="2" fontId="70" numFmtId="0" xfId="0" applyAlignment="1" applyBorder="1" applyFill="1" applyFont="1">
      <alignment horizontal="center" vertical="center"/>
    </xf>
    <xf borderId="64" fillId="3" fontId="3" numFmtId="0" xfId="0" applyAlignment="1" applyBorder="1" applyFill="1" applyFont="1">
      <alignment shrinkToFit="0" vertical="center" wrapText="1"/>
    </xf>
    <xf borderId="65" fillId="2" fontId="70" numFmtId="0" xfId="0" applyAlignment="1" applyBorder="1" applyFill="1" applyFont="1">
      <alignment horizontal="center" vertical="center"/>
    </xf>
    <xf borderId="65" fillId="3" fontId="3" numFmtId="0" xfId="0" applyAlignment="1" applyBorder="1" applyFill="1" applyFont="1">
      <alignment vertical="center"/>
    </xf>
    <xf borderId="39" fillId="6" fontId="17" numFmtId="0" xfId="0" applyAlignment="1" applyBorder="1" applyFill="1" applyFont="1">
      <alignment horizontal="left" vertical="center"/>
    </xf>
    <xf borderId="40" fillId="6" fontId="17" numFmtId="0" xfId="0" applyAlignment="1" applyBorder="1" applyFill="1" applyFont="1">
      <alignment horizontal="left" vertical="center"/>
    </xf>
    <xf borderId="3" fillId="7" fontId="3" numFmtId="0" xfId="0" applyAlignment="1" applyBorder="1" applyFill="1" applyFont="1">
      <alignment shrinkToFit="0" vertical="center" wrapText="1"/>
    </xf>
    <xf borderId="0" fillId="0" fontId="70" numFmtId="0" xfId="0" applyAlignment="1" applyFont="1">
      <alignment shrinkToFit="0" vertical="center" wrapText="1"/>
    </xf>
    <xf borderId="28" fillId="6" fontId="17" numFmtId="0" xfId="0" applyAlignment="1" applyBorder="1" applyFill="1" applyFont="1">
      <alignment horizontal="left" vertical="center"/>
    </xf>
    <xf borderId="0" fillId="0" fontId="70" numFmtId="0" xfId="0" applyAlignment="1" applyFont="1">
      <alignment horizontal="center" vertical="center"/>
    </xf>
    <xf borderId="0" fillId="0" fontId="3" numFmtId="0" xfId="0" applyAlignment="1" applyFont="1">
      <alignment vertical="bottom"/>
    </xf>
    <xf borderId="0" fillId="0" fontId="53" numFmtId="0" xfId="0" applyAlignment="1" applyFont="1">
      <alignment vertical="bottom"/>
    </xf>
    <xf borderId="22" fillId="6" fontId="17" numFmtId="0" xfId="0" applyAlignment="1" applyBorder="1" applyFill="1" applyFont="1">
      <alignment horizontal="right" vertical="center"/>
    </xf>
    <xf borderId="28" fillId="2" fontId="16" numFmtId="37" xfId="0" applyAlignment="1" applyBorder="1" applyFill="1" applyFont="1" applyNumberFormat="1">
      <alignment horizontal="right" vertical="center"/>
    </xf>
    <xf borderId="28" fillId="7" fontId="16" numFmtId="168" xfId="0" applyAlignment="1" applyBorder="1" applyFill="1" applyFont="1" applyNumberFormat="1">
      <alignment horizontal="right" vertical="center"/>
    </xf>
    <xf borderId="22" fillId="4" fontId="3" numFmtId="0" xfId="0" applyAlignment="1" applyBorder="1" applyFill="1" applyFont="1">
      <alignment vertical="bottom"/>
    </xf>
    <xf borderId="28" fillId="6" fontId="16" numFmtId="3" xfId="0" applyAlignment="1" applyBorder="1" applyFill="1" applyFont="1" applyNumberFormat="1">
      <alignment horizontal="right" vertical="center"/>
    </xf>
    <xf borderId="28" fillId="6" fontId="17" numFmtId="0" xfId="0" applyAlignment="1" applyBorder="1" applyFill="1" applyFont="1">
      <alignment horizontal="right" vertical="center"/>
    </xf>
    <xf borderId="33" fillId="0" fontId="9" numFmtId="0" xfId="0" applyAlignment="1" applyBorder="1" applyFont="1">
      <alignment vertical="center"/>
    </xf>
    <xf borderId="43" fillId="0" fontId="71" numFmtId="0" xfId="0" applyAlignment="1" applyBorder="1" applyFont="1">
      <alignment horizontal="center" vertical="center"/>
    </xf>
    <xf borderId="0" fillId="0" fontId="71" numFmtId="0" xfId="0" applyAlignment="1" applyFont="1">
      <alignment horizontal="center" vertical="center"/>
    </xf>
    <xf borderId="74" fillId="0" fontId="5" numFmtId="0" xfId="0" applyAlignment="1" applyBorder="1" applyFont="1">
      <alignment vertical="center"/>
    </xf>
    <xf borderId="75" fillId="0" fontId="5" numFmtId="0" xfId="0" applyAlignment="1" applyBorder="1" applyFont="1">
      <alignment vertical="center"/>
    </xf>
    <xf borderId="76" fillId="8" fontId="4" numFmtId="0" xfId="0" applyAlignment="1" applyBorder="1" applyFill="1" applyFont="1">
      <alignment horizontal="center" vertical="center"/>
    </xf>
    <xf borderId="3" fillId="8" fontId="11" numFmtId="0" xfId="0" applyAlignment="1" applyBorder="1" applyFill="1" applyFont="1">
      <alignment horizontal="center" vertical="center"/>
    </xf>
    <xf borderId="18" fillId="8" fontId="11" numFmtId="0" xfId="0" applyAlignment="1" applyBorder="1" applyFill="1" applyFont="1">
      <alignment horizontal="center" vertical="center"/>
    </xf>
    <xf borderId="77" fillId="8" fontId="11" numFmtId="0" xfId="0" applyAlignment="1" applyBorder="1" applyFill="1" applyFont="1">
      <alignment horizontal="center" vertical="center"/>
    </xf>
    <xf borderId="76" fillId="0" fontId="1" numFmtId="0" xfId="0" applyAlignment="1" applyBorder="1" applyFont="1">
      <alignment horizontal="center" vertical="center"/>
    </xf>
    <xf borderId="28" fillId="0" fontId="74" numFmtId="166" xfId="0" applyAlignment="1" applyBorder="1" applyFont="1" applyNumberFormat="1">
      <alignment horizontal="center" vertical="center"/>
    </xf>
    <xf borderId="3" fillId="6" fontId="69" numFmtId="0" xfId="0" applyAlignment="1" applyBorder="1" applyFill="1" applyFont="1">
      <alignment horizontal="center" vertical="center"/>
    </xf>
    <xf borderId="18" fillId="6" fontId="34" numFmtId="1" xfId="0" applyAlignment="1" applyBorder="1" applyFill="1" applyFont="1" applyNumberFormat="1">
      <alignment horizontal="center" vertical="center"/>
    </xf>
    <xf borderId="77" fillId="6" fontId="91" numFmtId="0" xfId="0" applyAlignment="1" applyBorder="1" applyFill="1" applyFont="1">
      <alignment horizontal="center" vertical="center"/>
    </xf>
    <xf borderId="28" fillId="0" fontId="92" numFmtId="166" xfId="0" applyAlignment="1" applyBorder="1" applyFont="1" applyNumberFormat="1">
      <alignment horizontal="center" vertical="center"/>
    </xf>
    <xf borderId="18" fillId="6" fontId="11" numFmtId="1" xfId="0" applyAlignment="1" applyBorder="1" applyFill="1" applyFont="1" applyNumberFormat="1">
      <alignment horizontal="center" vertical="center"/>
    </xf>
    <xf borderId="78" fillId="6" fontId="76" numFmtId="0" xfId="0" applyAlignment="1" applyBorder="1" applyFill="1" applyFont="1">
      <alignment horizontal="center" vertical="center"/>
    </xf>
    <xf borderId="0" fillId="0" fontId="9" numFmtId="49" xfId="0" applyAlignment="1" applyFont="1" applyNumberFormat="1">
      <alignment horizontal="center" vertical="center"/>
    </xf>
    <xf borderId="3" fillId="0" fontId="9" numFmtId="49" xfId="0" applyAlignment="1" applyBorder="1" applyFont="1" applyNumberFormat="1">
      <alignment horizontal="center" vertical="center"/>
    </xf>
    <xf borderId="3" fillId="6" fontId="9" numFmtId="3" xfId="0" applyAlignment="1" applyBorder="1" applyFill="1" applyFont="1" applyNumberFormat="1">
      <alignment horizontal="center" vertical="center"/>
    </xf>
    <xf borderId="0" fillId="0" fontId="2" numFmtId="171" xfId="0" applyAlignment="1" applyFont="1" applyNumberFormat="1">
      <alignment vertical="center"/>
    </xf>
    <xf borderId="3" fillId="0" fontId="11" numFmtId="1" xfId="0" applyAlignment="1" applyBorder="1" applyFont="1" applyNumberFormat="1">
      <alignment horizontal="center" vertical="center"/>
    </xf>
    <xf borderId="79" fillId="0" fontId="76" numFmtId="0" xfId="0" applyAlignment="1" applyBorder="1" applyFont="1">
      <alignment horizontal="center" vertical="center"/>
    </xf>
    <xf borderId="0" fillId="0" fontId="13" numFmtId="0" xfId="0" applyAlignment="1" applyFont="1">
      <alignment vertical="center"/>
    </xf>
    <xf borderId="3" fillId="14" fontId="69" numFmtId="0" xfId="0" applyAlignment="1" applyBorder="1" applyFill="1" applyFont="1">
      <alignment horizontal="center" readingOrder="1" shrinkToFit="0" vertical="bottom" wrapText="1"/>
    </xf>
    <xf borderId="3" fillId="14" fontId="69" numFmtId="0" xfId="0" applyAlignment="1" applyBorder="1" applyFill="1" applyFont="1">
      <alignment horizontal="center" vertical="center"/>
    </xf>
    <xf borderId="3" fillId="0" fontId="69" numFmtId="0" xfId="0" applyAlignment="1" applyBorder="1" applyFont="1">
      <alignment horizontal="center" readingOrder="1" shrinkToFit="0" vertical="center" wrapText="1"/>
    </xf>
    <xf borderId="28" fillId="0" fontId="11" numFmtId="1" xfId="0" applyAlignment="1" applyBorder="1" applyFont="1" applyNumberFormat="1">
      <alignment horizontal="center" vertical="center"/>
    </xf>
    <xf borderId="78" fillId="6" fontId="76" numFmtId="49" xfId="0" applyAlignment="1" applyBorder="1" applyFill="1" applyFont="1" applyNumberFormat="1">
      <alignment horizontal="center" vertical="center"/>
    </xf>
    <xf borderId="27" fillId="14" fontId="69" numFmtId="0" xfId="0" applyAlignment="1" applyBorder="1" applyFill="1" applyFont="1">
      <alignment horizontal="center" vertical="center"/>
    </xf>
    <xf borderId="77" fillId="6" fontId="76" numFmtId="49" xfId="0" applyAlignment="1" applyBorder="1" applyFill="1" applyFont="1" applyNumberFormat="1">
      <alignment horizontal="center" vertical="center"/>
    </xf>
    <xf borderId="3" fillId="0" fontId="55" numFmtId="0" xfId="0" applyAlignment="1" applyBorder="1" applyFont="1">
      <alignment horizontal="center" vertical="center"/>
    </xf>
    <xf borderId="77" fillId="0" fontId="76" numFmtId="49" xfId="0" applyAlignment="1" applyBorder="1" applyFont="1" applyNumberFormat="1">
      <alignment horizontal="center" vertical="center"/>
    </xf>
    <xf borderId="3" fillId="13" fontId="9" numFmtId="0" xfId="0" applyAlignment="1" applyBorder="1" applyFill="1" applyFont="1">
      <alignment horizontal="center" vertical="center"/>
    </xf>
    <xf borderId="18" fillId="13" fontId="11" numFmtId="1" xfId="0" applyAlignment="1" applyBorder="1" applyFill="1" applyFont="1" applyNumberFormat="1">
      <alignment horizontal="center" vertical="center"/>
    </xf>
    <xf borderId="77" fillId="13" fontId="76" numFmtId="49" xfId="0" applyAlignment="1" applyBorder="1" applyFill="1" applyFont="1" applyNumberFormat="1">
      <alignment horizontal="center" vertical="center"/>
    </xf>
    <xf borderId="79" fillId="0" fontId="76" numFmtId="49" xfId="0" applyAlignment="1" applyBorder="1" applyFont="1" applyNumberFormat="1">
      <alignment horizontal="center" vertical="center"/>
    </xf>
    <xf borderId="3" fillId="12" fontId="9" numFmtId="0" xfId="0" applyAlignment="1" applyBorder="1" applyFill="1" applyFont="1">
      <alignment horizontal="center" vertical="center"/>
    </xf>
    <xf borderId="18" fillId="12" fontId="11" numFmtId="1" xfId="0" applyAlignment="1" applyBorder="1" applyFill="1" applyFont="1" applyNumberFormat="1">
      <alignment horizontal="center" vertical="center"/>
    </xf>
    <xf borderId="78" fillId="12" fontId="76" numFmtId="49" xfId="0" applyAlignment="1" applyBorder="1" applyFill="1" applyFont="1" applyNumberFormat="1">
      <alignment horizontal="center" vertical="center"/>
    </xf>
    <xf borderId="3" fillId="5" fontId="9" numFmtId="0" xfId="0" applyAlignment="1" applyBorder="1" applyFill="1" applyFont="1">
      <alignment horizontal="center" vertical="center"/>
    </xf>
    <xf borderId="18" fillId="5" fontId="11" numFmtId="1" xfId="0" applyAlignment="1" applyBorder="1" applyFill="1" applyFont="1" applyNumberFormat="1">
      <alignment horizontal="center" vertical="center"/>
    </xf>
    <xf borderId="78" fillId="5" fontId="76" numFmtId="49" xfId="0" applyAlignment="1" applyBorder="1" applyFill="1" applyFont="1" applyNumberFormat="1">
      <alignment horizontal="center" vertical="center"/>
    </xf>
    <xf borderId="78" fillId="5" fontId="76" numFmtId="171" xfId="0" applyAlignment="1" applyBorder="1" applyFill="1" applyFont="1" applyNumberFormat="1">
      <alignment horizontal="center" vertical="center"/>
    </xf>
    <xf borderId="0" fillId="0" fontId="1" numFmtId="0" xfId="0" applyAlignment="1" applyFont="1">
      <alignment horizontal="center" vertical="center"/>
    </xf>
    <xf borderId="4" fillId="0" fontId="9" numFmtId="0" xfId="0" applyAlignment="1" applyBorder="1" applyFont="1">
      <alignment horizontal="center" vertical="center"/>
    </xf>
    <xf borderId="80" fillId="0" fontId="76" numFmtId="1" xfId="0" applyAlignment="1" applyBorder="1" applyFont="1" applyNumberFormat="1">
      <alignment horizontal="center" vertical="center"/>
    </xf>
    <xf borderId="80" fillId="0" fontId="76" numFmtId="171" xfId="0" applyAlignment="1" applyBorder="1" applyFont="1" applyNumberFormat="1">
      <alignment horizontal="center" vertical="center"/>
    </xf>
    <xf borderId="0" fillId="0" fontId="1" numFmtId="171" xfId="0" applyAlignment="1" applyFont="1" applyNumberFormat="1">
      <alignment vertical="bottom"/>
    </xf>
    <xf borderId="3" fillId="0" fontId="2" numFmtId="0" xfId="0" applyAlignment="1" applyBorder="1" applyFont="1">
      <alignment horizontal="center" vertical="center"/>
    </xf>
    <xf borderId="3" fillId="0" fontId="2" numFmtId="0" xfId="0" applyAlignment="1" applyBorder="1" applyFont="1">
      <alignment vertical="center"/>
    </xf>
    <xf borderId="0" fillId="0" fontId="93" numFmtId="0" xfId="0" applyAlignment="1" applyFont="1">
      <alignment vertical="center"/>
    </xf>
    <xf borderId="38" fillId="0" fontId="2" numFmtId="0" xfId="0" applyAlignment="1" applyBorder="1" applyFont="1">
      <alignment vertical="center"/>
    </xf>
    <xf borderId="30" fillId="0" fontId="2" numFmtId="0" xfId="0" applyAlignment="1" applyBorder="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104775</xdr:colOff>
      <xdr:row>34</xdr:row>
      <xdr:rowOff>38100</xdr:rowOff>
    </xdr:from>
    <xdr:ext cx="1409700" cy="4286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40</xdr:row>
      <xdr:rowOff>28575</xdr:rowOff>
    </xdr:from>
    <xdr:ext cx="2162175" cy="714375"/>
    <xdr:sp>
      <xdr:nvSpPr>
        <xdr:cNvPr id="3" name="Shape 3"/>
        <xdr:cNvSpPr/>
      </xdr:nvSpPr>
      <xdr:spPr>
        <a:xfrm>
          <a:off x="4279200" y="3437100"/>
          <a:ext cx="2133600" cy="685800"/>
        </a:xfrm>
        <a:custGeom>
          <a:rect b="b" l="l" r="r" t="t"/>
          <a:pathLst>
            <a:path extrusionOk="0" h="1449" w="2723">
              <a:moveTo>
                <a:pt x="1836" y="960"/>
              </a:moveTo>
              <a:cubicBezTo>
                <a:pt x="1821" y="956"/>
                <a:pt x="1786" y="947"/>
                <a:pt x="1750" y="931"/>
              </a:cubicBezTo>
              <a:cubicBezTo>
                <a:pt x="1714" y="915"/>
                <a:pt x="1691" y="905"/>
                <a:pt x="1655" y="882"/>
              </a:cubicBezTo>
              <a:cubicBezTo>
                <a:pt x="1618" y="859"/>
                <a:pt x="1604" y="843"/>
                <a:pt x="1568" y="814"/>
              </a:cubicBezTo>
              <a:cubicBezTo>
                <a:pt x="1531" y="784"/>
                <a:pt x="1510" y="770"/>
                <a:pt x="1472" y="735"/>
              </a:cubicBezTo>
              <a:cubicBezTo>
                <a:pt x="1433" y="700"/>
                <a:pt x="1406" y="677"/>
                <a:pt x="1375" y="638"/>
              </a:cubicBezTo>
              <a:cubicBezTo>
                <a:pt x="1345" y="599"/>
                <a:pt x="1334" y="584"/>
                <a:pt x="1318" y="541"/>
              </a:cubicBezTo>
              <a:cubicBezTo>
                <a:pt x="1303" y="497"/>
                <a:pt x="1303" y="470"/>
                <a:pt x="1299" y="423"/>
              </a:cubicBezTo>
              <a:cubicBezTo>
                <a:pt x="1295" y="376"/>
                <a:pt x="1291" y="351"/>
                <a:pt x="1299" y="306"/>
              </a:cubicBezTo>
              <a:cubicBezTo>
                <a:pt x="1306" y="261"/>
                <a:pt x="1316" y="241"/>
                <a:pt x="1337" y="198"/>
              </a:cubicBezTo>
              <a:cubicBezTo>
                <a:pt x="1358" y="155"/>
                <a:pt x="1374" y="126"/>
                <a:pt x="1404" y="91"/>
              </a:cubicBezTo>
              <a:cubicBezTo>
                <a:pt x="1435" y="55"/>
                <a:pt x="1451" y="40"/>
                <a:pt x="1491" y="23"/>
              </a:cubicBezTo>
              <a:cubicBezTo>
                <a:pt x="1531" y="5"/>
                <a:pt x="1560" y="-5"/>
                <a:pt x="1606" y="3"/>
              </a:cubicBezTo>
              <a:cubicBezTo>
                <a:pt x="1652" y="11"/>
                <a:pt x="1683" y="27"/>
                <a:pt x="1721" y="62"/>
              </a:cubicBezTo>
              <a:cubicBezTo>
                <a:pt x="1760" y="97"/>
                <a:pt x="1777" y="136"/>
                <a:pt x="1798" y="179"/>
              </a:cubicBezTo>
              <a:cubicBezTo>
                <a:pt x="1819" y="222"/>
                <a:pt x="1818" y="236"/>
                <a:pt x="1827" y="276"/>
              </a:cubicBezTo>
              <a:cubicBezTo>
                <a:pt x="1836" y="317"/>
                <a:pt x="1840" y="343"/>
                <a:pt x="1846" y="384"/>
              </a:cubicBezTo>
              <a:cubicBezTo>
                <a:pt x="1851" y="425"/>
                <a:pt x="1854" y="434"/>
                <a:pt x="1856" y="482"/>
              </a:cubicBezTo>
              <a:cubicBezTo>
                <a:pt x="1858" y="529"/>
                <a:pt x="1856" y="566"/>
                <a:pt x="1856" y="619"/>
              </a:cubicBezTo>
              <a:cubicBezTo>
                <a:pt x="1856" y="671"/>
                <a:pt x="1860" y="693"/>
                <a:pt x="1856" y="746"/>
              </a:cubicBezTo>
              <a:cubicBezTo>
                <a:pt x="1852" y="798"/>
                <a:pt x="1848" y="827"/>
                <a:pt x="1836" y="882"/>
              </a:cubicBezTo>
              <a:cubicBezTo>
                <a:pt x="1825" y="937"/>
                <a:pt x="1810" y="968"/>
                <a:pt x="1798" y="1019"/>
              </a:cubicBezTo>
              <a:cubicBezTo>
                <a:pt x="1786" y="1070"/>
                <a:pt x="1787" y="1094"/>
                <a:pt x="1779" y="1137"/>
              </a:cubicBezTo>
              <a:cubicBezTo>
                <a:pt x="1771" y="1180"/>
                <a:pt x="1767" y="1197"/>
                <a:pt x="1760" y="1234"/>
              </a:cubicBezTo>
              <a:cubicBezTo>
                <a:pt x="1752" y="1271"/>
                <a:pt x="1756" y="1326"/>
                <a:pt x="1741" y="1322"/>
              </a:cubicBezTo>
              <a:cubicBezTo>
                <a:pt x="1725" y="1318"/>
                <a:pt x="1704" y="1261"/>
                <a:pt x="1683" y="1214"/>
              </a:cubicBezTo>
              <a:cubicBezTo>
                <a:pt x="1662" y="1167"/>
                <a:pt x="1658" y="1136"/>
                <a:pt x="1635" y="1087"/>
              </a:cubicBezTo>
              <a:cubicBezTo>
                <a:pt x="1612" y="1039"/>
                <a:pt x="1597" y="1017"/>
                <a:pt x="1568" y="970"/>
              </a:cubicBezTo>
              <a:cubicBezTo>
                <a:pt x="1539" y="923"/>
                <a:pt x="1525" y="897"/>
                <a:pt x="1491" y="853"/>
              </a:cubicBezTo>
              <a:cubicBezTo>
                <a:pt x="1456" y="808"/>
                <a:pt x="1437" y="785"/>
                <a:pt x="1395" y="746"/>
              </a:cubicBezTo>
              <a:cubicBezTo>
                <a:pt x="1353" y="707"/>
                <a:pt x="1332" y="691"/>
                <a:pt x="1280" y="658"/>
              </a:cubicBezTo>
              <a:cubicBezTo>
                <a:pt x="1228" y="624"/>
                <a:pt x="1193" y="609"/>
                <a:pt x="1136" y="580"/>
              </a:cubicBezTo>
              <a:cubicBezTo>
                <a:pt x="1078" y="550"/>
                <a:pt x="1052" y="533"/>
                <a:pt x="992" y="511"/>
              </a:cubicBezTo>
              <a:cubicBezTo>
                <a:pt x="933" y="490"/>
                <a:pt x="902" y="484"/>
                <a:pt x="839" y="472"/>
              </a:cubicBezTo>
              <a:cubicBezTo>
                <a:pt x="775" y="460"/>
                <a:pt x="739" y="454"/>
                <a:pt x="675" y="452"/>
              </a:cubicBezTo>
              <a:cubicBezTo>
                <a:pt x="612" y="450"/>
                <a:pt x="583" y="446"/>
                <a:pt x="522" y="462"/>
              </a:cubicBezTo>
              <a:cubicBezTo>
                <a:pt x="461" y="478"/>
                <a:pt x="416" y="507"/>
                <a:pt x="368" y="530"/>
              </a:cubicBezTo>
              <a:cubicBezTo>
                <a:pt x="320" y="553"/>
                <a:pt x="326" y="549"/>
                <a:pt x="282" y="580"/>
              </a:cubicBezTo>
              <a:cubicBezTo>
                <a:pt x="238" y="611"/>
                <a:pt x="191" y="636"/>
                <a:pt x="147" y="687"/>
              </a:cubicBezTo>
              <a:cubicBezTo>
                <a:pt x="103" y="738"/>
                <a:pt x="86" y="786"/>
                <a:pt x="61" y="833"/>
              </a:cubicBezTo>
              <a:cubicBezTo>
                <a:pt x="36" y="881"/>
                <a:pt x="34" y="886"/>
                <a:pt x="23" y="921"/>
              </a:cubicBezTo>
              <a:cubicBezTo>
                <a:pt x="11" y="956"/>
                <a:pt x="7" y="974"/>
                <a:pt x="3" y="1009"/>
              </a:cubicBezTo>
              <a:cubicBezTo>
                <a:pt x="-1" y="1044"/>
                <a:pt x="-1" y="1055"/>
                <a:pt x="3" y="1098"/>
              </a:cubicBezTo>
              <a:cubicBezTo>
                <a:pt x="7" y="1141"/>
                <a:pt x="3" y="1176"/>
                <a:pt x="23" y="1224"/>
              </a:cubicBezTo>
              <a:cubicBezTo>
                <a:pt x="42" y="1273"/>
                <a:pt x="66" y="1308"/>
                <a:pt x="99" y="1342"/>
              </a:cubicBezTo>
              <a:cubicBezTo>
                <a:pt x="132" y="1375"/>
                <a:pt x="149" y="1373"/>
                <a:pt x="186" y="1390"/>
              </a:cubicBezTo>
              <a:cubicBezTo>
                <a:pt x="222" y="1408"/>
                <a:pt x="238" y="1418"/>
                <a:pt x="282" y="1430"/>
              </a:cubicBezTo>
              <a:cubicBezTo>
                <a:pt x="326" y="1442"/>
                <a:pt x="353" y="1447"/>
                <a:pt x="407" y="1449"/>
              </a:cubicBezTo>
              <a:cubicBezTo>
                <a:pt x="460" y="1450"/>
                <a:pt x="496" y="1445"/>
                <a:pt x="550" y="1439"/>
              </a:cubicBezTo>
              <a:cubicBezTo>
                <a:pt x="604" y="1434"/>
                <a:pt x="616" y="1432"/>
                <a:pt x="675" y="1420"/>
              </a:cubicBezTo>
              <a:cubicBezTo>
                <a:pt x="735" y="1408"/>
                <a:pt x="777" y="1398"/>
                <a:pt x="848" y="1381"/>
              </a:cubicBezTo>
              <a:cubicBezTo>
                <a:pt x="919" y="1363"/>
                <a:pt x="963" y="1351"/>
                <a:pt x="1031" y="1331"/>
              </a:cubicBezTo>
              <a:cubicBezTo>
                <a:pt x="1098" y="1311"/>
                <a:pt x="1119" y="1302"/>
                <a:pt x="1184" y="1283"/>
              </a:cubicBezTo>
              <a:cubicBezTo>
                <a:pt x="1249" y="1264"/>
                <a:pt x="1288" y="1256"/>
                <a:pt x="1357" y="1234"/>
              </a:cubicBezTo>
              <a:cubicBezTo>
                <a:pt x="1426" y="1213"/>
                <a:pt x="1464" y="1198"/>
                <a:pt x="1529" y="1175"/>
              </a:cubicBezTo>
              <a:cubicBezTo>
                <a:pt x="1594" y="1152"/>
                <a:pt x="1618" y="1140"/>
                <a:pt x="1683" y="1117"/>
              </a:cubicBezTo>
              <a:cubicBezTo>
                <a:pt x="1748" y="1094"/>
                <a:pt x="1787" y="1082"/>
                <a:pt x="1856" y="1058"/>
              </a:cubicBezTo>
              <a:cubicBezTo>
                <a:pt x="1925" y="1035"/>
                <a:pt x="1959" y="1023"/>
                <a:pt x="2028" y="999"/>
              </a:cubicBezTo>
              <a:cubicBezTo>
                <a:pt x="2097" y="976"/>
                <a:pt x="2140" y="963"/>
                <a:pt x="2201" y="941"/>
              </a:cubicBezTo>
              <a:cubicBezTo>
                <a:pt x="2262" y="920"/>
                <a:pt x="2280" y="909"/>
                <a:pt x="2336" y="892"/>
              </a:cubicBezTo>
              <a:cubicBezTo>
                <a:pt x="2391" y="874"/>
                <a:pt x="2430" y="870"/>
                <a:pt x="2480" y="853"/>
              </a:cubicBezTo>
              <a:cubicBezTo>
                <a:pt x="2530" y="835"/>
                <a:pt x="2537" y="821"/>
                <a:pt x="2585" y="804"/>
              </a:cubicBezTo>
              <a:cubicBezTo>
                <a:pt x="2633" y="786"/>
                <a:pt x="2676" y="777"/>
                <a:pt x="2720" y="765"/>
              </a:cubicBezTo>
              <a:cubicBezTo>
                <a:pt x="2764" y="753"/>
                <a:pt x="2306" y="916"/>
                <a:pt x="2321" y="913"/>
              </a:cubicBezTo>
            </a:path>
          </a:pathLst>
        </a:custGeom>
        <a:noFill/>
        <a:ln cap="rnd" cmpd="sng" w="31750">
          <a:solidFill>
            <a:srgbClr val="000000"/>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9525</xdr:colOff>
      <xdr:row>1</xdr:row>
      <xdr:rowOff>19050</xdr:rowOff>
    </xdr:from>
    <xdr:ext cx="1657350" cy="8096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342900</xdr:colOff>
      <xdr:row>36</xdr:row>
      <xdr:rowOff>66675</xdr:rowOff>
    </xdr:from>
    <xdr:ext cx="1257300" cy="847725"/>
    <xdr:sp>
      <xdr:nvSpPr>
        <xdr:cNvPr id="4" name="Shape 4"/>
        <xdr:cNvSpPr/>
      </xdr:nvSpPr>
      <xdr:spPr>
        <a:xfrm>
          <a:off x="4722113" y="3360900"/>
          <a:ext cx="1247775" cy="838200"/>
        </a:xfrm>
        <a:prstGeom prst="rect">
          <a:avLst/>
        </a:prstGeom>
        <a:noFill/>
        <a:ln>
          <a:noFill/>
        </a:ln>
      </xdr:spPr>
      <xdr:txBody>
        <a:bodyPr anchorCtr="0" anchor="t" bIns="45700" lIns="91425" spcFirstLastPara="1" rIns="91425" wrap="square" tIns="45700">
          <a:noAutofit/>
        </a:bodyPr>
        <a:lstStyle/>
        <a:p>
          <a:pPr indent="0" lvl="0" marL="0" rtl="0" algn="l">
            <a:spcBef>
              <a:spcPts val="0"/>
            </a:spcBef>
            <a:spcAft>
              <a:spcPts val="0"/>
            </a:spcAft>
            <a:buSzPts val="1400"/>
            <a:buFont typeface="Arial"/>
            <a:buNone/>
          </a:pPr>
          <a:r>
            <a:t/>
          </a:r>
          <a:endParaRPr sz="1400"/>
        </a:p>
      </xdr:txBody>
    </xdr:sp>
    <xdr:clientData fLocksWithSheet="0"/>
  </xdr:oneCellAnchor>
  <xdr:oneCellAnchor>
    <xdr:from>
      <xdr:col>21</xdr:col>
      <xdr:colOff>0</xdr:colOff>
      <xdr:row>36</xdr:row>
      <xdr:rowOff>66675</xdr:rowOff>
    </xdr:from>
    <xdr:ext cx="1181100" cy="847725"/>
    <xdr:sp>
      <xdr:nvSpPr>
        <xdr:cNvPr id="5" name="Shape 5"/>
        <xdr:cNvSpPr/>
      </xdr:nvSpPr>
      <xdr:spPr>
        <a:xfrm>
          <a:off x="4760213" y="3360900"/>
          <a:ext cx="1171575" cy="838200"/>
        </a:xfrm>
        <a:prstGeom prst="rect">
          <a:avLst/>
        </a:prstGeom>
        <a:noFill/>
        <a:ln>
          <a:noFill/>
        </a:ln>
      </xdr:spPr>
      <xdr:txBody>
        <a:bodyPr anchorCtr="0" anchor="t" bIns="45700" lIns="91425" spcFirstLastPara="1" rIns="91425" wrap="square" tIns="45700">
          <a:noAutofit/>
        </a:bodyPr>
        <a:lstStyle/>
        <a:p>
          <a:pPr indent="0" lvl="0" marL="0" rtl="0" algn="l">
            <a:spcBef>
              <a:spcPts val="0"/>
            </a:spcBef>
            <a:spcAft>
              <a:spcPts val="0"/>
            </a:spcAft>
            <a:buSzPts val="1400"/>
            <a:buFont typeface="Arial"/>
            <a:buNone/>
          </a:pPr>
          <a:r>
            <a:t/>
          </a:r>
          <a:endParaRPr sz="1400"/>
        </a:p>
      </xdr:txBody>
    </xdr:sp>
    <xdr:clientData fLocksWithSheet="0"/>
  </xdr:oneCellAnchor>
  <xdr:oneCellAnchor>
    <xdr:from>
      <xdr:col>6</xdr:col>
      <xdr:colOff>381000</xdr:colOff>
      <xdr:row>37</xdr:row>
      <xdr:rowOff>76200</xdr:rowOff>
    </xdr:from>
    <xdr:ext cx="1285875" cy="609600"/>
    <xdr:sp>
      <xdr:nvSpPr>
        <xdr:cNvPr id="6" name="Shape 6"/>
        <xdr:cNvSpPr/>
      </xdr:nvSpPr>
      <xdr:spPr>
        <a:xfrm>
          <a:off x="4717350" y="3489488"/>
          <a:ext cx="1257300" cy="581025"/>
        </a:xfrm>
        <a:custGeom>
          <a:rect b="b" l="l" r="r" t="t"/>
          <a:pathLst>
            <a:path extrusionOk="0" h="1449" w="2723">
              <a:moveTo>
                <a:pt x="1836" y="960"/>
              </a:moveTo>
              <a:cubicBezTo>
                <a:pt x="1821" y="956"/>
                <a:pt x="1786" y="947"/>
                <a:pt x="1750" y="931"/>
              </a:cubicBezTo>
              <a:cubicBezTo>
                <a:pt x="1714" y="915"/>
                <a:pt x="1691" y="905"/>
                <a:pt x="1655" y="882"/>
              </a:cubicBezTo>
              <a:cubicBezTo>
                <a:pt x="1618" y="859"/>
                <a:pt x="1604" y="843"/>
                <a:pt x="1568" y="814"/>
              </a:cubicBezTo>
              <a:cubicBezTo>
                <a:pt x="1531" y="784"/>
                <a:pt x="1510" y="770"/>
                <a:pt x="1472" y="735"/>
              </a:cubicBezTo>
              <a:cubicBezTo>
                <a:pt x="1433" y="700"/>
                <a:pt x="1406" y="677"/>
                <a:pt x="1375" y="638"/>
              </a:cubicBezTo>
              <a:cubicBezTo>
                <a:pt x="1345" y="599"/>
                <a:pt x="1334" y="584"/>
                <a:pt x="1318" y="541"/>
              </a:cubicBezTo>
              <a:cubicBezTo>
                <a:pt x="1303" y="497"/>
                <a:pt x="1303" y="470"/>
                <a:pt x="1299" y="423"/>
              </a:cubicBezTo>
              <a:cubicBezTo>
                <a:pt x="1295" y="376"/>
                <a:pt x="1291" y="351"/>
                <a:pt x="1299" y="306"/>
              </a:cubicBezTo>
              <a:cubicBezTo>
                <a:pt x="1306" y="261"/>
                <a:pt x="1316" y="241"/>
                <a:pt x="1337" y="198"/>
              </a:cubicBezTo>
              <a:cubicBezTo>
                <a:pt x="1358" y="155"/>
                <a:pt x="1374" y="126"/>
                <a:pt x="1404" y="91"/>
              </a:cubicBezTo>
              <a:cubicBezTo>
                <a:pt x="1435" y="55"/>
                <a:pt x="1451" y="40"/>
                <a:pt x="1491" y="23"/>
              </a:cubicBezTo>
              <a:cubicBezTo>
                <a:pt x="1531" y="5"/>
                <a:pt x="1560" y="-5"/>
                <a:pt x="1606" y="3"/>
              </a:cubicBezTo>
              <a:cubicBezTo>
                <a:pt x="1652" y="11"/>
                <a:pt x="1683" y="27"/>
                <a:pt x="1721" y="62"/>
              </a:cubicBezTo>
              <a:cubicBezTo>
                <a:pt x="1760" y="97"/>
                <a:pt x="1777" y="136"/>
                <a:pt x="1798" y="179"/>
              </a:cubicBezTo>
              <a:cubicBezTo>
                <a:pt x="1819" y="222"/>
                <a:pt x="1818" y="236"/>
                <a:pt x="1827" y="276"/>
              </a:cubicBezTo>
              <a:cubicBezTo>
                <a:pt x="1836" y="317"/>
                <a:pt x="1840" y="343"/>
                <a:pt x="1846" y="384"/>
              </a:cubicBezTo>
              <a:cubicBezTo>
                <a:pt x="1851" y="425"/>
                <a:pt x="1854" y="434"/>
                <a:pt x="1856" y="482"/>
              </a:cubicBezTo>
              <a:cubicBezTo>
                <a:pt x="1858" y="529"/>
                <a:pt x="1856" y="566"/>
                <a:pt x="1856" y="619"/>
              </a:cubicBezTo>
              <a:cubicBezTo>
                <a:pt x="1856" y="671"/>
                <a:pt x="1860" y="693"/>
                <a:pt x="1856" y="746"/>
              </a:cubicBezTo>
              <a:cubicBezTo>
                <a:pt x="1852" y="798"/>
                <a:pt x="1848" y="827"/>
                <a:pt x="1836" y="882"/>
              </a:cubicBezTo>
              <a:cubicBezTo>
                <a:pt x="1825" y="937"/>
                <a:pt x="1810" y="968"/>
                <a:pt x="1798" y="1019"/>
              </a:cubicBezTo>
              <a:cubicBezTo>
                <a:pt x="1786" y="1070"/>
                <a:pt x="1787" y="1094"/>
                <a:pt x="1779" y="1137"/>
              </a:cubicBezTo>
              <a:cubicBezTo>
                <a:pt x="1771" y="1180"/>
                <a:pt x="1767" y="1197"/>
                <a:pt x="1760" y="1234"/>
              </a:cubicBezTo>
              <a:cubicBezTo>
                <a:pt x="1752" y="1271"/>
                <a:pt x="1756" y="1326"/>
                <a:pt x="1741" y="1322"/>
              </a:cubicBezTo>
              <a:cubicBezTo>
                <a:pt x="1725" y="1318"/>
                <a:pt x="1704" y="1261"/>
                <a:pt x="1683" y="1214"/>
              </a:cubicBezTo>
              <a:cubicBezTo>
                <a:pt x="1662" y="1167"/>
                <a:pt x="1658" y="1136"/>
                <a:pt x="1635" y="1087"/>
              </a:cubicBezTo>
              <a:cubicBezTo>
                <a:pt x="1612" y="1039"/>
                <a:pt x="1597" y="1017"/>
                <a:pt x="1568" y="970"/>
              </a:cubicBezTo>
              <a:cubicBezTo>
                <a:pt x="1539" y="923"/>
                <a:pt x="1525" y="897"/>
                <a:pt x="1491" y="853"/>
              </a:cubicBezTo>
              <a:cubicBezTo>
                <a:pt x="1456" y="808"/>
                <a:pt x="1437" y="785"/>
                <a:pt x="1395" y="746"/>
              </a:cubicBezTo>
              <a:cubicBezTo>
                <a:pt x="1353" y="707"/>
                <a:pt x="1332" y="691"/>
                <a:pt x="1280" y="658"/>
              </a:cubicBezTo>
              <a:cubicBezTo>
                <a:pt x="1228" y="624"/>
                <a:pt x="1193" y="609"/>
                <a:pt x="1136" y="580"/>
              </a:cubicBezTo>
              <a:cubicBezTo>
                <a:pt x="1078" y="550"/>
                <a:pt x="1052" y="533"/>
                <a:pt x="992" y="511"/>
              </a:cubicBezTo>
              <a:cubicBezTo>
                <a:pt x="933" y="490"/>
                <a:pt x="902" y="484"/>
                <a:pt x="839" y="472"/>
              </a:cubicBezTo>
              <a:cubicBezTo>
                <a:pt x="775" y="460"/>
                <a:pt x="739" y="454"/>
                <a:pt x="675" y="452"/>
              </a:cubicBezTo>
              <a:cubicBezTo>
                <a:pt x="612" y="450"/>
                <a:pt x="583" y="446"/>
                <a:pt x="522" y="462"/>
              </a:cubicBezTo>
              <a:cubicBezTo>
                <a:pt x="461" y="478"/>
                <a:pt x="416" y="507"/>
                <a:pt x="368" y="530"/>
              </a:cubicBezTo>
              <a:cubicBezTo>
                <a:pt x="320" y="553"/>
                <a:pt x="326" y="549"/>
                <a:pt x="282" y="580"/>
              </a:cubicBezTo>
              <a:cubicBezTo>
                <a:pt x="238" y="611"/>
                <a:pt x="191" y="636"/>
                <a:pt x="147" y="687"/>
              </a:cubicBezTo>
              <a:cubicBezTo>
                <a:pt x="103" y="738"/>
                <a:pt x="86" y="786"/>
                <a:pt x="61" y="833"/>
              </a:cubicBezTo>
              <a:cubicBezTo>
                <a:pt x="36" y="881"/>
                <a:pt x="34" y="886"/>
                <a:pt x="23" y="921"/>
              </a:cubicBezTo>
              <a:cubicBezTo>
                <a:pt x="11" y="956"/>
                <a:pt x="7" y="974"/>
                <a:pt x="3" y="1009"/>
              </a:cubicBezTo>
              <a:cubicBezTo>
                <a:pt x="-1" y="1044"/>
                <a:pt x="-1" y="1055"/>
                <a:pt x="3" y="1098"/>
              </a:cubicBezTo>
              <a:cubicBezTo>
                <a:pt x="7" y="1141"/>
                <a:pt x="3" y="1176"/>
                <a:pt x="23" y="1224"/>
              </a:cubicBezTo>
              <a:cubicBezTo>
                <a:pt x="42" y="1273"/>
                <a:pt x="66" y="1308"/>
                <a:pt x="99" y="1342"/>
              </a:cubicBezTo>
              <a:cubicBezTo>
                <a:pt x="132" y="1375"/>
                <a:pt x="149" y="1373"/>
                <a:pt x="186" y="1390"/>
              </a:cubicBezTo>
              <a:cubicBezTo>
                <a:pt x="222" y="1408"/>
                <a:pt x="238" y="1418"/>
                <a:pt x="282" y="1430"/>
              </a:cubicBezTo>
              <a:cubicBezTo>
                <a:pt x="326" y="1442"/>
                <a:pt x="353" y="1447"/>
                <a:pt x="407" y="1449"/>
              </a:cubicBezTo>
              <a:cubicBezTo>
                <a:pt x="460" y="1450"/>
                <a:pt x="496" y="1445"/>
                <a:pt x="550" y="1439"/>
              </a:cubicBezTo>
              <a:cubicBezTo>
                <a:pt x="604" y="1434"/>
                <a:pt x="616" y="1432"/>
                <a:pt x="675" y="1420"/>
              </a:cubicBezTo>
              <a:cubicBezTo>
                <a:pt x="735" y="1408"/>
                <a:pt x="777" y="1398"/>
                <a:pt x="848" y="1381"/>
              </a:cubicBezTo>
              <a:cubicBezTo>
                <a:pt x="919" y="1363"/>
                <a:pt x="963" y="1351"/>
                <a:pt x="1031" y="1331"/>
              </a:cubicBezTo>
              <a:cubicBezTo>
                <a:pt x="1098" y="1311"/>
                <a:pt x="1119" y="1302"/>
                <a:pt x="1184" y="1283"/>
              </a:cubicBezTo>
              <a:cubicBezTo>
                <a:pt x="1249" y="1264"/>
                <a:pt x="1288" y="1256"/>
                <a:pt x="1357" y="1234"/>
              </a:cubicBezTo>
              <a:cubicBezTo>
                <a:pt x="1426" y="1213"/>
                <a:pt x="1464" y="1198"/>
                <a:pt x="1529" y="1175"/>
              </a:cubicBezTo>
              <a:cubicBezTo>
                <a:pt x="1594" y="1152"/>
                <a:pt x="1618" y="1140"/>
                <a:pt x="1683" y="1117"/>
              </a:cubicBezTo>
              <a:cubicBezTo>
                <a:pt x="1748" y="1094"/>
                <a:pt x="1787" y="1082"/>
                <a:pt x="1856" y="1058"/>
              </a:cubicBezTo>
              <a:cubicBezTo>
                <a:pt x="1925" y="1035"/>
                <a:pt x="1959" y="1023"/>
                <a:pt x="2028" y="999"/>
              </a:cubicBezTo>
              <a:cubicBezTo>
                <a:pt x="2097" y="976"/>
                <a:pt x="2140" y="963"/>
                <a:pt x="2201" y="941"/>
              </a:cubicBezTo>
              <a:cubicBezTo>
                <a:pt x="2262" y="920"/>
                <a:pt x="2280" y="909"/>
                <a:pt x="2336" y="892"/>
              </a:cubicBezTo>
              <a:cubicBezTo>
                <a:pt x="2391" y="874"/>
                <a:pt x="2430" y="870"/>
                <a:pt x="2480" y="853"/>
              </a:cubicBezTo>
              <a:cubicBezTo>
                <a:pt x="2530" y="835"/>
                <a:pt x="2537" y="821"/>
                <a:pt x="2585" y="804"/>
              </a:cubicBezTo>
              <a:cubicBezTo>
                <a:pt x="2633" y="786"/>
                <a:pt x="2676" y="777"/>
                <a:pt x="2720" y="765"/>
              </a:cubicBezTo>
              <a:cubicBezTo>
                <a:pt x="2764" y="753"/>
                <a:pt x="2306" y="916"/>
                <a:pt x="2321" y="913"/>
              </a:cubicBezTo>
            </a:path>
          </a:pathLst>
        </a:custGeom>
        <a:noFill/>
        <a:ln cap="rnd" cmpd="sng" w="31750">
          <a:solidFill>
            <a:srgbClr val="000000"/>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0</xdr:colOff>
      <xdr:row>1</xdr:row>
      <xdr:rowOff>0</xdr:rowOff>
    </xdr:from>
    <xdr:ext cx="1609725" cy="8096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161925</xdr:colOff>
      <xdr:row>1</xdr:row>
      <xdr:rowOff>104775</xdr:rowOff>
    </xdr:from>
    <xdr:ext cx="1285875" cy="12858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45</xdr:col>
      <xdr:colOff>419100</xdr:colOff>
      <xdr:row>33</xdr:row>
      <xdr:rowOff>0</xdr:rowOff>
    </xdr:from>
    <xdr:ext cx="1409700" cy="6953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32</xdr:col>
      <xdr:colOff>504825</xdr:colOff>
      <xdr:row>33</xdr:row>
      <xdr:rowOff>0</xdr:rowOff>
    </xdr:from>
    <xdr:ext cx="1409700" cy="704850"/>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20</xdr:col>
      <xdr:colOff>9525</xdr:colOff>
      <xdr:row>33</xdr:row>
      <xdr:rowOff>0</xdr:rowOff>
    </xdr:from>
    <xdr:ext cx="1381125" cy="6953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609600</xdr:colOff>
      <xdr:row>33</xdr:row>
      <xdr:rowOff>0</xdr:rowOff>
    </xdr:from>
    <xdr:ext cx="1409700" cy="704850"/>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9525</xdr:colOff>
      <xdr:row>38</xdr:row>
      <xdr:rowOff>28575</xdr:rowOff>
    </xdr:from>
    <xdr:ext cx="2057400" cy="628650"/>
    <xdr:sp>
      <xdr:nvSpPr>
        <xdr:cNvPr id="7" name="Shape 7"/>
        <xdr:cNvSpPr/>
      </xdr:nvSpPr>
      <xdr:spPr>
        <a:xfrm>
          <a:off x="4331588" y="3479963"/>
          <a:ext cx="2028825" cy="600075"/>
        </a:xfrm>
        <a:custGeom>
          <a:rect b="b" l="l" r="r" t="t"/>
          <a:pathLst>
            <a:path extrusionOk="0" h="1449" w="2723">
              <a:moveTo>
                <a:pt x="1836" y="960"/>
              </a:moveTo>
              <a:cubicBezTo>
                <a:pt x="1821" y="956"/>
                <a:pt x="1786" y="947"/>
                <a:pt x="1750" y="931"/>
              </a:cubicBezTo>
              <a:cubicBezTo>
                <a:pt x="1714" y="915"/>
                <a:pt x="1691" y="905"/>
                <a:pt x="1655" y="882"/>
              </a:cubicBezTo>
              <a:cubicBezTo>
                <a:pt x="1618" y="859"/>
                <a:pt x="1604" y="843"/>
                <a:pt x="1568" y="814"/>
              </a:cubicBezTo>
              <a:cubicBezTo>
                <a:pt x="1531" y="784"/>
                <a:pt x="1510" y="770"/>
                <a:pt x="1472" y="735"/>
              </a:cubicBezTo>
              <a:cubicBezTo>
                <a:pt x="1433" y="700"/>
                <a:pt x="1406" y="677"/>
                <a:pt x="1375" y="638"/>
              </a:cubicBezTo>
              <a:cubicBezTo>
                <a:pt x="1345" y="599"/>
                <a:pt x="1334" y="584"/>
                <a:pt x="1318" y="541"/>
              </a:cubicBezTo>
              <a:cubicBezTo>
                <a:pt x="1303" y="497"/>
                <a:pt x="1303" y="470"/>
                <a:pt x="1299" y="423"/>
              </a:cubicBezTo>
              <a:cubicBezTo>
                <a:pt x="1295" y="376"/>
                <a:pt x="1291" y="351"/>
                <a:pt x="1299" y="306"/>
              </a:cubicBezTo>
              <a:cubicBezTo>
                <a:pt x="1306" y="261"/>
                <a:pt x="1316" y="241"/>
                <a:pt x="1337" y="198"/>
              </a:cubicBezTo>
              <a:cubicBezTo>
                <a:pt x="1358" y="155"/>
                <a:pt x="1374" y="126"/>
                <a:pt x="1404" y="91"/>
              </a:cubicBezTo>
              <a:cubicBezTo>
                <a:pt x="1435" y="55"/>
                <a:pt x="1451" y="40"/>
                <a:pt x="1491" y="23"/>
              </a:cubicBezTo>
              <a:cubicBezTo>
                <a:pt x="1531" y="5"/>
                <a:pt x="1560" y="-5"/>
                <a:pt x="1606" y="3"/>
              </a:cubicBezTo>
              <a:cubicBezTo>
                <a:pt x="1652" y="11"/>
                <a:pt x="1683" y="27"/>
                <a:pt x="1721" y="62"/>
              </a:cubicBezTo>
              <a:cubicBezTo>
                <a:pt x="1760" y="97"/>
                <a:pt x="1777" y="136"/>
                <a:pt x="1798" y="179"/>
              </a:cubicBezTo>
              <a:cubicBezTo>
                <a:pt x="1819" y="222"/>
                <a:pt x="1818" y="236"/>
                <a:pt x="1827" y="276"/>
              </a:cubicBezTo>
              <a:cubicBezTo>
                <a:pt x="1836" y="317"/>
                <a:pt x="1840" y="343"/>
                <a:pt x="1846" y="384"/>
              </a:cubicBezTo>
              <a:cubicBezTo>
                <a:pt x="1851" y="425"/>
                <a:pt x="1854" y="434"/>
                <a:pt x="1856" y="482"/>
              </a:cubicBezTo>
              <a:cubicBezTo>
                <a:pt x="1858" y="529"/>
                <a:pt x="1856" y="566"/>
                <a:pt x="1856" y="619"/>
              </a:cubicBezTo>
              <a:cubicBezTo>
                <a:pt x="1856" y="671"/>
                <a:pt x="1860" y="693"/>
                <a:pt x="1856" y="746"/>
              </a:cubicBezTo>
              <a:cubicBezTo>
                <a:pt x="1852" y="798"/>
                <a:pt x="1848" y="827"/>
                <a:pt x="1836" y="882"/>
              </a:cubicBezTo>
              <a:cubicBezTo>
                <a:pt x="1825" y="937"/>
                <a:pt x="1810" y="968"/>
                <a:pt x="1798" y="1019"/>
              </a:cubicBezTo>
              <a:cubicBezTo>
                <a:pt x="1786" y="1070"/>
                <a:pt x="1787" y="1094"/>
                <a:pt x="1779" y="1137"/>
              </a:cubicBezTo>
              <a:cubicBezTo>
                <a:pt x="1771" y="1180"/>
                <a:pt x="1767" y="1197"/>
                <a:pt x="1760" y="1234"/>
              </a:cubicBezTo>
              <a:cubicBezTo>
                <a:pt x="1752" y="1271"/>
                <a:pt x="1756" y="1326"/>
                <a:pt x="1741" y="1322"/>
              </a:cubicBezTo>
              <a:cubicBezTo>
                <a:pt x="1725" y="1318"/>
                <a:pt x="1704" y="1261"/>
                <a:pt x="1683" y="1214"/>
              </a:cubicBezTo>
              <a:cubicBezTo>
                <a:pt x="1662" y="1167"/>
                <a:pt x="1658" y="1136"/>
                <a:pt x="1635" y="1087"/>
              </a:cubicBezTo>
              <a:cubicBezTo>
                <a:pt x="1612" y="1039"/>
                <a:pt x="1597" y="1017"/>
                <a:pt x="1568" y="970"/>
              </a:cubicBezTo>
              <a:cubicBezTo>
                <a:pt x="1539" y="923"/>
                <a:pt x="1525" y="897"/>
                <a:pt x="1491" y="853"/>
              </a:cubicBezTo>
              <a:cubicBezTo>
                <a:pt x="1456" y="808"/>
                <a:pt x="1437" y="785"/>
                <a:pt x="1395" y="746"/>
              </a:cubicBezTo>
              <a:cubicBezTo>
                <a:pt x="1353" y="707"/>
                <a:pt x="1332" y="691"/>
                <a:pt x="1280" y="658"/>
              </a:cubicBezTo>
              <a:cubicBezTo>
                <a:pt x="1228" y="624"/>
                <a:pt x="1193" y="609"/>
                <a:pt x="1136" y="580"/>
              </a:cubicBezTo>
              <a:cubicBezTo>
                <a:pt x="1078" y="550"/>
                <a:pt x="1052" y="533"/>
                <a:pt x="992" y="511"/>
              </a:cubicBezTo>
              <a:cubicBezTo>
                <a:pt x="933" y="490"/>
                <a:pt x="902" y="484"/>
                <a:pt x="839" y="472"/>
              </a:cubicBezTo>
              <a:cubicBezTo>
                <a:pt x="775" y="460"/>
                <a:pt x="739" y="454"/>
                <a:pt x="675" y="452"/>
              </a:cubicBezTo>
              <a:cubicBezTo>
                <a:pt x="612" y="450"/>
                <a:pt x="583" y="446"/>
                <a:pt x="522" y="462"/>
              </a:cubicBezTo>
              <a:cubicBezTo>
                <a:pt x="461" y="478"/>
                <a:pt x="416" y="507"/>
                <a:pt x="368" y="530"/>
              </a:cubicBezTo>
              <a:cubicBezTo>
                <a:pt x="320" y="553"/>
                <a:pt x="326" y="549"/>
                <a:pt x="282" y="580"/>
              </a:cubicBezTo>
              <a:cubicBezTo>
                <a:pt x="238" y="611"/>
                <a:pt x="191" y="636"/>
                <a:pt x="147" y="687"/>
              </a:cubicBezTo>
              <a:cubicBezTo>
                <a:pt x="103" y="738"/>
                <a:pt x="86" y="786"/>
                <a:pt x="61" y="833"/>
              </a:cubicBezTo>
              <a:cubicBezTo>
                <a:pt x="36" y="881"/>
                <a:pt x="34" y="886"/>
                <a:pt x="23" y="921"/>
              </a:cubicBezTo>
              <a:cubicBezTo>
                <a:pt x="11" y="956"/>
                <a:pt x="7" y="974"/>
                <a:pt x="3" y="1009"/>
              </a:cubicBezTo>
              <a:cubicBezTo>
                <a:pt x="-1" y="1044"/>
                <a:pt x="-1" y="1055"/>
                <a:pt x="3" y="1098"/>
              </a:cubicBezTo>
              <a:cubicBezTo>
                <a:pt x="7" y="1141"/>
                <a:pt x="3" y="1176"/>
                <a:pt x="23" y="1224"/>
              </a:cubicBezTo>
              <a:cubicBezTo>
                <a:pt x="42" y="1273"/>
                <a:pt x="66" y="1308"/>
                <a:pt x="99" y="1342"/>
              </a:cubicBezTo>
              <a:cubicBezTo>
                <a:pt x="132" y="1375"/>
                <a:pt x="149" y="1373"/>
                <a:pt x="186" y="1390"/>
              </a:cubicBezTo>
              <a:cubicBezTo>
                <a:pt x="222" y="1408"/>
                <a:pt x="238" y="1418"/>
                <a:pt x="282" y="1430"/>
              </a:cubicBezTo>
              <a:cubicBezTo>
                <a:pt x="326" y="1442"/>
                <a:pt x="353" y="1447"/>
                <a:pt x="407" y="1449"/>
              </a:cubicBezTo>
              <a:cubicBezTo>
                <a:pt x="460" y="1450"/>
                <a:pt x="496" y="1445"/>
                <a:pt x="550" y="1439"/>
              </a:cubicBezTo>
              <a:cubicBezTo>
                <a:pt x="604" y="1434"/>
                <a:pt x="616" y="1432"/>
                <a:pt x="675" y="1420"/>
              </a:cubicBezTo>
              <a:cubicBezTo>
                <a:pt x="735" y="1408"/>
                <a:pt x="777" y="1398"/>
                <a:pt x="848" y="1381"/>
              </a:cubicBezTo>
              <a:cubicBezTo>
                <a:pt x="919" y="1363"/>
                <a:pt x="963" y="1351"/>
                <a:pt x="1031" y="1331"/>
              </a:cubicBezTo>
              <a:cubicBezTo>
                <a:pt x="1098" y="1311"/>
                <a:pt x="1119" y="1302"/>
                <a:pt x="1184" y="1283"/>
              </a:cubicBezTo>
              <a:cubicBezTo>
                <a:pt x="1249" y="1264"/>
                <a:pt x="1288" y="1256"/>
                <a:pt x="1357" y="1234"/>
              </a:cubicBezTo>
              <a:cubicBezTo>
                <a:pt x="1426" y="1213"/>
                <a:pt x="1464" y="1198"/>
                <a:pt x="1529" y="1175"/>
              </a:cubicBezTo>
              <a:cubicBezTo>
                <a:pt x="1594" y="1152"/>
                <a:pt x="1618" y="1140"/>
                <a:pt x="1683" y="1117"/>
              </a:cubicBezTo>
              <a:cubicBezTo>
                <a:pt x="1748" y="1094"/>
                <a:pt x="1787" y="1082"/>
                <a:pt x="1856" y="1058"/>
              </a:cubicBezTo>
              <a:cubicBezTo>
                <a:pt x="1925" y="1035"/>
                <a:pt x="1959" y="1023"/>
                <a:pt x="2028" y="999"/>
              </a:cubicBezTo>
              <a:cubicBezTo>
                <a:pt x="2097" y="976"/>
                <a:pt x="2140" y="963"/>
                <a:pt x="2201" y="941"/>
              </a:cubicBezTo>
              <a:cubicBezTo>
                <a:pt x="2262" y="920"/>
                <a:pt x="2280" y="909"/>
                <a:pt x="2336" y="892"/>
              </a:cubicBezTo>
              <a:cubicBezTo>
                <a:pt x="2391" y="874"/>
                <a:pt x="2430" y="870"/>
                <a:pt x="2480" y="853"/>
              </a:cubicBezTo>
              <a:cubicBezTo>
                <a:pt x="2530" y="835"/>
                <a:pt x="2537" y="821"/>
                <a:pt x="2585" y="804"/>
              </a:cubicBezTo>
              <a:cubicBezTo>
                <a:pt x="2633" y="786"/>
                <a:pt x="2676" y="777"/>
                <a:pt x="2720" y="765"/>
              </a:cubicBezTo>
              <a:cubicBezTo>
                <a:pt x="2764" y="753"/>
                <a:pt x="2306" y="916"/>
                <a:pt x="2321" y="913"/>
              </a:cubicBezTo>
            </a:path>
          </a:pathLst>
        </a:custGeom>
        <a:noFill/>
        <a:ln cap="rnd" cmpd="sng" w="31750">
          <a:solidFill>
            <a:srgbClr val="000000"/>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28575</xdr:colOff>
      <xdr:row>1</xdr:row>
      <xdr:rowOff>0</xdr:rowOff>
    </xdr:from>
    <xdr:ext cx="1609725" cy="79057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28575</xdr:colOff>
      <xdr:row>34</xdr:row>
      <xdr:rowOff>9525</xdr:rowOff>
    </xdr:from>
    <xdr:ext cx="1771650" cy="609600"/>
    <xdr:sp>
      <xdr:nvSpPr>
        <xdr:cNvPr id="8" name="Shape 8"/>
        <xdr:cNvSpPr/>
      </xdr:nvSpPr>
      <xdr:spPr>
        <a:xfrm>
          <a:off x="4474463" y="3489488"/>
          <a:ext cx="1743075" cy="581025"/>
        </a:xfrm>
        <a:custGeom>
          <a:rect b="b" l="l" r="r" t="t"/>
          <a:pathLst>
            <a:path extrusionOk="0" h="1449" w="2723">
              <a:moveTo>
                <a:pt x="1836" y="960"/>
              </a:moveTo>
              <a:cubicBezTo>
                <a:pt x="1821" y="956"/>
                <a:pt x="1786" y="947"/>
                <a:pt x="1750" y="931"/>
              </a:cubicBezTo>
              <a:cubicBezTo>
                <a:pt x="1714" y="915"/>
                <a:pt x="1691" y="905"/>
                <a:pt x="1655" y="882"/>
              </a:cubicBezTo>
              <a:cubicBezTo>
                <a:pt x="1618" y="859"/>
                <a:pt x="1604" y="843"/>
                <a:pt x="1568" y="814"/>
              </a:cubicBezTo>
              <a:cubicBezTo>
                <a:pt x="1531" y="784"/>
                <a:pt x="1510" y="770"/>
                <a:pt x="1472" y="735"/>
              </a:cubicBezTo>
              <a:cubicBezTo>
                <a:pt x="1433" y="700"/>
                <a:pt x="1406" y="677"/>
                <a:pt x="1375" y="638"/>
              </a:cubicBezTo>
              <a:cubicBezTo>
                <a:pt x="1345" y="599"/>
                <a:pt x="1334" y="584"/>
                <a:pt x="1318" y="541"/>
              </a:cubicBezTo>
              <a:cubicBezTo>
                <a:pt x="1303" y="497"/>
                <a:pt x="1303" y="470"/>
                <a:pt x="1299" y="423"/>
              </a:cubicBezTo>
              <a:cubicBezTo>
                <a:pt x="1295" y="376"/>
                <a:pt x="1291" y="351"/>
                <a:pt x="1299" y="306"/>
              </a:cubicBezTo>
              <a:cubicBezTo>
                <a:pt x="1306" y="261"/>
                <a:pt x="1316" y="241"/>
                <a:pt x="1337" y="198"/>
              </a:cubicBezTo>
              <a:cubicBezTo>
                <a:pt x="1358" y="155"/>
                <a:pt x="1374" y="126"/>
                <a:pt x="1404" y="91"/>
              </a:cubicBezTo>
              <a:cubicBezTo>
                <a:pt x="1435" y="55"/>
                <a:pt x="1451" y="40"/>
                <a:pt x="1491" y="23"/>
              </a:cubicBezTo>
              <a:cubicBezTo>
                <a:pt x="1531" y="5"/>
                <a:pt x="1560" y="-5"/>
                <a:pt x="1606" y="3"/>
              </a:cubicBezTo>
              <a:cubicBezTo>
                <a:pt x="1652" y="11"/>
                <a:pt x="1683" y="27"/>
                <a:pt x="1721" y="62"/>
              </a:cubicBezTo>
              <a:cubicBezTo>
                <a:pt x="1760" y="97"/>
                <a:pt x="1777" y="136"/>
                <a:pt x="1798" y="179"/>
              </a:cubicBezTo>
              <a:cubicBezTo>
                <a:pt x="1819" y="222"/>
                <a:pt x="1818" y="236"/>
                <a:pt x="1827" y="276"/>
              </a:cubicBezTo>
              <a:cubicBezTo>
                <a:pt x="1836" y="317"/>
                <a:pt x="1840" y="343"/>
                <a:pt x="1846" y="384"/>
              </a:cubicBezTo>
              <a:cubicBezTo>
                <a:pt x="1851" y="425"/>
                <a:pt x="1854" y="434"/>
                <a:pt x="1856" y="482"/>
              </a:cubicBezTo>
              <a:cubicBezTo>
                <a:pt x="1858" y="529"/>
                <a:pt x="1856" y="566"/>
                <a:pt x="1856" y="619"/>
              </a:cubicBezTo>
              <a:cubicBezTo>
                <a:pt x="1856" y="671"/>
                <a:pt x="1860" y="693"/>
                <a:pt x="1856" y="746"/>
              </a:cubicBezTo>
              <a:cubicBezTo>
                <a:pt x="1852" y="798"/>
                <a:pt x="1848" y="827"/>
                <a:pt x="1836" y="882"/>
              </a:cubicBezTo>
              <a:cubicBezTo>
                <a:pt x="1825" y="937"/>
                <a:pt x="1810" y="968"/>
                <a:pt x="1798" y="1019"/>
              </a:cubicBezTo>
              <a:cubicBezTo>
                <a:pt x="1786" y="1070"/>
                <a:pt x="1787" y="1094"/>
                <a:pt x="1779" y="1137"/>
              </a:cubicBezTo>
              <a:cubicBezTo>
                <a:pt x="1771" y="1180"/>
                <a:pt x="1767" y="1197"/>
                <a:pt x="1760" y="1234"/>
              </a:cubicBezTo>
              <a:cubicBezTo>
                <a:pt x="1752" y="1271"/>
                <a:pt x="1756" y="1326"/>
                <a:pt x="1741" y="1322"/>
              </a:cubicBezTo>
              <a:cubicBezTo>
                <a:pt x="1725" y="1318"/>
                <a:pt x="1704" y="1261"/>
                <a:pt x="1683" y="1214"/>
              </a:cubicBezTo>
              <a:cubicBezTo>
                <a:pt x="1662" y="1167"/>
                <a:pt x="1658" y="1136"/>
                <a:pt x="1635" y="1087"/>
              </a:cubicBezTo>
              <a:cubicBezTo>
                <a:pt x="1612" y="1039"/>
                <a:pt x="1597" y="1017"/>
                <a:pt x="1568" y="970"/>
              </a:cubicBezTo>
              <a:cubicBezTo>
                <a:pt x="1539" y="923"/>
                <a:pt x="1525" y="897"/>
                <a:pt x="1491" y="853"/>
              </a:cubicBezTo>
              <a:cubicBezTo>
                <a:pt x="1456" y="808"/>
                <a:pt x="1437" y="785"/>
                <a:pt x="1395" y="746"/>
              </a:cubicBezTo>
              <a:cubicBezTo>
                <a:pt x="1353" y="707"/>
                <a:pt x="1332" y="691"/>
                <a:pt x="1280" y="658"/>
              </a:cubicBezTo>
              <a:cubicBezTo>
                <a:pt x="1228" y="624"/>
                <a:pt x="1193" y="609"/>
                <a:pt x="1136" y="580"/>
              </a:cubicBezTo>
              <a:cubicBezTo>
                <a:pt x="1078" y="550"/>
                <a:pt x="1052" y="533"/>
                <a:pt x="992" y="511"/>
              </a:cubicBezTo>
              <a:cubicBezTo>
                <a:pt x="933" y="490"/>
                <a:pt x="902" y="484"/>
                <a:pt x="839" y="472"/>
              </a:cubicBezTo>
              <a:cubicBezTo>
                <a:pt x="775" y="460"/>
                <a:pt x="739" y="454"/>
                <a:pt x="675" y="452"/>
              </a:cubicBezTo>
              <a:cubicBezTo>
                <a:pt x="612" y="450"/>
                <a:pt x="583" y="446"/>
                <a:pt x="522" y="462"/>
              </a:cubicBezTo>
              <a:cubicBezTo>
                <a:pt x="461" y="478"/>
                <a:pt x="416" y="507"/>
                <a:pt x="368" y="530"/>
              </a:cubicBezTo>
              <a:cubicBezTo>
                <a:pt x="320" y="553"/>
                <a:pt x="326" y="549"/>
                <a:pt x="282" y="580"/>
              </a:cubicBezTo>
              <a:cubicBezTo>
                <a:pt x="238" y="611"/>
                <a:pt x="191" y="636"/>
                <a:pt x="147" y="687"/>
              </a:cubicBezTo>
              <a:cubicBezTo>
                <a:pt x="103" y="738"/>
                <a:pt x="86" y="786"/>
                <a:pt x="61" y="833"/>
              </a:cubicBezTo>
              <a:cubicBezTo>
                <a:pt x="36" y="881"/>
                <a:pt x="34" y="886"/>
                <a:pt x="23" y="921"/>
              </a:cubicBezTo>
              <a:cubicBezTo>
                <a:pt x="11" y="956"/>
                <a:pt x="7" y="974"/>
                <a:pt x="3" y="1009"/>
              </a:cubicBezTo>
              <a:cubicBezTo>
                <a:pt x="-1" y="1044"/>
                <a:pt x="-1" y="1055"/>
                <a:pt x="3" y="1098"/>
              </a:cubicBezTo>
              <a:cubicBezTo>
                <a:pt x="7" y="1141"/>
                <a:pt x="3" y="1176"/>
                <a:pt x="23" y="1224"/>
              </a:cubicBezTo>
              <a:cubicBezTo>
                <a:pt x="42" y="1273"/>
                <a:pt x="66" y="1308"/>
                <a:pt x="99" y="1342"/>
              </a:cubicBezTo>
              <a:cubicBezTo>
                <a:pt x="132" y="1375"/>
                <a:pt x="149" y="1373"/>
                <a:pt x="186" y="1390"/>
              </a:cubicBezTo>
              <a:cubicBezTo>
                <a:pt x="222" y="1408"/>
                <a:pt x="238" y="1418"/>
                <a:pt x="282" y="1430"/>
              </a:cubicBezTo>
              <a:cubicBezTo>
                <a:pt x="326" y="1442"/>
                <a:pt x="353" y="1447"/>
                <a:pt x="407" y="1449"/>
              </a:cubicBezTo>
              <a:cubicBezTo>
                <a:pt x="460" y="1450"/>
                <a:pt x="496" y="1445"/>
                <a:pt x="550" y="1439"/>
              </a:cubicBezTo>
              <a:cubicBezTo>
                <a:pt x="604" y="1434"/>
                <a:pt x="616" y="1432"/>
                <a:pt x="675" y="1420"/>
              </a:cubicBezTo>
              <a:cubicBezTo>
                <a:pt x="735" y="1408"/>
                <a:pt x="777" y="1398"/>
                <a:pt x="848" y="1381"/>
              </a:cubicBezTo>
              <a:cubicBezTo>
                <a:pt x="919" y="1363"/>
                <a:pt x="963" y="1351"/>
                <a:pt x="1031" y="1331"/>
              </a:cubicBezTo>
              <a:cubicBezTo>
                <a:pt x="1098" y="1311"/>
                <a:pt x="1119" y="1302"/>
                <a:pt x="1184" y="1283"/>
              </a:cubicBezTo>
              <a:cubicBezTo>
                <a:pt x="1249" y="1264"/>
                <a:pt x="1288" y="1256"/>
                <a:pt x="1357" y="1234"/>
              </a:cubicBezTo>
              <a:cubicBezTo>
                <a:pt x="1426" y="1213"/>
                <a:pt x="1464" y="1198"/>
                <a:pt x="1529" y="1175"/>
              </a:cubicBezTo>
              <a:cubicBezTo>
                <a:pt x="1594" y="1152"/>
                <a:pt x="1618" y="1140"/>
                <a:pt x="1683" y="1117"/>
              </a:cubicBezTo>
              <a:cubicBezTo>
                <a:pt x="1748" y="1094"/>
                <a:pt x="1787" y="1082"/>
                <a:pt x="1856" y="1058"/>
              </a:cubicBezTo>
              <a:cubicBezTo>
                <a:pt x="1925" y="1035"/>
                <a:pt x="1959" y="1023"/>
                <a:pt x="2028" y="999"/>
              </a:cubicBezTo>
              <a:cubicBezTo>
                <a:pt x="2097" y="976"/>
                <a:pt x="2140" y="963"/>
                <a:pt x="2201" y="941"/>
              </a:cubicBezTo>
              <a:cubicBezTo>
                <a:pt x="2262" y="920"/>
                <a:pt x="2280" y="909"/>
                <a:pt x="2336" y="892"/>
              </a:cubicBezTo>
              <a:cubicBezTo>
                <a:pt x="2391" y="874"/>
                <a:pt x="2430" y="870"/>
                <a:pt x="2480" y="853"/>
              </a:cubicBezTo>
              <a:cubicBezTo>
                <a:pt x="2530" y="835"/>
                <a:pt x="2537" y="821"/>
                <a:pt x="2585" y="804"/>
              </a:cubicBezTo>
              <a:cubicBezTo>
                <a:pt x="2633" y="786"/>
                <a:pt x="2676" y="777"/>
                <a:pt x="2720" y="765"/>
              </a:cubicBezTo>
              <a:cubicBezTo>
                <a:pt x="2764" y="753"/>
                <a:pt x="2306" y="916"/>
                <a:pt x="2321" y="913"/>
              </a:cubicBezTo>
            </a:path>
          </a:pathLst>
        </a:custGeom>
        <a:noFill/>
        <a:ln cap="rnd" cmpd="sng" w="31750">
          <a:solidFill>
            <a:srgbClr val="000000"/>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0</xdr:colOff>
      <xdr:row>1</xdr:row>
      <xdr:rowOff>0</xdr:rowOff>
    </xdr:from>
    <xdr:ext cx="1619250" cy="7715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295275</xdr:colOff>
      <xdr:row>37</xdr:row>
      <xdr:rowOff>-9525</xdr:rowOff>
    </xdr:from>
    <xdr:ext cx="1924050" cy="723900"/>
    <xdr:sp>
      <xdr:nvSpPr>
        <xdr:cNvPr id="9" name="Shape 9"/>
        <xdr:cNvSpPr/>
      </xdr:nvSpPr>
      <xdr:spPr>
        <a:xfrm>
          <a:off x="4398263" y="3432338"/>
          <a:ext cx="1895475" cy="695325"/>
        </a:xfrm>
        <a:custGeom>
          <a:rect b="b" l="l" r="r" t="t"/>
          <a:pathLst>
            <a:path extrusionOk="0" h="1449" w="2723">
              <a:moveTo>
                <a:pt x="1836" y="960"/>
              </a:moveTo>
              <a:cubicBezTo>
                <a:pt x="1821" y="956"/>
                <a:pt x="1786" y="947"/>
                <a:pt x="1750" y="931"/>
              </a:cubicBezTo>
              <a:cubicBezTo>
                <a:pt x="1714" y="915"/>
                <a:pt x="1691" y="905"/>
                <a:pt x="1655" y="882"/>
              </a:cubicBezTo>
              <a:cubicBezTo>
                <a:pt x="1618" y="859"/>
                <a:pt x="1604" y="843"/>
                <a:pt x="1568" y="814"/>
              </a:cubicBezTo>
              <a:cubicBezTo>
                <a:pt x="1531" y="784"/>
                <a:pt x="1510" y="770"/>
                <a:pt x="1472" y="735"/>
              </a:cubicBezTo>
              <a:cubicBezTo>
                <a:pt x="1433" y="700"/>
                <a:pt x="1406" y="677"/>
                <a:pt x="1375" y="638"/>
              </a:cubicBezTo>
              <a:cubicBezTo>
                <a:pt x="1345" y="599"/>
                <a:pt x="1334" y="584"/>
                <a:pt x="1318" y="541"/>
              </a:cubicBezTo>
              <a:cubicBezTo>
                <a:pt x="1303" y="497"/>
                <a:pt x="1303" y="470"/>
                <a:pt x="1299" y="423"/>
              </a:cubicBezTo>
              <a:cubicBezTo>
                <a:pt x="1295" y="376"/>
                <a:pt x="1291" y="351"/>
                <a:pt x="1299" y="306"/>
              </a:cubicBezTo>
              <a:cubicBezTo>
                <a:pt x="1306" y="261"/>
                <a:pt x="1316" y="241"/>
                <a:pt x="1337" y="198"/>
              </a:cubicBezTo>
              <a:cubicBezTo>
                <a:pt x="1358" y="155"/>
                <a:pt x="1374" y="126"/>
                <a:pt x="1404" y="91"/>
              </a:cubicBezTo>
              <a:cubicBezTo>
                <a:pt x="1435" y="55"/>
                <a:pt x="1451" y="40"/>
                <a:pt x="1491" y="23"/>
              </a:cubicBezTo>
              <a:cubicBezTo>
                <a:pt x="1531" y="5"/>
                <a:pt x="1560" y="-5"/>
                <a:pt x="1606" y="3"/>
              </a:cubicBezTo>
              <a:cubicBezTo>
                <a:pt x="1652" y="11"/>
                <a:pt x="1683" y="27"/>
                <a:pt x="1721" y="62"/>
              </a:cubicBezTo>
              <a:cubicBezTo>
                <a:pt x="1760" y="97"/>
                <a:pt x="1777" y="136"/>
                <a:pt x="1798" y="179"/>
              </a:cubicBezTo>
              <a:cubicBezTo>
                <a:pt x="1819" y="222"/>
                <a:pt x="1818" y="236"/>
                <a:pt x="1827" y="276"/>
              </a:cubicBezTo>
              <a:cubicBezTo>
                <a:pt x="1836" y="317"/>
                <a:pt x="1840" y="343"/>
                <a:pt x="1846" y="384"/>
              </a:cubicBezTo>
              <a:cubicBezTo>
                <a:pt x="1851" y="425"/>
                <a:pt x="1854" y="434"/>
                <a:pt x="1856" y="482"/>
              </a:cubicBezTo>
              <a:cubicBezTo>
                <a:pt x="1858" y="529"/>
                <a:pt x="1856" y="566"/>
                <a:pt x="1856" y="619"/>
              </a:cubicBezTo>
              <a:cubicBezTo>
                <a:pt x="1856" y="671"/>
                <a:pt x="1860" y="693"/>
                <a:pt x="1856" y="746"/>
              </a:cubicBezTo>
              <a:cubicBezTo>
                <a:pt x="1852" y="798"/>
                <a:pt x="1848" y="827"/>
                <a:pt x="1836" y="882"/>
              </a:cubicBezTo>
              <a:cubicBezTo>
                <a:pt x="1825" y="937"/>
                <a:pt x="1810" y="968"/>
                <a:pt x="1798" y="1019"/>
              </a:cubicBezTo>
              <a:cubicBezTo>
                <a:pt x="1786" y="1070"/>
                <a:pt x="1787" y="1094"/>
                <a:pt x="1779" y="1137"/>
              </a:cubicBezTo>
              <a:cubicBezTo>
                <a:pt x="1771" y="1180"/>
                <a:pt x="1767" y="1197"/>
                <a:pt x="1760" y="1234"/>
              </a:cubicBezTo>
              <a:cubicBezTo>
                <a:pt x="1752" y="1271"/>
                <a:pt x="1756" y="1326"/>
                <a:pt x="1741" y="1322"/>
              </a:cubicBezTo>
              <a:cubicBezTo>
                <a:pt x="1725" y="1318"/>
                <a:pt x="1704" y="1261"/>
                <a:pt x="1683" y="1214"/>
              </a:cubicBezTo>
              <a:cubicBezTo>
                <a:pt x="1662" y="1167"/>
                <a:pt x="1658" y="1136"/>
                <a:pt x="1635" y="1087"/>
              </a:cubicBezTo>
              <a:cubicBezTo>
                <a:pt x="1612" y="1039"/>
                <a:pt x="1597" y="1017"/>
                <a:pt x="1568" y="970"/>
              </a:cubicBezTo>
              <a:cubicBezTo>
                <a:pt x="1539" y="923"/>
                <a:pt x="1525" y="897"/>
                <a:pt x="1491" y="853"/>
              </a:cubicBezTo>
              <a:cubicBezTo>
                <a:pt x="1456" y="808"/>
                <a:pt x="1437" y="785"/>
                <a:pt x="1395" y="746"/>
              </a:cubicBezTo>
              <a:cubicBezTo>
                <a:pt x="1353" y="707"/>
                <a:pt x="1332" y="691"/>
                <a:pt x="1280" y="658"/>
              </a:cubicBezTo>
              <a:cubicBezTo>
                <a:pt x="1228" y="624"/>
                <a:pt x="1193" y="609"/>
                <a:pt x="1136" y="580"/>
              </a:cubicBezTo>
              <a:cubicBezTo>
                <a:pt x="1078" y="550"/>
                <a:pt x="1052" y="533"/>
                <a:pt x="992" y="511"/>
              </a:cubicBezTo>
              <a:cubicBezTo>
                <a:pt x="933" y="490"/>
                <a:pt x="902" y="484"/>
                <a:pt x="839" y="472"/>
              </a:cubicBezTo>
              <a:cubicBezTo>
                <a:pt x="775" y="460"/>
                <a:pt x="739" y="454"/>
                <a:pt x="675" y="452"/>
              </a:cubicBezTo>
              <a:cubicBezTo>
                <a:pt x="612" y="450"/>
                <a:pt x="583" y="446"/>
                <a:pt x="522" y="462"/>
              </a:cubicBezTo>
              <a:cubicBezTo>
                <a:pt x="461" y="478"/>
                <a:pt x="416" y="507"/>
                <a:pt x="368" y="530"/>
              </a:cubicBezTo>
              <a:cubicBezTo>
                <a:pt x="320" y="553"/>
                <a:pt x="326" y="549"/>
                <a:pt x="282" y="580"/>
              </a:cubicBezTo>
              <a:cubicBezTo>
                <a:pt x="238" y="611"/>
                <a:pt x="191" y="636"/>
                <a:pt x="147" y="687"/>
              </a:cubicBezTo>
              <a:cubicBezTo>
                <a:pt x="103" y="738"/>
                <a:pt x="86" y="786"/>
                <a:pt x="61" y="833"/>
              </a:cubicBezTo>
              <a:cubicBezTo>
                <a:pt x="36" y="881"/>
                <a:pt x="34" y="886"/>
                <a:pt x="23" y="921"/>
              </a:cubicBezTo>
              <a:cubicBezTo>
                <a:pt x="11" y="956"/>
                <a:pt x="7" y="974"/>
                <a:pt x="3" y="1009"/>
              </a:cubicBezTo>
              <a:cubicBezTo>
                <a:pt x="-1" y="1044"/>
                <a:pt x="-1" y="1055"/>
                <a:pt x="3" y="1098"/>
              </a:cubicBezTo>
              <a:cubicBezTo>
                <a:pt x="7" y="1141"/>
                <a:pt x="3" y="1176"/>
                <a:pt x="23" y="1224"/>
              </a:cubicBezTo>
              <a:cubicBezTo>
                <a:pt x="42" y="1273"/>
                <a:pt x="66" y="1308"/>
                <a:pt x="99" y="1342"/>
              </a:cubicBezTo>
              <a:cubicBezTo>
                <a:pt x="132" y="1375"/>
                <a:pt x="149" y="1373"/>
                <a:pt x="186" y="1390"/>
              </a:cubicBezTo>
              <a:cubicBezTo>
                <a:pt x="222" y="1408"/>
                <a:pt x="238" y="1418"/>
                <a:pt x="282" y="1430"/>
              </a:cubicBezTo>
              <a:cubicBezTo>
                <a:pt x="326" y="1442"/>
                <a:pt x="353" y="1447"/>
                <a:pt x="407" y="1449"/>
              </a:cubicBezTo>
              <a:cubicBezTo>
                <a:pt x="460" y="1450"/>
                <a:pt x="496" y="1445"/>
                <a:pt x="550" y="1439"/>
              </a:cubicBezTo>
              <a:cubicBezTo>
                <a:pt x="604" y="1434"/>
                <a:pt x="616" y="1432"/>
                <a:pt x="675" y="1420"/>
              </a:cubicBezTo>
              <a:cubicBezTo>
                <a:pt x="735" y="1408"/>
                <a:pt x="777" y="1398"/>
                <a:pt x="848" y="1381"/>
              </a:cubicBezTo>
              <a:cubicBezTo>
                <a:pt x="919" y="1363"/>
                <a:pt x="963" y="1351"/>
                <a:pt x="1031" y="1331"/>
              </a:cubicBezTo>
              <a:cubicBezTo>
                <a:pt x="1098" y="1311"/>
                <a:pt x="1119" y="1302"/>
                <a:pt x="1184" y="1283"/>
              </a:cubicBezTo>
              <a:cubicBezTo>
                <a:pt x="1249" y="1264"/>
                <a:pt x="1288" y="1256"/>
                <a:pt x="1357" y="1234"/>
              </a:cubicBezTo>
              <a:cubicBezTo>
                <a:pt x="1426" y="1213"/>
                <a:pt x="1464" y="1198"/>
                <a:pt x="1529" y="1175"/>
              </a:cubicBezTo>
              <a:cubicBezTo>
                <a:pt x="1594" y="1152"/>
                <a:pt x="1618" y="1140"/>
                <a:pt x="1683" y="1117"/>
              </a:cubicBezTo>
              <a:cubicBezTo>
                <a:pt x="1748" y="1094"/>
                <a:pt x="1787" y="1082"/>
                <a:pt x="1856" y="1058"/>
              </a:cubicBezTo>
              <a:cubicBezTo>
                <a:pt x="1925" y="1035"/>
                <a:pt x="1959" y="1023"/>
                <a:pt x="2028" y="999"/>
              </a:cubicBezTo>
              <a:cubicBezTo>
                <a:pt x="2097" y="976"/>
                <a:pt x="2140" y="963"/>
                <a:pt x="2201" y="941"/>
              </a:cubicBezTo>
              <a:cubicBezTo>
                <a:pt x="2262" y="920"/>
                <a:pt x="2280" y="909"/>
                <a:pt x="2336" y="892"/>
              </a:cubicBezTo>
              <a:cubicBezTo>
                <a:pt x="2391" y="874"/>
                <a:pt x="2430" y="870"/>
                <a:pt x="2480" y="853"/>
              </a:cubicBezTo>
              <a:cubicBezTo>
                <a:pt x="2530" y="835"/>
                <a:pt x="2537" y="821"/>
                <a:pt x="2585" y="804"/>
              </a:cubicBezTo>
              <a:cubicBezTo>
                <a:pt x="2633" y="786"/>
                <a:pt x="2676" y="777"/>
                <a:pt x="2720" y="765"/>
              </a:cubicBezTo>
              <a:cubicBezTo>
                <a:pt x="2764" y="753"/>
                <a:pt x="2306" y="916"/>
                <a:pt x="2321" y="913"/>
              </a:cubicBezTo>
            </a:path>
          </a:pathLst>
        </a:custGeom>
        <a:noFill/>
        <a:ln cap="rnd" cmpd="sng" w="31750">
          <a:solidFill>
            <a:srgbClr val="000000"/>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28575</xdr:colOff>
      <xdr:row>1</xdr:row>
      <xdr:rowOff>0</xdr:rowOff>
    </xdr:from>
    <xdr:ext cx="1609725" cy="781050"/>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495300</xdr:colOff>
      <xdr:row>33</xdr:row>
      <xdr:rowOff>142875</xdr:rowOff>
    </xdr:from>
    <xdr:ext cx="1381125" cy="71437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20</xdr:col>
      <xdr:colOff>95250</xdr:colOff>
      <xdr:row>34</xdr:row>
      <xdr:rowOff>0</xdr:rowOff>
    </xdr:from>
    <xdr:ext cx="1476375" cy="6953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33</xdr:col>
      <xdr:colOff>0</xdr:colOff>
      <xdr:row>34</xdr:row>
      <xdr:rowOff>0</xdr:rowOff>
    </xdr:from>
    <xdr:ext cx="1371600" cy="6953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46</xdr:col>
      <xdr:colOff>0</xdr:colOff>
      <xdr:row>34</xdr:row>
      <xdr:rowOff>0</xdr:rowOff>
    </xdr:from>
    <xdr:ext cx="1438275" cy="6953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38</xdr:row>
      <xdr:rowOff>0</xdr:rowOff>
    </xdr:from>
    <xdr:ext cx="1905000" cy="657225"/>
    <xdr:sp>
      <xdr:nvSpPr>
        <xdr:cNvPr id="10" name="Shape 10"/>
        <xdr:cNvSpPr/>
      </xdr:nvSpPr>
      <xdr:spPr>
        <a:xfrm>
          <a:off x="4407788" y="3465675"/>
          <a:ext cx="1876425" cy="628650"/>
        </a:xfrm>
        <a:custGeom>
          <a:rect b="b" l="l" r="r" t="t"/>
          <a:pathLst>
            <a:path extrusionOk="0" h="1449" w="2723">
              <a:moveTo>
                <a:pt x="1836" y="960"/>
              </a:moveTo>
              <a:cubicBezTo>
                <a:pt x="1821" y="956"/>
                <a:pt x="1786" y="947"/>
                <a:pt x="1750" y="931"/>
              </a:cubicBezTo>
              <a:cubicBezTo>
                <a:pt x="1714" y="915"/>
                <a:pt x="1691" y="905"/>
                <a:pt x="1655" y="882"/>
              </a:cubicBezTo>
              <a:cubicBezTo>
                <a:pt x="1618" y="859"/>
                <a:pt x="1604" y="843"/>
                <a:pt x="1568" y="814"/>
              </a:cubicBezTo>
              <a:cubicBezTo>
                <a:pt x="1531" y="784"/>
                <a:pt x="1510" y="770"/>
                <a:pt x="1472" y="735"/>
              </a:cubicBezTo>
              <a:cubicBezTo>
                <a:pt x="1433" y="700"/>
                <a:pt x="1406" y="677"/>
                <a:pt x="1375" y="638"/>
              </a:cubicBezTo>
              <a:cubicBezTo>
                <a:pt x="1345" y="599"/>
                <a:pt x="1334" y="584"/>
                <a:pt x="1318" y="541"/>
              </a:cubicBezTo>
              <a:cubicBezTo>
                <a:pt x="1303" y="497"/>
                <a:pt x="1303" y="470"/>
                <a:pt x="1299" y="423"/>
              </a:cubicBezTo>
              <a:cubicBezTo>
                <a:pt x="1295" y="376"/>
                <a:pt x="1291" y="351"/>
                <a:pt x="1299" y="306"/>
              </a:cubicBezTo>
              <a:cubicBezTo>
                <a:pt x="1306" y="261"/>
                <a:pt x="1316" y="241"/>
                <a:pt x="1337" y="198"/>
              </a:cubicBezTo>
              <a:cubicBezTo>
                <a:pt x="1358" y="155"/>
                <a:pt x="1374" y="126"/>
                <a:pt x="1404" y="91"/>
              </a:cubicBezTo>
              <a:cubicBezTo>
                <a:pt x="1435" y="55"/>
                <a:pt x="1451" y="40"/>
                <a:pt x="1491" y="23"/>
              </a:cubicBezTo>
              <a:cubicBezTo>
                <a:pt x="1531" y="5"/>
                <a:pt x="1560" y="-5"/>
                <a:pt x="1606" y="3"/>
              </a:cubicBezTo>
              <a:cubicBezTo>
                <a:pt x="1652" y="11"/>
                <a:pt x="1683" y="27"/>
                <a:pt x="1721" y="62"/>
              </a:cubicBezTo>
              <a:cubicBezTo>
                <a:pt x="1760" y="97"/>
                <a:pt x="1777" y="136"/>
                <a:pt x="1798" y="179"/>
              </a:cubicBezTo>
              <a:cubicBezTo>
                <a:pt x="1819" y="222"/>
                <a:pt x="1818" y="236"/>
                <a:pt x="1827" y="276"/>
              </a:cubicBezTo>
              <a:cubicBezTo>
                <a:pt x="1836" y="317"/>
                <a:pt x="1840" y="343"/>
                <a:pt x="1846" y="384"/>
              </a:cubicBezTo>
              <a:cubicBezTo>
                <a:pt x="1851" y="425"/>
                <a:pt x="1854" y="434"/>
                <a:pt x="1856" y="482"/>
              </a:cubicBezTo>
              <a:cubicBezTo>
                <a:pt x="1858" y="529"/>
                <a:pt x="1856" y="566"/>
                <a:pt x="1856" y="619"/>
              </a:cubicBezTo>
              <a:cubicBezTo>
                <a:pt x="1856" y="671"/>
                <a:pt x="1860" y="693"/>
                <a:pt x="1856" y="746"/>
              </a:cubicBezTo>
              <a:cubicBezTo>
                <a:pt x="1852" y="798"/>
                <a:pt x="1848" y="827"/>
                <a:pt x="1836" y="882"/>
              </a:cubicBezTo>
              <a:cubicBezTo>
                <a:pt x="1825" y="937"/>
                <a:pt x="1810" y="968"/>
                <a:pt x="1798" y="1019"/>
              </a:cubicBezTo>
              <a:cubicBezTo>
                <a:pt x="1786" y="1070"/>
                <a:pt x="1787" y="1094"/>
                <a:pt x="1779" y="1137"/>
              </a:cubicBezTo>
              <a:cubicBezTo>
                <a:pt x="1771" y="1180"/>
                <a:pt x="1767" y="1197"/>
                <a:pt x="1760" y="1234"/>
              </a:cubicBezTo>
              <a:cubicBezTo>
                <a:pt x="1752" y="1271"/>
                <a:pt x="1756" y="1326"/>
                <a:pt x="1741" y="1322"/>
              </a:cubicBezTo>
              <a:cubicBezTo>
                <a:pt x="1725" y="1318"/>
                <a:pt x="1704" y="1261"/>
                <a:pt x="1683" y="1214"/>
              </a:cubicBezTo>
              <a:cubicBezTo>
                <a:pt x="1662" y="1167"/>
                <a:pt x="1658" y="1136"/>
                <a:pt x="1635" y="1087"/>
              </a:cubicBezTo>
              <a:cubicBezTo>
                <a:pt x="1612" y="1039"/>
                <a:pt x="1597" y="1017"/>
                <a:pt x="1568" y="970"/>
              </a:cubicBezTo>
              <a:cubicBezTo>
                <a:pt x="1539" y="923"/>
                <a:pt x="1525" y="897"/>
                <a:pt x="1491" y="853"/>
              </a:cubicBezTo>
              <a:cubicBezTo>
                <a:pt x="1456" y="808"/>
                <a:pt x="1437" y="785"/>
                <a:pt x="1395" y="746"/>
              </a:cubicBezTo>
              <a:cubicBezTo>
                <a:pt x="1353" y="707"/>
                <a:pt x="1332" y="691"/>
                <a:pt x="1280" y="658"/>
              </a:cubicBezTo>
              <a:cubicBezTo>
                <a:pt x="1228" y="624"/>
                <a:pt x="1193" y="609"/>
                <a:pt x="1136" y="580"/>
              </a:cubicBezTo>
              <a:cubicBezTo>
                <a:pt x="1078" y="550"/>
                <a:pt x="1052" y="533"/>
                <a:pt x="992" y="511"/>
              </a:cubicBezTo>
              <a:cubicBezTo>
                <a:pt x="933" y="490"/>
                <a:pt x="902" y="484"/>
                <a:pt x="839" y="472"/>
              </a:cubicBezTo>
              <a:cubicBezTo>
                <a:pt x="775" y="460"/>
                <a:pt x="739" y="454"/>
                <a:pt x="675" y="452"/>
              </a:cubicBezTo>
              <a:cubicBezTo>
                <a:pt x="612" y="450"/>
                <a:pt x="583" y="446"/>
                <a:pt x="522" y="462"/>
              </a:cubicBezTo>
              <a:cubicBezTo>
                <a:pt x="461" y="478"/>
                <a:pt x="416" y="507"/>
                <a:pt x="368" y="530"/>
              </a:cubicBezTo>
              <a:cubicBezTo>
                <a:pt x="320" y="553"/>
                <a:pt x="326" y="549"/>
                <a:pt x="282" y="580"/>
              </a:cubicBezTo>
              <a:cubicBezTo>
                <a:pt x="238" y="611"/>
                <a:pt x="191" y="636"/>
                <a:pt x="147" y="687"/>
              </a:cubicBezTo>
              <a:cubicBezTo>
                <a:pt x="103" y="738"/>
                <a:pt x="86" y="786"/>
                <a:pt x="61" y="833"/>
              </a:cubicBezTo>
              <a:cubicBezTo>
                <a:pt x="36" y="881"/>
                <a:pt x="34" y="886"/>
                <a:pt x="23" y="921"/>
              </a:cubicBezTo>
              <a:cubicBezTo>
                <a:pt x="11" y="956"/>
                <a:pt x="7" y="974"/>
                <a:pt x="3" y="1009"/>
              </a:cubicBezTo>
              <a:cubicBezTo>
                <a:pt x="-1" y="1044"/>
                <a:pt x="-1" y="1055"/>
                <a:pt x="3" y="1098"/>
              </a:cubicBezTo>
              <a:cubicBezTo>
                <a:pt x="7" y="1141"/>
                <a:pt x="3" y="1176"/>
                <a:pt x="23" y="1224"/>
              </a:cubicBezTo>
              <a:cubicBezTo>
                <a:pt x="42" y="1273"/>
                <a:pt x="66" y="1308"/>
                <a:pt x="99" y="1342"/>
              </a:cubicBezTo>
              <a:cubicBezTo>
                <a:pt x="132" y="1375"/>
                <a:pt x="149" y="1373"/>
                <a:pt x="186" y="1390"/>
              </a:cubicBezTo>
              <a:cubicBezTo>
                <a:pt x="222" y="1408"/>
                <a:pt x="238" y="1418"/>
                <a:pt x="282" y="1430"/>
              </a:cubicBezTo>
              <a:cubicBezTo>
                <a:pt x="326" y="1442"/>
                <a:pt x="353" y="1447"/>
                <a:pt x="407" y="1449"/>
              </a:cubicBezTo>
              <a:cubicBezTo>
                <a:pt x="460" y="1450"/>
                <a:pt x="496" y="1445"/>
                <a:pt x="550" y="1439"/>
              </a:cubicBezTo>
              <a:cubicBezTo>
                <a:pt x="604" y="1434"/>
                <a:pt x="616" y="1432"/>
                <a:pt x="675" y="1420"/>
              </a:cubicBezTo>
              <a:cubicBezTo>
                <a:pt x="735" y="1408"/>
                <a:pt x="777" y="1398"/>
                <a:pt x="848" y="1381"/>
              </a:cubicBezTo>
              <a:cubicBezTo>
                <a:pt x="919" y="1363"/>
                <a:pt x="963" y="1351"/>
                <a:pt x="1031" y="1331"/>
              </a:cubicBezTo>
              <a:cubicBezTo>
                <a:pt x="1098" y="1311"/>
                <a:pt x="1119" y="1302"/>
                <a:pt x="1184" y="1283"/>
              </a:cubicBezTo>
              <a:cubicBezTo>
                <a:pt x="1249" y="1264"/>
                <a:pt x="1288" y="1256"/>
                <a:pt x="1357" y="1234"/>
              </a:cubicBezTo>
              <a:cubicBezTo>
                <a:pt x="1426" y="1213"/>
                <a:pt x="1464" y="1198"/>
                <a:pt x="1529" y="1175"/>
              </a:cubicBezTo>
              <a:cubicBezTo>
                <a:pt x="1594" y="1152"/>
                <a:pt x="1618" y="1140"/>
                <a:pt x="1683" y="1117"/>
              </a:cubicBezTo>
              <a:cubicBezTo>
                <a:pt x="1748" y="1094"/>
                <a:pt x="1787" y="1082"/>
                <a:pt x="1856" y="1058"/>
              </a:cubicBezTo>
              <a:cubicBezTo>
                <a:pt x="1925" y="1035"/>
                <a:pt x="1959" y="1023"/>
                <a:pt x="2028" y="999"/>
              </a:cubicBezTo>
              <a:cubicBezTo>
                <a:pt x="2097" y="976"/>
                <a:pt x="2140" y="963"/>
                <a:pt x="2201" y="941"/>
              </a:cubicBezTo>
              <a:cubicBezTo>
                <a:pt x="2262" y="920"/>
                <a:pt x="2280" y="909"/>
                <a:pt x="2336" y="892"/>
              </a:cubicBezTo>
              <a:cubicBezTo>
                <a:pt x="2391" y="874"/>
                <a:pt x="2430" y="870"/>
                <a:pt x="2480" y="853"/>
              </a:cubicBezTo>
              <a:cubicBezTo>
                <a:pt x="2530" y="835"/>
                <a:pt x="2537" y="821"/>
                <a:pt x="2585" y="804"/>
              </a:cubicBezTo>
              <a:cubicBezTo>
                <a:pt x="2633" y="786"/>
                <a:pt x="2676" y="777"/>
                <a:pt x="2720" y="765"/>
              </a:cubicBezTo>
              <a:cubicBezTo>
                <a:pt x="2764" y="753"/>
                <a:pt x="2306" y="916"/>
                <a:pt x="2321" y="913"/>
              </a:cubicBezTo>
            </a:path>
          </a:pathLst>
        </a:custGeom>
        <a:noFill/>
        <a:ln cap="rnd" cmpd="sng" w="31750">
          <a:solidFill>
            <a:srgbClr val="000000"/>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0</xdr:colOff>
      <xdr:row>1</xdr:row>
      <xdr:rowOff>0</xdr:rowOff>
    </xdr:from>
    <xdr:ext cx="1571625" cy="771525"/>
    <xdr:pic>
      <xdr:nvPicPr>
        <xdr:cNvPr descr=" "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mailto:iaa_cgk_ops@airasia.com"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mailto:iaa_cgk_ops@airasia.com"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www.pilotweb.nas.faa.gov/PilotWeb/" TargetMode="External"/><Relationship Id="rId22" Type="http://schemas.openxmlformats.org/officeDocument/2006/relationships/hyperlink" Target="http://redwatch.merlot.aero/aircraft" TargetMode="External"/><Relationship Id="rId21" Type="http://schemas.openxmlformats.org/officeDocument/2006/relationships/hyperlink" Target="https://crewnet.airasia.com/GD/" TargetMode="External"/><Relationship Id="rId24" Type="http://schemas.openxmlformats.org/officeDocument/2006/relationships/hyperlink" Target="https://airasia.merlot.aero/" TargetMode="External"/><Relationship Id="rId23" Type="http://schemas.openxmlformats.org/officeDocument/2006/relationships/hyperlink" Target="http://redwatch.merlot.aero/crew" TargetMode="External"/><Relationship Id="rId1" Type="http://schemas.openxmlformats.org/officeDocument/2006/relationships/hyperlink" Target="mailto:yuloktavinojulidar@airasia.com,rismono@airasia.com,darmawanwawan@airasia.com,dandungtriehananto@airasia.com,syaifullah@airasia.com,saepulamin@airasia.com" TargetMode="External"/><Relationship Id="rId2" Type="http://schemas.openxmlformats.org/officeDocument/2006/relationships/hyperlink" Target="mailto:yuloktavinojulidar@airasia.com,mochamadruslani@airasia.com,nandangprianto@airasia.com,yudhonobudilaksono@airasia.com,ignatiussuryadi@airasia.com,rendisantana@airasia.com,allobudiyanto@airasia.com" TargetMode="External"/><Relationship Id="rId3" Type="http://schemas.openxmlformats.org/officeDocument/2006/relationships/hyperlink" Target="mailto:dcapenang@dca.gov.my" TargetMode="External"/><Relationship Id="rId4" Type="http://schemas.openxmlformats.org/officeDocument/2006/relationships/hyperlink" Target="http://www.meteosoekarnohatta.com/" TargetMode="External"/><Relationship Id="rId9" Type="http://schemas.openxmlformats.org/officeDocument/2006/relationships/hyperlink" Target="http://chronos.atfm.co.id/" TargetMode="External"/><Relationship Id="rId26" Type="http://schemas.openxmlformats.org/officeDocument/2006/relationships/hyperlink" Target="http://www.wunderground.com/q/zmw:00000.1.94610" TargetMode="External"/><Relationship Id="rId25" Type="http://schemas.openxmlformats.org/officeDocument/2006/relationships/hyperlink" Target="http://www.perthairport.com.au/index.aspx" TargetMode="External"/><Relationship Id="rId28" Type="http://schemas.openxmlformats.org/officeDocument/2006/relationships/hyperlink" Target="http://www.aerostratos.com/eaip/country.php" TargetMode="External"/><Relationship Id="rId27" Type="http://schemas.openxmlformats.org/officeDocument/2006/relationships/hyperlink" Target="https://crewnet.airasia.com/" TargetMode="External"/><Relationship Id="rId5" Type="http://schemas.openxmlformats.org/officeDocument/2006/relationships/hyperlink" Target="http://aamy-xensf01/Citrix/AIMSWeb/" TargetMode="External"/><Relationship Id="rId6" Type="http://schemas.openxmlformats.org/officeDocument/2006/relationships/hyperlink" Target="http://www.aim-jakarta.co.id/" TargetMode="External"/><Relationship Id="rId29" Type="http://schemas.openxmlformats.org/officeDocument/2006/relationships/hyperlink" Target="http://www.perthairport.com.au/FlightInformation/FlightSearch.aspx?Terminal=I&amp;FlightType=A" TargetMode="External"/><Relationship Id="rId7" Type="http://schemas.openxmlformats.org/officeDocument/2006/relationships/hyperlink" Target="http://www.bom.gov.au/info/vaac/advisories.shtml" TargetMode="External"/><Relationship Id="rId8" Type="http://schemas.openxmlformats.org/officeDocument/2006/relationships/hyperlink" Target="https://efpl.airnavindonesia.co.id/?link=login" TargetMode="External"/><Relationship Id="rId31" Type="http://schemas.openxmlformats.org/officeDocument/2006/relationships/hyperlink" Target="http://www.bom.gov.au/aviation/warnings/volcanic-ash/" TargetMode="External"/><Relationship Id="rId30" Type="http://schemas.openxmlformats.org/officeDocument/2006/relationships/hyperlink" Target="http://translate.google.co.id/" TargetMode="External"/><Relationship Id="rId11" Type="http://schemas.openxmlformats.org/officeDocument/2006/relationships/hyperlink" Target="mailto:BAGUSHERMAWAN@AIRASIA.COM" TargetMode="External"/><Relationship Id="rId33" Type="http://schemas.openxmlformats.org/officeDocument/2006/relationships/hyperlink" Target="http://aim-jakarta.co.id/aim/index.php?link=logout" TargetMode="External"/><Relationship Id="rId10" Type="http://schemas.openxmlformats.org/officeDocument/2006/relationships/hyperlink" Target="https://www.aviationweather.gov/adds/tafs?station_ids=wiii%20wihh%20wipp%20wimm%20warr%20wadd%20wadl%20waaa%20wsss%20wmkk%20wmkp%20wmkj%20wmsa%20vtbs%20vtbd%20vtbu%20vtcc&amp;std_trans=standard&amp;submit_both=Get%20TAFs%20and%20METARs" TargetMode="External"/><Relationship Id="rId32" Type="http://schemas.openxmlformats.org/officeDocument/2006/relationships/hyperlink" Target="http://www.faa.gov/air_traffic/publications/atpubs/aim/aim0501.html--" TargetMode="External"/><Relationship Id="rId13" Type="http://schemas.openxmlformats.org/officeDocument/2006/relationships/hyperlink" Target="mailto:iaa_dps_ops@airasia.com" TargetMode="External"/><Relationship Id="rId12" Type="http://schemas.openxmlformats.org/officeDocument/2006/relationships/hyperlink" Target="mailto:saa_gscontroller@airasia.com" TargetMode="External"/><Relationship Id="rId34" Type="http://schemas.openxmlformats.org/officeDocument/2006/relationships/drawing" Target="../drawings/drawing12.xml"/><Relationship Id="rId15" Type="http://schemas.openxmlformats.org/officeDocument/2006/relationships/hyperlink" Target="https://idexmail.airasia.com/owa/redir.aspx?C=d626f6121d2844e0b97e381625d2647d&amp;URL=mailto:atc.messages@flightfocus.net" TargetMode="External"/><Relationship Id="rId14" Type="http://schemas.openxmlformats.org/officeDocument/2006/relationships/hyperlink" Target="mailto:aax_ops_per@airasia.com" TargetMode="External"/><Relationship Id="rId17" Type="http://schemas.openxmlformats.org/officeDocument/2006/relationships/hyperlink" Target="https://149.122.26.44/GDOPS/Index.aspx" TargetMode="External"/><Relationship Id="rId16" Type="http://schemas.openxmlformats.org/officeDocument/2006/relationships/hyperlink" Target="mailto:iaa_dps_ramp@airasia.com" TargetMode="External"/><Relationship Id="rId19" Type="http://schemas.openxmlformats.org/officeDocument/2006/relationships/hyperlink" Target="http://172.30.4.58:1880/IframeContainer.aspx" TargetMode="External"/><Relationship Id="rId18" Type="http://schemas.openxmlformats.org/officeDocument/2006/relationships/hyperlink" Target="https://crewnet.airasia.com/VR_New/"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workbookViewId="0"/>
  </sheetViews>
  <sheetFormatPr customHeight="1" defaultColWidth="12.63" defaultRowHeight="15.0"/>
  <cols>
    <col customWidth="1" min="1" max="2" width="9.13"/>
    <col customWidth="1" min="3" max="3" width="10.63"/>
    <col customWidth="1" min="4" max="26" width="9.13"/>
  </cols>
  <sheetData>
    <row r="1" ht="14.25" customHeight="1"/>
    <row r="2" ht="14.25" customHeight="1">
      <c r="C2" s="2">
        <f>TODAY()</f>
        <v>46278</v>
      </c>
      <c r="I2" s="5" t="s">
        <v>0</v>
      </c>
      <c r="J2" s="6"/>
    </row>
    <row r="3" ht="14.25" customHeight="1">
      <c r="C3" s="7" t="s">
        <v>1</v>
      </c>
      <c r="I3" s="11">
        <f>F4-K3</f>
        <v>0.9895833333</v>
      </c>
      <c r="J3" s="12"/>
      <c r="K3" s="24">
        <v>0.25</v>
      </c>
    </row>
    <row r="4" ht="14.25" customHeight="1">
      <c r="C4" s="34" t="s">
        <v>9</v>
      </c>
      <c r="D4" s="34" t="s">
        <v>13</v>
      </c>
      <c r="E4" s="34" t="s">
        <v>14</v>
      </c>
      <c r="F4" s="36">
        <v>1.23958333333333</v>
      </c>
      <c r="G4" s="36">
        <v>0.326388888888889</v>
      </c>
    </row>
    <row r="5" ht="14.25" customHeight="1">
      <c r="C5" s="38" t="s">
        <v>16</v>
      </c>
      <c r="D5" s="34" t="str">
        <f>E4</f>
        <v>KUL</v>
      </c>
      <c r="E5" s="34" t="s">
        <v>13</v>
      </c>
      <c r="F5" s="36">
        <v>0.34375</v>
      </c>
      <c r="G5" s="40">
        <v>0.430555555555556</v>
      </c>
      <c r="H5" s="43" t="str">
        <f>C3</f>
        <v>PK-AZI</v>
      </c>
    </row>
    <row r="6" ht="14.25" customHeight="1">
      <c r="C6" s="47" t="s">
        <v>18</v>
      </c>
      <c r="D6" s="47" t="s">
        <v>13</v>
      </c>
      <c r="E6" s="47" t="s">
        <v>21</v>
      </c>
      <c r="F6" s="50">
        <v>0.5625</v>
      </c>
      <c r="G6" s="50">
        <v>0.635416666666667</v>
      </c>
      <c r="I6" s="53" t="s">
        <v>0</v>
      </c>
      <c r="J6" s="6"/>
    </row>
    <row r="7" ht="14.25" customHeight="1">
      <c r="C7" s="47" t="s">
        <v>24</v>
      </c>
      <c r="D7" s="47" t="str">
        <f>E6</f>
        <v>SIN</v>
      </c>
      <c r="E7" s="47" t="s">
        <v>13</v>
      </c>
      <c r="F7" s="50">
        <v>0.663194444444444</v>
      </c>
      <c r="G7" s="50">
        <v>0.736111111111111</v>
      </c>
      <c r="I7" s="62">
        <f>F4-K7</f>
        <v>1.114583333</v>
      </c>
      <c r="J7" s="12"/>
      <c r="K7" s="63">
        <v>0.125</v>
      </c>
    </row>
    <row r="8" ht="14.25" customHeight="1"/>
    <row r="9" ht="14.25" customHeight="1"/>
    <row r="10" ht="14.25" customHeight="1">
      <c r="C10" s="66" t="s">
        <v>28</v>
      </c>
      <c r="D10" s="66" t="s">
        <v>29</v>
      </c>
      <c r="E10" s="66" t="s">
        <v>30</v>
      </c>
      <c r="F10" s="66" t="s">
        <v>31</v>
      </c>
      <c r="G10" s="66" t="s">
        <v>32</v>
      </c>
      <c r="H10" s="66"/>
      <c r="I10" s="66" t="s">
        <v>33</v>
      </c>
      <c r="J10" s="66" t="s">
        <v>34</v>
      </c>
      <c r="K10" s="66" t="s">
        <v>35</v>
      </c>
    </row>
    <row r="11" ht="14.25" customHeight="1">
      <c r="C11" s="71"/>
      <c r="D11" s="71">
        <v>0.0</v>
      </c>
      <c r="E11" s="71">
        <v>0.0</v>
      </c>
      <c r="F11" s="71">
        <v>1000.0</v>
      </c>
      <c r="G11" s="71">
        <f>72+108</f>
        <v>180</v>
      </c>
      <c r="H11" s="71"/>
      <c r="I11" s="71" t="s">
        <v>39</v>
      </c>
      <c r="J11" s="71">
        <v>0.0</v>
      </c>
      <c r="K11" s="82">
        <v>0.0</v>
      </c>
    </row>
    <row r="12" ht="14.25" customHeight="1">
      <c r="C12" s="71"/>
      <c r="D12" s="71">
        <v>0.0</v>
      </c>
      <c r="E12" s="71">
        <v>0.0</v>
      </c>
      <c r="F12" s="71">
        <v>1000.0</v>
      </c>
      <c r="G12" s="71">
        <f>96+108</f>
        <v>204</v>
      </c>
      <c r="H12" s="71"/>
      <c r="I12" s="71" t="s">
        <v>41</v>
      </c>
      <c r="J12" s="84">
        <v>3000.0</v>
      </c>
      <c r="K12" s="86">
        <v>626.26</v>
      </c>
    </row>
    <row r="13" ht="14.25" customHeight="1">
      <c r="C13" s="89"/>
      <c r="D13" s="89"/>
      <c r="E13" s="89"/>
      <c r="F13" s="89"/>
      <c r="G13" s="89"/>
      <c r="H13" s="89"/>
      <c r="I13" s="89"/>
      <c r="J13" s="92"/>
      <c r="K13" s="89"/>
    </row>
    <row r="14" ht="14.25" customHeight="1">
      <c r="C14" s="89"/>
      <c r="D14" s="89"/>
      <c r="E14" s="89"/>
      <c r="F14" s="89"/>
      <c r="G14" s="89"/>
      <c r="H14" s="89"/>
      <c r="I14" s="89"/>
      <c r="J14" s="92"/>
      <c r="K14" s="96"/>
    </row>
    <row r="15" ht="14.25" customHeight="1"/>
    <row r="16" ht="14.25" customHeight="1"/>
    <row r="17" ht="14.25" customHeight="1">
      <c r="C17" s="1" t="s">
        <v>44</v>
      </c>
      <c r="D17" s="98" t="s">
        <v>45</v>
      </c>
    </row>
    <row r="18" ht="14.25" customHeight="1"/>
    <row r="19" ht="14.25" customHeight="1">
      <c r="C19" s="1" t="s">
        <v>46</v>
      </c>
      <c r="D19" s="101">
        <v>70794.0</v>
      </c>
    </row>
    <row r="20" ht="14.25" customHeight="1">
      <c r="C20" s="1" t="s">
        <v>48</v>
      </c>
      <c r="D20" s="101">
        <v>70795.0</v>
      </c>
      <c r="H20" s="102" t="s">
        <v>49</v>
      </c>
    </row>
    <row r="21" ht="14.25" customHeight="1">
      <c r="C21" s="103" t="s">
        <v>51</v>
      </c>
      <c r="D21" s="104"/>
    </row>
    <row r="22" ht="14.25" customHeight="1">
      <c r="C22" s="103" t="s">
        <v>52</v>
      </c>
      <c r="D22" s="104"/>
    </row>
    <row r="23" ht="14.25" customHeight="1"/>
    <row r="24" ht="14.25" customHeight="1"/>
    <row r="25" ht="14.25" customHeight="1">
      <c r="C25" s="1" t="s">
        <v>54</v>
      </c>
      <c r="D25" s="1" t="s">
        <v>55</v>
      </c>
    </row>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
    <mergeCell ref="I2:J2"/>
    <mergeCell ref="I3:J3"/>
    <mergeCell ref="I6:J6"/>
    <mergeCell ref="I7:J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workbookViewId="0"/>
  </sheetViews>
  <sheetFormatPr customHeight="1" defaultColWidth="12.63" defaultRowHeight="15.0"/>
  <cols>
    <col customWidth="1" min="1" max="1" width="1.88"/>
    <col customWidth="1" min="2" max="2" width="10.38"/>
    <col customWidth="1" min="3" max="3" width="10.13"/>
    <col customWidth="1" min="4" max="4" width="8.63"/>
    <col customWidth="1" min="5" max="5" width="10.5"/>
    <col customWidth="1" min="6" max="6" width="17.13"/>
    <col customWidth="1" min="7" max="7" width="8.25"/>
    <col customWidth="1" min="8" max="8" width="11.5"/>
    <col customWidth="1" min="9" max="9" width="7.0"/>
    <col customWidth="1" min="10" max="10" width="8.75"/>
    <col customWidth="1" min="11" max="12" width="9.5"/>
    <col customWidth="1" min="13" max="13" width="10.25"/>
    <col customWidth="1" min="14" max="14" width="8.38"/>
    <col customWidth="1" min="15" max="15" width="11.13"/>
    <col customWidth="1" min="16" max="16" width="13.13"/>
    <col customWidth="1" min="17" max="17" width="2.5"/>
    <col customWidth="1" min="18" max="18" width="11.13"/>
    <col customWidth="1" min="19" max="19" width="7.63"/>
    <col customWidth="1" min="20" max="20" width="1.38"/>
    <col customWidth="1" min="21" max="26" width="11.5"/>
  </cols>
  <sheetData>
    <row r="1" ht="15.75" customHeight="1">
      <c r="A1" s="4"/>
      <c r="B1" s="4"/>
      <c r="C1" s="4"/>
      <c r="D1" s="4"/>
      <c r="E1" s="4"/>
      <c r="F1" s="4"/>
      <c r="G1" s="4"/>
      <c r="H1" s="4"/>
      <c r="I1" s="4"/>
      <c r="J1" s="4"/>
      <c r="K1" s="4"/>
      <c r="L1" s="4"/>
      <c r="M1" s="4"/>
      <c r="N1" s="4"/>
      <c r="O1" s="4"/>
      <c r="P1" s="4"/>
      <c r="Q1" s="4"/>
      <c r="R1" s="4"/>
      <c r="S1" s="4"/>
      <c r="T1" s="4"/>
      <c r="U1" s="4"/>
      <c r="V1" s="4"/>
      <c r="W1" s="4"/>
      <c r="X1" s="4"/>
      <c r="Y1" s="4"/>
      <c r="Z1" s="4"/>
    </row>
    <row r="2" ht="67.5" customHeight="1">
      <c r="A2" s="4"/>
      <c r="B2" s="10" t="s">
        <v>2</v>
      </c>
      <c r="C2" s="9"/>
      <c r="D2" s="9"/>
      <c r="E2" s="9"/>
      <c r="F2" s="9"/>
      <c r="G2" s="9"/>
      <c r="H2" s="9"/>
      <c r="I2" s="9"/>
      <c r="J2" s="9"/>
      <c r="K2" s="9"/>
      <c r="L2" s="9"/>
      <c r="M2" s="9"/>
      <c r="N2" s="9"/>
      <c r="O2" s="9"/>
      <c r="P2" s="9"/>
      <c r="Q2" s="9"/>
      <c r="R2" s="9"/>
      <c r="S2" s="13"/>
      <c r="T2" s="4" t="s">
        <v>3</v>
      </c>
      <c r="U2" s="4"/>
      <c r="V2" s="4"/>
      <c r="W2" s="4"/>
      <c r="X2" s="4"/>
      <c r="Y2" s="4"/>
      <c r="Z2" s="4"/>
    </row>
    <row r="3" ht="22.5" customHeight="1">
      <c r="A3" s="4"/>
      <c r="B3" s="15"/>
      <c r="C3" s="4"/>
      <c r="D3" s="4"/>
      <c r="E3" s="4"/>
      <c r="F3" s="4"/>
      <c r="G3" s="4"/>
      <c r="H3" s="4"/>
      <c r="I3" s="4"/>
      <c r="J3" s="4"/>
      <c r="K3" s="4"/>
      <c r="L3" s="4"/>
      <c r="M3" s="4"/>
      <c r="N3" s="4"/>
      <c r="O3" s="4"/>
      <c r="P3" s="4"/>
      <c r="Q3" s="4"/>
      <c r="R3" s="4"/>
      <c r="S3" s="19"/>
      <c r="T3" s="4"/>
      <c r="U3" s="4"/>
      <c r="V3" s="4"/>
      <c r="W3" s="4"/>
      <c r="X3" s="4"/>
      <c r="Y3" s="4"/>
      <c r="Z3" s="4"/>
    </row>
    <row r="4" ht="18.75" customHeight="1">
      <c r="A4" s="4"/>
      <c r="B4" s="20" t="s">
        <v>5</v>
      </c>
      <c r="C4" s="23" t="s">
        <v>6</v>
      </c>
      <c r="D4" s="26"/>
      <c r="E4" s="27"/>
      <c r="F4" s="28" t="s">
        <v>7</v>
      </c>
      <c r="G4" s="29" t="s">
        <v>8</v>
      </c>
      <c r="H4" s="31"/>
      <c r="I4" s="28" t="s">
        <v>10</v>
      </c>
      <c r="J4" s="29" t="s">
        <v>11</v>
      </c>
      <c r="K4" s="33"/>
      <c r="L4" s="33"/>
      <c r="M4" s="28" t="s">
        <v>12</v>
      </c>
      <c r="N4" s="29" t="str">
        <f>'204'!I11</f>
        <v>WMSA</v>
      </c>
      <c r="O4" s="33"/>
      <c r="P4" s="39" t="s">
        <v>17</v>
      </c>
      <c r="Q4" s="33"/>
      <c r="R4" s="29">
        <f>'204'!D19</f>
        <v>70794</v>
      </c>
      <c r="S4" s="19"/>
      <c r="T4" s="4"/>
      <c r="U4" s="4"/>
      <c r="V4" s="4"/>
      <c r="W4" s="4"/>
      <c r="X4" s="4"/>
      <c r="Y4" s="4"/>
      <c r="Z4" s="4"/>
    </row>
    <row r="5" ht="6.0" customHeight="1">
      <c r="A5" s="4"/>
      <c r="B5" s="42"/>
      <c r="C5" s="45"/>
      <c r="D5" s="45"/>
      <c r="E5" s="45"/>
      <c r="F5" s="33"/>
      <c r="G5" s="45"/>
      <c r="H5" s="33"/>
      <c r="I5" s="33"/>
      <c r="J5" s="45"/>
      <c r="K5" s="33"/>
      <c r="L5" s="33"/>
      <c r="M5" s="28"/>
      <c r="N5" s="45"/>
      <c r="O5" s="33"/>
      <c r="P5" s="39"/>
      <c r="Q5" s="33"/>
      <c r="R5" s="45"/>
      <c r="S5" s="19"/>
      <c r="T5" s="4"/>
      <c r="U5" s="4"/>
      <c r="V5" s="4"/>
      <c r="W5" s="4"/>
      <c r="X5" s="4"/>
      <c r="Y5" s="4"/>
      <c r="Z5" s="4"/>
    </row>
    <row r="6" ht="18.75" customHeight="1">
      <c r="A6" s="4"/>
      <c r="B6" s="20" t="s">
        <v>20</v>
      </c>
      <c r="C6" s="52">
        <f>TODAY()</f>
        <v>46278</v>
      </c>
      <c r="D6" s="26"/>
      <c r="E6" s="27"/>
      <c r="F6" s="28" t="s">
        <v>22</v>
      </c>
      <c r="G6" s="29" t="str">
        <f>J4</f>
        <v>WMKK</v>
      </c>
      <c r="H6" s="31"/>
      <c r="I6" s="28" t="s">
        <v>23</v>
      </c>
      <c r="J6" s="29" t="s">
        <v>8</v>
      </c>
      <c r="K6" s="33"/>
      <c r="L6" s="33"/>
      <c r="M6" s="28" t="s">
        <v>12</v>
      </c>
      <c r="N6" s="29" t="str">
        <f>'204'!I12</f>
        <v>WILL</v>
      </c>
      <c r="O6" s="33"/>
      <c r="P6" s="39" t="s">
        <v>17</v>
      </c>
      <c r="Q6" s="33"/>
      <c r="R6" s="29">
        <f>'204'!D20</f>
        <v>70795</v>
      </c>
      <c r="S6" s="19"/>
      <c r="T6" s="4"/>
      <c r="U6" s="4"/>
      <c r="V6" s="4"/>
      <c r="W6" s="4"/>
      <c r="X6" s="4"/>
      <c r="Y6" s="4"/>
      <c r="Z6" s="4"/>
    </row>
    <row r="7" ht="6.0" customHeight="1">
      <c r="A7" s="4"/>
      <c r="B7" s="20"/>
      <c r="C7" s="58"/>
      <c r="D7" s="45"/>
      <c r="E7" s="45"/>
      <c r="F7" s="33"/>
      <c r="G7" s="33"/>
      <c r="H7" s="33"/>
      <c r="I7" s="33"/>
      <c r="J7" s="33"/>
      <c r="K7" s="33"/>
      <c r="L7" s="33"/>
      <c r="M7" s="33"/>
      <c r="N7" s="33"/>
      <c r="O7" s="33"/>
      <c r="P7" s="39"/>
      <c r="Q7" s="33"/>
      <c r="R7" s="33"/>
      <c r="S7" s="19"/>
      <c r="T7" s="4"/>
      <c r="U7" s="4"/>
      <c r="V7" s="4"/>
      <c r="W7" s="4"/>
      <c r="X7" s="4"/>
      <c r="Y7" s="4"/>
      <c r="Z7" s="4"/>
    </row>
    <row r="8" ht="18.75" customHeight="1">
      <c r="A8" s="4"/>
      <c r="B8" s="20" t="s">
        <v>25</v>
      </c>
      <c r="C8" s="64" t="str">
        <f>'204'!C3</f>
        <v>PK-AZI</v>
      </c>
      <c r="D8" s="72" t="str">
        <f>'204'!H5</f>
        <v>PK-AZI</v>
      </c>
      <c r="E8" s="74"/>
      <c r="F8" s="75" t="s">
        <v>36</v>
      </c>
      <c r="G8" s="78" t="s">
        <v>8</v>
      </c>
      <c r="H8" s="80"/>
      <c r="I8" s="75" t="s">
        <v>37</v>
      </c>
      <c r="J8" s="78" t="s">
        <v>38</v>
      </c>
      <c r="K8" s="83"/>
      <c r="L8" s="83"/>
      <c r="M8" s="75" t="s">
        <v>12</v>
      </c>
      <c r="N8" s="78" t="str">
        <f>'810'!BH13</f>
        <v>#REF!</v>
      </c>
      <c r="O8" s="83"/>
      <c r="P8" s="90" t="s">
        <v>17</v>
      </c>
      <c r="Q8" s="83"/>
      <c r="R8" s="78" t="str">
        <f>'810'!BC21</f>
        <v>#REF!</v>
      </c>
      <c r="S8" s="19"/>
      <c r="T8" s="4"/>
      <c r="U8" s="4"/>
      <c r="V8" s="4"/>
      <c r="W8" s="4"/>
      <c r="X8" s="4"/>
      <c r="Y8" s="4"/>
      <c r="Z8" s="4"/>
    </row>
    <row r="9" ht="5.25" customHeight="1">
      <c r="A9" s="4"/>
      <c r="B9" s="94"/>
      <c r="C9" s="33"/>
      <c r="D9" s="33"/>
      <c r="E9" s="33"/>
      <c r="F9" s="95"/>
      <c r="G9" s="95"/>
      <c r="H9" s="83"/>
      <c r="I9" s="95"/>
      <c r="J9" s="83"/>
      <c r="K9" s="95"/>
      <c r="L9" s="95"/>
      <c r="M9" s="83"/>
      <c r="N9" s="83"/>
      <c r="O9" s="83"/>
      <c r="P9" s="90"/>
      <c r="Q9" s="83"/>
      <c r="R9" s="83"/>
      <c r="S9" s="19"/>
      <c r="T9" s="4"/>
      <c r="U9" s="4"/>
      <c r="V9" s="4"/>
      <c r="W9" s="4"/>
      <c r="X9" s="4"/>
      <c r="Y9" s="4"/>
      <c r="Z9" s="4"/>
    </row>
    <row r="10" ht="15.75" customHeight="1">
      <c r="A10" s="4"/>
      <c r="B10" s="15"/>
      <c r="C10" s="33"/>
      <c r="D10" s="33"/>
      <c r="E10" s="33"/>
      <c r="F10" s="75" t="s">
        <v>47</v>
      </c>
      <c r="G10" s="78" t="str">
        <f>J8</f>
        <v>WSSS</v>
      </c>
      <c r="H10" s="80"/>
      <c r="I10" s="75" t="s">
        <v>50</v>
      </c>
      <c r="J10" s="78" t="s">
        <v>8</v>
      </c>
      <c r="K10" s="83"/>
      <c r="L10" s="83"/>
      <c r="M10" s="75" t="s">
        <v>12</v>
      </c>
      <c r="N10" s="78" t="str">
        <f>'810'!BH14</f>
        <v>#REF!</v>
      </c>
      <c r="O10" s="83"/>
      <c r="P10" s="90" t="s">
        <v>17</v>
      </c>
      <c r="Q10" s="83"/>
      <c r="R10" s="78" t="str">
        <f>'810'!BC22</f>
        <v>#REF!</v>
      </c>
      <c r="S10" s="19"/>
      <c r="T10" s="4"/>
      <c r="U10" s="4"/>
      <c r="V10" s="4"/>
      <c r="W10" s="4"/>
      <c r="X10" s="4"/>
      <c r="Y10" s="4"/>
      <c r="Z10" s="4"/>
    </row>
    <row r="11" ht="6.0" customHeight="1">
      <c r="A11" s="4"/>
      <c r="B11" s="15"/>
      <c r="C11" s="4"/>
      <c r="D11" s="4"/>
      <c r="E11" s="4"/>
      <c r="F11" s="4"/>
      <c r="G11" s="4"/>
      <c r="H11" s="4"/>
      <c r="I11" s="4"/>
      <c r="J11" s="4"/>
      <c r="K11" s="4"/>
      <c r="L11" s="4"/>
      <c r="M11" s="4"/>
      <c r="N11" s="4"/>
      <c r="O11" s="4"/>
      <c r="P11" s="4"/>
      <c r="Q11" s="4"/>
      <c r="R11" s="4"/>
      <c r="S11" s="19"/>
      <c r="T11" s="4"/>
      <c r="U11" s="4"/>
      <c r="V11" s="4"/>
      <c r="W11" s="4"/>
      <c r="X11" s="4"/>
      <c r="Y11" s="4"/>
      <c r="Z11" s="4"/>
    </row>
    <row r="12" ht="18.75" customHeight="1">
      <c r="A12" s="4"/>
      <c r="B12" s="15"/>
      <c r="C12" s="33" t="s">
        <v>58</v>
      </c>
      <c r="D12" s="4"/>
      <c r="E12" s="4"/>
      <c r="F12" s="4"/>
      <c r="G12" s="4"/>
      <c r="H12" s="4"/>
      <c r="I12" s="4"/>
      <c r="J12" s="4"/>
      <c r="K12" s="4"/>
      <c r="L12" s="4"/>
      <c r="M12" s="4"/>
      <c r="N12" s="4"/>
      <c r="O12" s="4"/>
      <c r="P12" s="4"/>
      <c r="Q12" s="4"/>
      <c r="R12" s="108"/>
      <c r="S12" s="19"/>
      <c r="T12" s="4"/>
      <c r="U12" s="4"/>
      <c r="V12" s="4"/>
      <c r="W12" s="4"/>
      <c r="X12" s="4"/>
      <c r="Y12" s="4"/>
      <c r="Z12" s="4"/>
    </row>
    <row r="13" ht="72.75" customHeight="1">
      <c r="A13" s="4"/>
      <c r="B13" s="15"/>
      <c r="C13" s="111" t="s">
        <v>8</v>
      </c>
      <c r="D13" s="112" t="s">
        <v>60</v>
      </c>
      <c r="E13" s="87"/>
      <c r="F13" s="87"/>
      <c r="G13" s="87"/>
      <c r="H13" s="87"/>
      <c r="I13" s="87"/>
      <c r="J13" s="87"/>
      <c r="K13" s="87"/>
      <c r="L13" s="87"/>
      <c r="M13" s="87"/>
      <c r="N13" s="87"/>
      <c r="O13" s="87"/>
      <c r="P13" s="87"/>
      <c r="Q13" s="87"/>
      <c r="R13" s="88"/>
      <c r="S13" s="113"/>
      <c r="T13" s="4"/>
      <c r="U13" s="4"/>
      <c r="V13" s="4"/>
      <c r="W13" s="4"/>
      <c r="X13" s="4"/>
      <c r="Y13" s="4"/>
      <c r="Z13" s="4"/>
    </row>
    <row r="14" ht="57.0" customHeight="1">
      <c r="A14" s="4"/>
      <c r="B14" s="15"/>
      <c r="C14" s="111" t="s">
        <v>11</v>
      </c>
      <c r="D14" s="112" t="s">
        <v>61</v>
      </c>
      <c r="E14" s="87"/>
      <c r="F14" s="87"/>
      <c r="G14" s="87"/>
      <c r="H14" s="87"/>
      <c r="I14" s="87"/>
      <c r="J14" s="87"/>
      <c r="K14" s="87"/>
      <c r="L14" s="87"/>
      <c r="M14" s="87"/>
      <c r="N14" s="87"/>
      <c r="O14" s="87"/>
      <c r="P14" s="87"/>
      <c r="Q14" s="87"/>
      <c r="R14" s="88"/>
      <c r="S14" s="113"/>
      <c r="T14" s="4"/>
      <c r="U14" s="4"/>
      <c r="V14" s="4"/>
      <c r="W14" s="4"/>
      <c r="X14" s="4"/>
      <c r="Y14" s="4"/>
      <c r="Z14" s="4"/>
    </row>
    <row r="15" ht="90.75" customHeight="1">
      <c r="A15" s="4"/>
      <c r="B15" s="15"/>
      <c r="C15" s="111" t="s">
        <v>39</v>
      </c>
      <c r="D15" s="112" t="s">
        <v>62</v>
      </c>
      <c r="E15" s="87"/>
      <c r="F15" s="87"/>
      <c r="G15" s="87"/>
      <c r="H15" s="87"/>
      <c r="I15" s="87"/>
      <c r="J15" s="87"/>
      <c r="K15" s="87"/>
      <c r="L15" s="87"/>
      <c r="M15" s="87"/>
      <c r="N15" s="87"/>
      <c r="O15" s="87"/>
      <c r="P15" s="87"/>
      <c r="Q15" s="87"/>
      <c r="R15" s="88"/>
      <c r="S15" s="117"/>
      <c r="T15" s="4"/>
      <c r="U15" s="4"/>
      <c r="V15" s="4"/>
      <c r="W15" s="4"/>
      <c r="X15" s="4"/>
      <c r="Y15" s="4"/>
      <c r="Z15" s="4"/>
    </row>
    <row r="16" ht="69.0" customHeight="1">
      <c r="A16" s="4"/>
      <c r="B16" s="15"/>
      <c r="C16" s="111" t="s">
        <v>64</v>
      </c>
      <c r="D16" s="112" t="s">
        <v>66</v>
      </c>
      <c r="E16" s="87"/>
      <c r="F16" s="87"/>
      <c r="G16" s="87"/>
      <c r="H16" s="87"/>
      <c r="I16" s="87"/>
      <c r="J16" s="87"/>
      <c r="K16" s="87"/>
      <c r="L16" s="87"/>
      <c r="M16" s="87"/>
      <c r="N16" s="87"/>
      <c r="O16" s="87"/>
      <c r="P16" s="87"/>
      <c r="Q16" s="87"/>
      <c r="R16" s="88"/>
      <c r="S16" s="119"/>
      <c r="T16" s="4"/>
      <c r="U16" s="4"/>
      <c r="V16" s="4"/>
      <c r="W16" s="4"/>
      <c r="X16" s="4"/>
      <c r="Y16" s="4"/>
      <c r="Z16" s="4"/>
    </row>
    <row r="17" ht="51.0" customHeight="1">
      <c r="A17" s="4"/>
      <c r="B17" s="15"/>
      <c r="C17" s="111" t="s">
        <v>41</v>
      </c>
      <c r="D17" s="112" t="s">
        <v>68</v>
      </c>
      <c r="E17" s="87"/>
      <c r="F17" s="87"/>
      <c r="G17" s="87"/>
      <c r="H17" s="87"/>
      <c r="I17" s="87"/>
      <c r="J17" s="87"/>
      <c r="K17" s="87"/>
      <c r="L17" s="87"/>
      <c r="M17" s="87"/>
      <c r="N17" s="87"/>
      <c r="O17" s="87"/>
      <c r="P17" s="87"/>
      <c r="Q17" s="87"/>
      <c r="R17" s="88"/>
      <c r="S17" s="119"/>
      <c r="T17" s="4"/>
      <c r="U17" s="4"/>
      <c r="V17" s="4"/>
      <c r="W17" s="4"/>
      <c r="X17" s="4"/>
      <c r="Y17" s="4"/>
      <c r="Z17" s="4"/>
    </row>
    <row r="18" ht="54.75" customHeight="1">
      <c r="A18" s="4"/>
      <c r="B18" s="15"/>
      <c r="C18" s="111" t="s">
        <v>69</v>
      </c>
      <c r="D18" s="112" t="s">
        <v>70</v>
      </c>
      <c r="E18" s="87"/>
      <c r="F18" s="87"/>
      <c r="G18" s="87"/>
      <c r="H18" s="87"/>
      <c r="I18" s="87"/>
      <c r="J18" s="87"/>
      <c r="K18" s="87"/>
      <c r="L18" s="87"/>
      <c r="M18" s="87"/>
      <c r="N18" s="87"/>
      <c r="O18" s="87"/>
      <c r="P18" s="87"/>
      <c r="Q18" s="87"/>
      <c r="R18" s="88"/>
      <c r="S18" s="119"/>
      <c r="T18" s="4"/>
      <c r="U18" s="4"/>
      <c r="V18" s="4"/>
      <c r="W18" s="4"/>
      <c r="X18" s="4"/>
      <c r="Y18" s="4"/>
      <c r="Z18" s="4"/>
    </row>
    <row r="19" ht="15.75" customHeight="1">
      <c r="A19" s="4"/>
      <c r="B19" s="15"/>
      <c r="C19" s="33"/>
      <c r="D19" s="33"/>
      <c r="E19" s="33"/>
      <c r="F19" s="33"/>
      <c r="G19" s="33"/>
      <c r="H19" s="33"/>
      <c r="I19" s="33"/>
      <c r="J19" s="33"/>
      <c r="K19" s="33"/>
      <c r="L19" s="33"/>
      <c r="M19" s="33"/>
      <c r="N19" s="33"/>
      <c r="O19" s="33"/>
      <c r="P19" s="33"/>
      <c r="Q19" s="33"/>
      <c r="R19" s="121"/>
      <c r="S19" s="19"/>
      <c r="T19" s="4"/>
      <c r="U19" s="4"/>
      <c r="V19" s="4"/>
      <c r="W19" s="4"/>
      <c r="X19" s="4"/>
      <c r="Y19" s="4"/>
      <c r="Z19" s="4"/>
    </row>
    <row r="20" ht="15.75" customHeight="1">
      <c r="A20" s="4"/>
      <c r="B20" s="15"/>
      <c r="C20" s="123"/>
      <c r="D20" s="124" t="s">
        <v>73</v>
      </c>
      <c r="E20" s="123" t="s">
        <v>74</v>
      </c>
      <c r="F20" s="125" t="s">
        <v>75</v>
      </c>
      <c r="G20" s="126"/>
      <c r="H20" s="126"/>
      <c r="I20" s="126"/>
      <c r="J20" s="127"/>
      <c r="K20" s="124" t="s">
        <v>73</v>
      </c>
      <c r="L20" s="124" t="s">
        <v>73</v>
      </c>
      <c r="M20" s="123" t="s">
        <v>74</v>
      </c>
      <c r="N20" s="125" t="s">
        <v>75</v>
      </c>
      <c r="O20" s="126"/>
      <c r="P20" s="126"/>
      <c r="Q20" s="126"/>
      <c r="R20" s="127"/>
      <c r="S20" s="128"/>
      <c r="T20" s="4"/>
      <c r="U20" s="4"/>
      <c r="V20" s="4"/>
      <c r="W20" s="4"/>
      <c r="X20" s="4"/>
      <c r="Y20" s="4"/>
      <c r="Z20" s="4"/>
    </row>
    <row r="21" ht="15.75" customHeight="1">
      <c r="A21" s="4"/>
      <c r="B21" s="15"/>
      <c r="C21" s="130"/>
      <c r="D21" s="131" t="s">
        <v>76</v>
      </c>
      <c r="E21" s="130"/>
      <c r="F21" s="132"/>
      <c r="G21" s="133"/>
      <c r="H21" s="133"/>
      <c r="I21" s="133"/>
      <c r="J21" s="134"/>
      <c r="K21" s="131" t="s">
        <v>76</v>
      </c>
      <c r="L21" s="131" t="s">
        <v>76</v>
      </c>
      <c r="M21" s="130"/>
      <c r="N21" s="132"/>
      <c r="O21" s="133"/>
      <c r="P21" s="133"/>
      <c r="Q21" s="133"/>
      <c r="R21" s="134"/>
      <c r="S21" s="128"/>
      <c r="T21" s="4"/>
      <c r="U21" s="4"/>
      <c r="V21" s="4"/>
      <c r="W21" s="4"/>
      <c r="X21" s="4"/>
      <c r="Y21" s="4"/>
      <c r="Z21" s="4"/>
    </row>
    <row r="22" ht="49.5" customHeight="1">
      <c r="A22" s="4"/>
      <c r="B22" s="15"/>
      <c r="C22" s="135" t="s">
        <v>7</v>
      </c>
      <c r="D22" s="135" t="s">
        <v>8</v>
      </c>
      <c r="E22" s="140">
        <f>'204'!F4</f>
        <v>1.239583333</v>
      </c>
      <c r="F22" s="141" t="s">
        <v>77</v>
      </c>
      <c r="G22" s="87"/>
      <c r="H22" s="87"/>
      <c r="I22" s="87"/>
      <c r="J22" s="88"/>
      <c r="K22" s="143" t="s">
        <v>36</v>
      </c>
      <c r="L22" s="143" t="str">
        <f>G8</f>
        <v>WIII</v>
      </c>
      <c r="M22" s="150" t="str">
        <f>'810'!BE6</f>
        <v>#REF!</v>
      </c>
      <c r="N22" s="152"/>
      <c r="O22" s="87"/>
      <c r="P22" s="87"/>
      <c r="Q22" s="87"/>
      <c r="R22" s="88"/>
      <c r="S22" s="128"/>
      <c r="T22" s="4"/>
      <c r="U22" s="4"/>
      <c r="V22" s="4"/>
      <c r="W22" s="4"/>
      <c r="X22" s="4"/>
      <c r="Y22" s="4"/>
      <c r="Z22" s="4"/>
    </row>
    <row r="23" ht="49.5" customHeight="1">
      <c r="A23" s="4"/>
      <c r="B23" s="15"/>
      <c r="C23" s="135" t="s">
        <v>10</v>
      </c>
      <c r="D23" s="135" t="str">
        <f>J4</f>
        <v>WMKK</v>
      </c>
      <c r="E23" s="140">
        <f>'204'!G4</f>
        <v>0.3263888889</v>
      </c>
      <c r="F23" s="141" t="s">
        <v>83</v>
      </c>
      <c r="G23" s="87"/>
      <c r="H23" s="87"/>
      <c r="I23" s="87"/>
      <c r="J23" s="88"/>
      <c r="K23" s="143" t="s">
        <v>37</v>
      </c>
      <c r="L23" s="143" t="str">
        <f>J8</f>
        <v>WSSS</v>
      </c>
      <c r="M23" s="150" t="str">
        <f>'810'!BF6</f>
        <v>#REF!</v>
      </c>
      <c r="N23" s="167"/>
      <c r="O23" s="87"/>
      <c r="P23" s="87"/>
      <c r="Q23" s="87"/>
      <c r="R23" s="88"/>
      <c r="S23" s="128"/>
      <c r="T23" s="4"/>
      <c r="U23" s="4"/>
      <c r="V23" s="4"/>
      <c r="W23" s="4"/>
      <c r="X23" s="4"/>
      <c r="Y23" s="4"/>
      <c r="Z23" s="4"/>
    </row>
    <row r="24" ht="49.5" customHeight="1">
      <c r="A24" s="4"/>
      <c r="B24" s="15"/>
      <c r="C24" s="135" t="s">
        <v>22</v>
      </c>
      <c r="D24" s="170" t="str">
        <f>G6</f>
        <v>WMKK</v>
      </c>
      <c r="E24" s="140">
        <f>'204'!F5</f>
        <v>0.34375</v>
      </c>
      <c r="F24" s="141" t="s">
        <v>83</v>
      </c>
      <c r="G24" s="87"/>
      <c r="H24" s="87"/>
      <c r="I24" s="87"/>
      <c r="J24" s="88"/>
      <c r="K24" s="143" t="s">
        <v>47</v>
      </c>
      <c r="L24" s="175" t="str">
        <f>G10</f>
        <v>WSSS</v>
      </c>
      <c r="M24" s="150" t="str">
        <f>'810'!BE7</f>
        <v>#REF!</v>
      </c>
      <c r="N24" s="167"/>
      <c r="O24" s="87"/>
      <c r="P24" s="87"/>
      <c r="Q24" s="87"/>
      <c r="R24" s="88"/>
      <c r="S24" s="128"/>
      <c r="T24" s="4"/>
      <c r="U24" s="4"/>
      <c r="V24" s="4"/>
      <c r="W24" s="4"/>
      <c r="X24" s="4"/>
      <c r="Y24" s="4"/>
      <c r="Z24" s="4"/>
    </row>
    <row r="25" ht="49.5" customHeight="1">
      <c r="A25" s="4"/>
      <c r="B25" s="15"/>
      <c r="C25" s="135" t="s">
        <v>23</v>
      </c>
      <c r="D25" s="135" t="str">
        <f>J6</f>
        <v>WIII</v>
      </c>
      <c r="E25" s="140">
        <f>'204'!G5</f>
        <v>0.4305555556</v>
      </c>
      <c r="F25" s="141" t="s">
        <v>77</v>
      </c>
      <c r="G25" s="87"/>
      <c r="H25" s="87"/>
      <c r="I25" s="87"/>
      <c r="J25" s="88"/>
      <c r="K25" s="143" t="s">
        <v>50</v>
      </c>
      <c r="L25" s="143" t="str">
        <f>J10</f>
        <v>WIII</v>
      </c>
      <c r="M25" s="150" t="str">
        <f>'810'!BF7</f>
        <v>#REF!</v>
      </c>
      <c r="N25" s="152"/>
      <c r="O25" s="87"/>
      <c r="P25" s="87"/>
      <c r="Q25" s="87"/>
      <c r="R25" s="88"/>
      <c r="S25" s="128"/>
      <c r="T25" s="4"/>
      <c r="U25" s="4"/>
      <c r="V25" s="4"/>
      <c r="W25" s="4"/>
      <c r="X25" s="4"/>
      <c r="Y25" s="4"/>
      <c r="Z25" s="4"/>
    </row>
    <row r="26" ht="6.0" customHeight="1">
      <c r="A26" s="4"/>
      <c r="B26" s="15"/>
      <c r="C26" s="135"/>
      <c r="D26" s="135"/>
      <c r="E26" s="170"/>
      <c r="F26" s="277"/>
      <c r="G26" s="87"/>
      <c r="H26" s="87"/>
      <c r="I26" s="87"/>
      <c r="J26" s="88"/>
      <c r="K26" s="135"/>
      <c r="L26" s="135"/>
      <c r="M26" s="170"/>
      <c r="N26" s="280"/>
      <c r="O26" s="280"/>
      <c r="P26" s="280"/>
      <c r="Q26" s="280"/>
      <c r="R26" s="282"/>
      <c r="S26" s="19"/>
      <c r="T26" s="4"/>
      <c r="U26" s="4"/>
      <c r="V26" s="4"/>
      <c r="W26" s="4"/>
      <c r="X26" s="4"/>
      <c r="Y26" s="4"/>
      <c r="Z26" s="4"/>
    </row>
    <row r="27" ht="15.75" customHeight="1">
      <c r="A27" s="4"/>
      <c r="B27" s="15"/>
      <c r="C27" s="284"/>
      <c r="D27" s="284"/>
      <c r="E27" s="285"/>
      <c r="F27" s="284"/>
      <c r="G27" s="284"/>
      <c r="H27" s="284"/>
      <c r="I27" s="284"/>
      <c r="J27" s="284"/>
      <c r="K27" s="284"/>
      <c r="L27" s="284"/>
      <c r="M27" s="284"/>
      <c r="N27" s="284"/>
      <c r="O27" s="284"/>
      <c r="P27" s="284"/>
      <c r="Q27" s="284"/>
      <c r="R27" s="287"/>
      <c r="S27" s="128"/>
      <c r="T27" s="4"/>
      <c r="U27" s="4"/>
      <c r="V27" s="4"/>
      <c r="W27" s="4"/>
      <c r="X27" s="4"/>
      <c r="Y27" s="4"/>
      <c r="Z27" s="4"/>
    </row>
    <row r="28" ht="15.75" customHeight="1">
      <c r="A28" s="4"/>
      <c r="B28" s="15"/>
      <c r="C28" s="123"/>
      <c r="D28" s="293" t="s">
        <v>73</v>
      </c>
      <c r="E28" s="125" t="s">
        <v>119</v>
      </c>
      <c r="F28" s="126"/>
      <c r="G28" s="126"/>
      <c r="H28" s="126"/>
      <c r="I28" s="126"/>
      <c r="J28" s="126"/>
      <c r="K28" s="126"/>
      <c r="L28" s="126"/>
      <c r="M28" s="126"/>
      <c r="N28" s="126"/>
      <c r="O28" s="126"/>
      <c r="P28" s="126"/>
      <c r="Q28" s="126"/>
      <c r="R28" s="127"/>
      <c r="S28" s="128"/>
      <c r="T28" s="4"/>
      <c r="U28" s="4"/>
      <c r="V28" s="4"/>
      <c r="W28" s="4"/>
      <c r="X28" s="4"/>
      <c r="Y28" s="4"/>
      <c r="Z28" s="4"/>
    </row>
    <row r="29" ht="15.75" customHeight="1">
      <c r="A29" s="4"/>
      <c r="B29" s="15"/>
      <c r="C29" s="130"/>
      <c r="D29" s="300" t="s">
        <v>76</v>
      </c>
      <c r="E29" s="132"/>
      <c r="F29" s="133"/>
      <c r="G29" s="133"/>
      <c r="H29" s="133"/>
      <c r="I29" s="133"/>
      <c r="J29" s="133"/>
      <c r="K29" s="133"/>
      <c r="L29" s="133"/>
      <c r="M29" s="133"/>
      <c r="N29" s="133"/>
      <c r="O29" s="133"/>
      <c r="P29" s="133"/>
      <c r="Q29" s="133"/>
      <c r="R29" s="134"/>
      <c r="S29" s="128"/>
      <c r="T29" s="4"/>
      <c r="U29" s="4"/>
      <c r="V29" s="4"/>
      <c r="W29" s="4"/>
      <c r="X29" s="4"/>
      <c r="Y29" s="4"/>
      <c r="Z29" s="4"/>
    </row>
    <row r="30" ht="3.0" customHeight="1">
      <c r="A30" s="4"/>
      <c r="B30" s="15"/>
      <c r="C30" s="304"/>
      <c r="D30" s="304"/>
      <c r="E30" s="306"/>
      <c r="F30" s="308"/>
      <c r="G30" s="308"/>
      <c r="H30" s="308"/>
      <c r="I30" s="308"/>
      <c r="J30" s="308"/>
      <c r="K30" s="308"/>
      <c r="L30" s="308"/>
      <c r="M30" s="308"/>
      <c r="N30" s="308"/>
      <c r="O30" s="308"/>
      <c r="P30" s="308"/>
      <c r="Q30" s="308"/>
      <c r="R30" s="311"/>
      <c r="S30" s="299"/>
      <c r="T30" s="4"/>
      <c r="U30" s="4"/>
      <c r="V30" s="4"/>
      <c r="W30" s="4"/>
      <c r="X30" s="4"/>
      <c r="Y30" s="4"/>
      <c r="Z30" s="4"/>
    </row>
    <row r="31" ht="264.0" customHeight="1">
      <c r="A31" s="4"/>
      <c r="B31" s="15"/>
      <c r="C31" s="312"/>
      <c r="D31" s="302" t="s">
        <v>8</v>
      </c>
      <c r="E31" s="305" t="str">
        <f>NOTAM!B3</f>
        <v>A2668/24 - RWY 06/24 CLSD DUE TO RUBBER DEPOSITE REMOVAL. DAILY 1600-2200, 04 OCT 16:00 2024 UNTIL 11 OCT 22:00 2024. CREATED: 02 SEP 12:03 2024
A2667/24 - RWY 07L/25R CLSD DUE TO RUBBER DEPOSITE REMOVAL. SEP 05 1600-2200 06-07 1500-2200 08 1600-2200 09-10 1500-2200 OCT 04-05 1500-2200 06 1600-2200 07-09 1500-2200 10 1600-2200 11 1500-2200, 05 SEP 16:00 2024 UNTIL 11 OCT 22:00 2024. CREATED: 02 SEP 11:58 2024
A2175/24 - INSET THR LGT ON RWY 07R/25L U/S DUE TO WIP
RMK: ELEVATED THR LGT AVBL. 01 AUG 00:00 2024 UNTIL 31 OCT 23:59 2024. CREATED: 18 JUL 13:14 2024
A2172/24 - RWY CENTRE LINE LGT ON RWY 07R/25L U/S DUE TO WIP. 01 AUG 00:00 2024 UNTIL 31 OCT 23:59 2024. CREATED: 18 JUL 12:50 2024</v>
      </c>
      <c r="F31" s="87"/>
      <c r="G31" s="87"/>
      <c r="H31" s="87"/>
      <c r="I31" s="87"/>
      <c r="J31" s="87"/>
      <c r="K31" s="87"/>
      <c r="L31" s="87"/>
      <c r="M31" s="87"/>
      <c r="N31" s="87"/>
      <c r="O31" s="87"/>
      <c r="P31" s="87"/>
      <c r="Q31" s="87"/>
      <c r="R31" s="88"/>
      <c r="S31" s="299"/>
      <c r="T31" s="4"/>
      <c r="U31" s="4"/>
      <c r="V31" s="4"/>
      <c r="W31" s="4"/>
      <c r="X31" s="4"/>
      <c r="Y31" s="4"/>
      <c r="Z31" s="4"/>
    </row>
    <row r="32" ht="304.5" customHeight="1">
      <c r="A32" s="4"/>
      <c r="B32" s="15"/>
      <c r="C32" s="304"/>
      <c r="D32" s="111" t="s">
        <v>11</v>
      </c>
      <c r="E32" s="305" t="str">
        <f>NOTAM!D4</f>
        <v>A3997/24 - SEQUENCED FLG LGT RWY32L U/S. 03 OCT 08:15 2024 UNTIL 28 NOV 23:59 2024. CREATED: 03 OCT 08:14 2024
A3955/24 - STOPBAR AND LEAD IN LGT FM P1 TIL P4 AND FM Q5 TIL Q7 U/S. 01 OCT 18:18 2024 UNTIL 30 OCT 23:59 2024. CREATED: 01 OCT 18:21 2024
A3954/24 - STOPBAR AND LEAD IN LGT FM Y1 TIL Y9 U/S. 01 OCT 18:12 2024 UNTIL 30 OCT 23:59 2024. CREATED: 01 OCT 18:15 2024
A3850/24 - SEQUENCED FLG LGT RWY32R U/S. 24 SEP 14:00 2024 UNTIL 24 OCT 22:00 2024. CREATED: 24 SEP 13:56 2024
A3602/24 - AUTOMATED WEATHER OBSERVING SYSTEM (AWOS) RWY 14L/32R U/S. 05 SEP 07:05 2024 UNTIL 27 NOV 23:59 2024. CREATED: 05 SEP 07:08 2024
A2389/24 - PILOT SHALL MAINTAIN SPEED 160KIAS AT 10NM UNTIL 5NM TO TOUCHDOWN. 01 JUL 03:48 2024 UNTIL PERM. CREATED: 01 JUL 04:07 2024</v>
      </c>
      <c r="F32" s="87"/>
      <c r="G32" s="87"/>
      <c r="H32" s="87"/>
      <c r="I32" s="87"/>
      <c r="J32" s="87"/>
      <c r="K32" s="87"/>
      <c r="L32" s="87"/>
      <c r="M32" s="87"/>
      <c r="N32" s="87"/>
      <c r="O32" s="87"/>
      <c r="P32" s="87"/>
      <c r="Q32" s="87"/>
      <c r="R32" s="88"/>
      <c r="S32" s="299"/>
      <c r="T32" s="4"/>
      <c r="U32" s="4"/>
      <c r="V32" s="4"/>
      <c r="W32" s="4"/>
      <c r="X32" s="4"/>
      <c r="Y32" s="4"/>
      <c r="Z32" s="4"/>
    </row>
    <row r="33" ht="222.75" customHeight="1">
      <c r="A33" s="4"/>
      <c r="B33" s="15"/>
      <c r="C33" s="135"/>
      <c r="D33" s="307" t="s">
        <v>39</v>
      </c>
      <c r="E33" s="305" t="str">
        <f>NOTAM!D7</f>
        <v>A3980/24 - RWY 15/33 CLSD. DLY 1600-2200, 03 OCT 16:00 2024 UNTIL 21 OCT 22:00 2024. CREATED: 02 OCT 10:57 2024
A3197/24 - BAY 29, 30, 31, 32, 33, 34, 35, 36, 37 AND 38 DECOMMISSIONED. 13 AUG 22:58 2024 UNTIL PERM. CREATED: 13 AUG 22:58 2024
A1990/24 - BAY 19, BAY 20 AND BAY 21 CLSD. 02 JUN 03:06 2024 UNTIL PERM. CREATED: 02 JUN 03:10 2024</v>
      </c>
      <c r="F33" s="87"/>
      <c r="G33" s="87"/>
      <c r="H33" s="87"/>
      <c r="I33" s="87"/>
      <c r="J33" s="87"/>
      <c r="K33" s="87"/>
      <c r="L33" s="87"/>
      <c r="M33" s="87"/>
      <c r="N33" s="87"/>
      <c r="O33" s="87"/>
      <c r="P33" s="87"/>
      <c r="Q33" s="87"/>
      <c r="R33" s="88"/>
      <c r="S33" s="299"/>
      <c r="T33" s="4"/>
      <c r="U33" s="4"/>
      <c r="V33" s="4"/>
      <c r="W33" s="4"/>
      <c r="X33" s="4"/>
      <c r="Y33" s="4"/>
      <c r="Z33" s="4"/>
    </row>
    <row r="34" ht="249.0" customHeight="1">
      <c r="A34" s="4"/>
      <c r="B34" s="15"/>
      <c r="C34" s="325"/>
      <c r="D34" s="326" t="s">
        <v>64</v>
      </c>
      <c r="E34" s="332" t="str">
        <f>NOTAM!D6</f>
        <v>A3941/24 - POWER IN AND POWER OUT PSN AT MAIN APN BAY 2A, BAY 3A, BAY 4A, BAY
5A, BAY 6A, BAY 8A CLSD. 01 OCT 08:05 2024 UNTIL PERM. CREATED: 01 OCT 08:05 2024
A3941/24 - POWER IN AND POWER OUT PSN AT MAIN APN BAY 2A, BAY 3A, BAY 4A, BAY
5A, BAY 6A, BAY 8A CLSD. 01 OCT 08:05 2024 UNTIL PERM. CREATED: 01 OCT 08:05 2024
A3894/24 - AIMING POINT MARKINGS FOR RWY 16 BEGIN APRX 48M BEFORE PAPI
AND AIMING POINT MARKINGS FOR RWY 34 BEGIN APRX 55M BEFORE PAPI. 27 SEP 16:00
2024 UNTIL PERM. CREATED: 27 SEP 13:32 2024
A3643/24 - APCH RADAR OPS HRS CHG FM 0000 TO 1000. 09 SEP 03:00 2024 UNTIL 30 OCT 23:59 2024. CREATED: 09 SEP 02:53 2024</v>
      </c>
      <c r="F34" s="333"/>
      <c r="G34" s="333"/>
      <c r="H34" s="333"/>
      <c r="I34" s="333"/>
      <c r="J34" s="333"/>
      <c r="K34" s="333"/>
      <c r="L34" s="333"/>
      <c r="M34" s="333"/>
      <c r="N34" s="333"/>
      <c r="O34" s="333"/>
      <c r="P34" s="333"/>
      <c r="Q34" s="333"/>
      <c r="R34" s="336"/>
      <c r="S34" s="299"/>
      <c r="T34" s="4"/>
      <c r="U34" s="4"/>
      <c r="V34" s="4"/>
      <c r="W34" s="4"/>
      <c r="X34" s="4"/>
      <c r="Y34" s="4"/>
      <c r="Z34" s="4"/>
    </row>
    <row r="35" ht="51.0" customHeight="1">
      <c r="A35" s="4"/>
      <c r="B35" s="339"/>
      <c r="C35" s="135"/>
      <c r="D35" s="111" t="s">
        <v>41</v>
      </c>
      <c r="E35" s="332" t="str">
        <f>NOTAM!D17</f>
        <v>No active NOTAMs for this location.</v>
      </c>
      <c r="F35" s="333"/>
      <c r="G35" s="333"/>
      <c r="H35" s="333"/>
      <c r="I35" s="333"/>
      <c r="J35" s="333"/>
      <c r="K35" s="333"/>
      <c r="L35" s="333"/>
      <c r="M35" s="333"/>
      <c r="N35" s="333"/>
      <c r="O35" s="333"/>
      <c r="P35" s="333"/>
      <c r="Q35" s="333"/>
      <c r="R35" s="336"/>
      <c r="S35" s="299"/>
      <c r="T35" s="4"/>
      <c r="U35" s="4"/>
      <c r="V35" s="4"/>
      <c r="W35" s="4"/>
      <c r="X35" s="4"/>
      <c r="Y35" s="4"/>
      <c r="Z35" s="4"/>
    </row>
    <row r="36" ht="135.75" customHeight="1">
      <c r="A36" s="4"/>
      <c r="B36" s="15"/>
      <c r="C36" s="343"/>
      <c r="D36" s="344" t="s">
        <v>69</v>
      </c>
      <c r="E36" s="332" t="str">
        <f>NOTAM!B5</f>
        <v>B2027/24 - RWY WIP DUE TO MAINT PSN 1245M BEYOND THR RWY 11, 26.5M NORTH EAST FM CENTERLINE AND PSN 1245M FM BEGINNING THR RWY 11, 67.5M SOUTHWEST FM CENTERLINE
RMK : ALL TFC CTN. 02 OCT 06:26 2024 UNTIL 16 OCT 22:00 2024. CREATED: 02 OCT 06:26 2024
B1894/24 - RWY 11/29 CLSD DUE TO RWY INSPECTION. DAILY 0550-0615, 16 SEP 05:50 2024 UNTIL 27 NOV 06:15 2024. CREATED: 15 SEP 10:46 2024
B1761/24 - PALS RWY 29 PARTLY U/S DUE TO TECR
RMK: AVBL APRX 85 PER CENT. 28 AUG 17:00 2024 UNTIL 28 NOV 16:00 2024. CREATED:
28 AUG 11:29 2024</v>
      </c>
      <c r="F36" s="333"/>
      <c r="G36" s="333"/>
      <c r="H36" s="333"/>
      <c r="I36" s="333"/>
      <c r="J36" s="333"/>
      <c r="K36" s="333"/>
      <c r="L36" s="333"/>
      <c r="M36" s="333"/>
      <c r="N36" s="333"/>
      <c r="O36" s="333"/>
      <c r="P36" s="333"/>
      <c r="Q36" s="333"/>
      <c r="R36" s="336"/>
      <c r="S36" s="313"/>
      <c r="T36" s="4"/>
      <c r="U36" s="4"/>
      <c r="V36" s="4"/>
      <c r="W36" s="4"/>
      <c r="X36" s="4"/>
      <c r="Y36" s="4"/>
      <c r="Z36" s="4"/>
    </row>
    <row r="37" ht="21.0" customHeight="1">
      <c r="A37" s="4"/>
      <c r="B37" s="15"/>
      <c r="C37" s="347" t="s">
        <v>134</v>
      </c>
      <c r="D37" s="87"/>
      <c r="E37" s="87"/>
      <c r="F37" s="87"/>
      <c r="G37" s="87"/>
      <c r="H37" s="87"/>
      <c r="I37" s="87"/>
      <c r="J37" s="87"/>
      <c r="K37" s="87"/>
      <c r="L37" s="87"/>
      <c r="M37" s="87"/>
      <c r="N37" s="87"/>
      <c r="O37" s="87"/>
      <c r="P37" s="87"/>
      <c r="Q37" s="87"/>
      <c r="R37" s="88"/>
      <c r="S37" s="19"/>
      <c r="T37" s="4"/>
      <c r="U37" s="4"/>
      <c r="V37" s="4"/>
      <c r="W37" s="4"/>
      <c r="X37" s="4"/>
      <c r="Y37" s="4"/>
      <c r="Z37" s="4"/>
    </row>
    <row r="38" ht="15.75" customHeight="1">
      <c r="A38" s="4"/>
      <c r="B38" s="15"/>
      <c r="C38" s="33"/>
      <c r="D38" s="33"/>
      <c r="E38" s="33"/>
      <c r="F38" s="33"/>
      <c r="G38" s="33"/>
      <c r="H38" s="33"/>
      <c r="I38" s="33"/>
      <c r="J38" s="33"/>
      <c r="K38" s="33"/>
      <c r="L38" s="33"/>
      <c r="M38" s="33"/>
      <c r="N38" s="33"/>
      <c r="O38" s="33"/>
      <c r="P38" s="33"/>
      <c r="Q38" s="33"/>
      <c r="R38" s="33"/>
      <c r="S38" s="19"/>
      <c r="T38" s="4"/>
      <c r="U38" s="4"/>
      <c r="V38" s="4"/>
      <c r="W38" s="4"/>
      <c r="X38" s="4"/>
      <c r="Y38" s="4"/>
      <c r="Z38" s="4"/>
    </row>
    <row r="39" ht="15.75" customHeight="1">
      <c r="A39" s="4"/>
      <c r="B39" s="15"/>
      <c r="C39" s="33"/>
      <c r="D39" s="33"/>
      <c r="E39" s="33"/>
      <c r="F39" s="33"/>
      <c r="G39" s="33"/>
      <c r="H39" s="284" t="s">
        <v>125</v>
      </c>
      <c r="I39" s="33"/>
      <c r="J39" s="33"/>
      <c r="K39" s="33"/>
      <c r="L39" s="33"/>
      <c r="M39" s="33"/>
      <c r="N39" s="33"/>
      <c r="O39" s="33"/>
      <c r="P39" s="284" t="s">
        <v>126</v>
      </c>
      <c r="Q39" s="33"/>
      <c r="R39" s="33"/>
      <c r="S39" s="19"/>
      <c r="T39" s="4"/>
      <c r="U39" s="4"/>
      <c r="V39" s="4"/>
      <c r="W39" s="4"/>
      <c r="X39" s="4"/>
      <c r="Y39" s="4"/>
      <c r="Z39" s="4"/>
    </row>
    <row r="40" ht="15.75" customHeight="1">
      <c r="A40" s="4"/>
      <c r="B40" s="15"/>
      <c r="C40" s="33"/>
      <c r="D40" s="33"/>
      <c r="E40" s="33"/>
      <c r="F40" s="33"/>
      <c r="G40" s="33"/>
      <c r="H40" s="284" t="s">
        <v>127</v>
      </c>
      <c r="I40" s="33"/>
      <c r="J40" s="33"/>
      <c r="K40" s="33"/>
      <c r="L40" s="33"/>
      <c r="M40" s="33"/>
      <c r="N40" s="33"/>
      <c r="O40" s="33"/>
      <c r="P40" s="284" t="s">
        <v>127</v>
      </c>
      <c r="Q40" s="33"/>
      <c r="R40" s="33"/>
      <c r="S40" s="19"/>
      <c r="T40" s="4"/>
      <c r="U40" s="4"/>
      <c r="V40" s="4"/>
      <c r="W40" s="4"/>
      <c r="X40" s="4"/>
      <c r="Y40" s="4"/>
      <c r="Z40" s="4"/>
    </row>
    <row r="41" ht="19.5" customHeight="1">
      <c r="A41" s="4"/>
      <c r="B41" s="15"/>
      <c r="C41" s="33"/>
      <c r="D41" s="33"/>
      <c r="E41" s="33"/>
      <c r="F41" s="33"/>
      <c r="G41" s="33"/>
      <c r="H41" s="33"/>
      <c r="I41" s="33"/>
      <c r="J41" s="33"/>
      <c r="K41" s="33"/>
      <c r="L41" s="33"/>
      <c r="M41" s="33"/>
      <c r="N41" s="33"/>
      <c r="O41" s="33"/>
      <c r="P41" s="33"/>
      <c r="Q41" s="33"/>
      <c r="R41" s="33"/>
      <c r="S41" s="19"/>
      <c r="T41" s="4"/>
      <c r="U41" s="4"/>
      <c r="V41" s="4"/>
      <c r="W41" s="4"/>
      <c r="X41" s="4"/>
      <c r="Y41" s="4"/>
      <c r="Z41" s="4"/>
    </row>
    <row r="42" ht="19.5" customHeight="1">
      <c r="A42" s="4"/>
      <c r="B42" s="15"/>
      <c r="C42" s="33"/>
      <c r="D42" s="33"/>
      <c r="E42" s="33"/>
      <c r="F42" s="33"/>
      <c r="G42" s="33"/>
      <c r="H42" s="33"/>
      <c r="I42" s="33"/>
      <c r="J42" s="33"/>
      <c r="K42" s="33"/>
      <c r="L42" s="33"/>
      <c r="M42" s="33"/>
      <c r="N42" s="33"/>
      <c r="O42" s="33"/>
      <c r="P42" s="33"/>
      <c r="Q42" s="33"/>
      <c r="R42" s="33"/>
      <c r="S42" s="19"/>
      <c r="T42" s="4"/>
      <c r="U42" s="4"/>
      <c r="V42" s="4"/>
      <c r="W42" s="4"/>
      <c r="X42" s="4"/>
      <c r="Y42" s="4"/>
      <c r="Z42" s="4"/>
    </row>
    <row r="43" ht="17.25" customHeight="1">
      <c r="A43" s="4"/>
      <c r="B43" s="15"/>
      <c r="C43" s="33"/>
      <c r="D43" s="33"/>
      <c r="E43" s="33"/>
      <c r="F43" s="33"/>
      <c r="G43" s="33"/>
      <c r="H43" s="33"/>
      <c r="I43" s="33"/>
      <c r="J43" s="33"/>
      <c r="K43" s="33"/>
      <c r="L43" s="33"/>
      <c r="M43" s="33"/>
      <c r="N43" s="33"/>
      <c r="O43" s="33"/>
      <c r="P43" s="33"/>
      <c r="Q43" s="33"/>
      <c r="R43" s="33"/>
      <c r="S43" s="19"/>
      <c r="T43" s="4"/>
      <c r="U43" s="4"/>
      <c r="V43" s="4"/>
      <c r="W43" s="4"/>
      <c r="X43" s="4"/>
      <c r="Y43" s="4"/>
      <c r="Z43" s="4"/>
    </row>
    <row r="44" ht="15.75" customHeight="1">
      <c r="A44" s="4"/>
      <c r="B44" s="15"/>
      <c r="C44" s="33"/>
      <c r="D44" s="33"/>
      <c r="E44" s="33"/>
      <c r="F44" s="33"/>
      <c r="G44" s="323" t="s">
        <v>129</v>
      </c>
      <c r="J44" s="33"/>
      <c r="K44" s="33"/>
      <c r="L44" s="33"/>
      <c r="M44" s="33"/>
      <c r="N44" s="33"/>
      <c r="O44" s="323" t="str">
        <f>'204'!D17</f>
        <v>CAPT.  SUHANDI</v>
      </c>
      <c r="S44" s="19"/>
      <c r="T44" s="4"/>
      <c r="U44" s="4"/>
      <c r="V44" s="4"/>
      <c r="W44" s="4"/>
      <c r="X44" s="4"/>
      <c r="Y44" s="4"/>
      <c r="Z44" s="4"/>
    </row>
    <row r="45" ht="15.75" customHeight="1">
      <c r="A45" s="4"/>
      <c r="B45" s="329"/>
      <c r="C45" s="358"/>
      <c r="D45" s="358"/>
      <c r="E45" s="358"/>
      <c r="F45" s="358"/>
      <c r="G45" s="358"/>
      <c r="H45" s="358" t="s">
        <v>130</v>
      </c>
      <c r="I45" s="358"/>
      <c r="J45" s="358"/>
      <c r="K45" s="358"/>
      <c r="L45" s="358"/>
      <c r="M45" s="358"/>
      <c r="N45" s="358"/>
      <c r="O45" s="358"/>
      <c r="P45" s="358" t="s">
        <v>131</v>
      </c>
      <c r="Q45" s="358"/>
      <c r="R45" s="358"/>
      <c r="S45" s="335"/>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B2:S2"/>
    <mergeCell ref="C4:E4"/>
    <mergeCell ref="C6:E6"/>
    <mergeCell ref="D8:E8"/>
    <mergeCell ref="D13:R13"/>
    <mergeCell ref="D14:R14"/>
    <mergeCell ref="D15:R15"/>
    <mergeCell ref="N22:R22"/>
    <mergeCell ref="N23:R23"/>
    <mergeCell ref="N24:R24"/>
    <mergeCell ref="N25:R25"/>
    <mergeCell ref="D16:R16"/>
    <mergeCell ref="D17:R17"/>
    <mergeCell ref="D18:R18"/>
    <mergeCell ref="C20:C21"/>
    <mergeCell ref="E20:E21"/>
    <mergeCell ref="M20:M21"/>
    <mergeCell ref="N20:R21"/>
    <mergeCell ref="F20:J21"/>
    <mergeCell ref="F22:J22"/>
    <mergeCell ref="F23:J23"/>
    <mergeCell ref="F24:J24"/>
    <mergeCell ref="F25:J25"/>
    <mergeCell ref="F26:J26"/>
    <mergeCell ref="C28:C29"/>
    <mergeCell ref="C37:R37"/>
    <mergeCell ref="G44:I44"/>
    <mergeCell ref="O44:R44"/>
    <mergeCell ref="E28:R29"/>
    <mergeCell ref="E31:R31"/>
    <mergeCell ref="E32:R32"/>
    <mergeCell ref="E33:R33"/>
    <mergeCell ref="E34:R34"/>
    <mergeCell ref="E35:R35"/>
    <mergeCell ref="E36:R36"/>
  </mergeCells>
  <printOptions horizontalCentered="1" verticalCentered="1"/>
  <pageMargins bottom="0.0" footer="0.0" header="0.0" left="0.0" right="0.0" top="0.0"/>
  <pageSetup paperSize="9" orientation="portrait"/>
  <rowBreaks count="1" manualBreakCount="1">
    <brk id="32" man="1"/>
  </rowBrea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workbookViewId="0"/>
  </sheetViews>
  <sheetFormatPr customHeight="1" defaultColWidth="12.63" defaultRowHeight="15.0"/>
  <cols>
    <col customWidth="1" min="1" max="1" width="3.5"/>
    <col customWidth="1" min="2" max="2" width="3.0"/>
    <col customWidth="1" min="3" max="3" width="8.0"/>
    <col customWidth="1" min="4" max="4" width="1.63"/>
    <col customWidth="1" min="5" max="5" width="4.5"/>
    <col customWidth="1" min="6" max="6" width="6.13"/>
    <col customWidth="1" min="7" max="7" width="8.25"/>
    <col customWidth="1" min="8" max="8" width="2.38"/>
    <col customWidth="1" min="9" max="10" width="2.13"/>
    <col customWidth="1" min="11" max="11" width="2.0"/>
    <col customWidth="1" min="12" max="12" width="4.5"/>
    <col customWidth="1" min="13" max="13" width="2.13"/>
    <col customWidth="1" min="14" max="14" width="3.5"/>
    <col customWidth="1" min="15" max="15" width="3.0"/>
    <col customWidth="1" min="16" max="16" width="8.0"/>
    <col customWidth="1" min="17" max="17" width="1.63"/>
    <col customWidth="1" min="18" max="18" width="4.5"/>
    <col customWidth="1" min="19" max="19" width="6.25"/>
    <col customWidth="1" min="20" max="20" width="8.25"/>
    <col customWidth="1" min="21" max="21" width="2.38"/>
    <col customWidth="1" min="22" max="23" width="2.13"/>
    <col customWidth="1" min="24" max="24" width="2.0"/>
    <col customWidth="1" min="25" max="25" width="4.5"/>
    <col customWidth="1" min="26" max="26" width="1.75"/>
    <col customWidth="1" min="27" max="27" width="3.5"/>
    <col customWidth="1" min="28" max="28" width="3.0"/>
    <col customWidth="1" min="29" max="29" width="8.0"/>
    <col customWidth="1" min="30" max="30" width="1.63"/>
    <col customWidth="1" min="31" max="31" width="4.5"/>
    <col customWidth="1" min="32" max="32" width="7.38"/>
    <col customWidth="1" min="33" max="33" width="8.25"/>
    <col customWidth="1" min="34" max="34" width="2.38"/>
    <col customWidth="1" min="35" max="36" width="2.13"/>
    <col customWidth="1" min="37" max="37" width="2.0"/>
    <col customWidth="1" min="38" max="38" width="4.5"/>
    <col customWidth="1" min="39" max="40" width="2.38"/>
    <col customWidth="1" min="41" max="41" width="3.0"/>
    <col customWidth="1" min="42" max="42" width="8.0"/>
    <col customWidth="1" min="43" max="43" width="1.63"/>
    <col customWidth="1" min="44" max="44" width="4.5"/>
    <col customWidth="1" min="45" max="45" width="6.13"/>
    <col customWidth="1" min="46" max="46" width="8.25"/>
    <col customWidth="1" min="47" max="47" width="2.38"/>
    <col customWidth="1" min="48" max="49" width="2.13"/>
    <col customWidth="1" min="50" max="50" width="2.0"/>
    <col customWidth="1" min="51" max="51" width="2.88"/>
    <col customWidth="1" min="52" max="52" width="3.38"/>
    <col customWidth="1" min="53" max="53" width="2.63"/>
    <col customWidth="1" min="54" max="54" width="12.5"/>
    <col customWidth="1" min="55" max="62" width="8.0"/>
  </cols>
  <sheetData>
    <row r="1">
      <c r="A1" s="1"/>
      <c r="B1" s="1"/>
      <c r="C1" s="1"/>
      <c r="D1" s="1"/>
      <c r="E1" s="1"/>
      <c r="F1" s="1"/>
      <c r="G1" s="1"/>
      <c r="H1" s="1"/>
      <c r="I1" s="1"/>
      <c r="J1" s="1"/>
      <c r="K1" s="1"/>
      <c r="L1" s="1"/>
      <c r="M1" s="1"/>
      <c r="N1" s="1"/>
      <c r="O1" s="1"/>
      <c r="P1" s="1"/>
      <c r="Q1" s="1"/>
      <c r="R1" s="1"/>
      <c r="S1" s="1"/>
      <c r="T1" s="1"/>
      <c r="U1" s="1"/>
      <c r="V1" s="1"/>
      <c r="W1" s="1"/>
      <c r="X1" s="1"/>
      <c r="Y1" s="1"/>
      <c r="Z1" s="1"/>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row>
    <row r="2">
      <c r="A2" s="8" t="str">
        <f>BB3</f>
        <v>PKAZL</v>
      </c>
      <c r="B2" s="9"/>
      <c r="C2" s="9"/>
      <c r="D2" s="9"/>
      <c r="E2" s="9"/>
      <c r="F2" s="13"/>
      <c r="G2" s="1"/>
      <c r="H2" s="1"/>
      <c r="I2" s="1"/>
      <c r="J2" s="1"/>
      <c r="K2" s="1"/>
      <c r="L2" s="1"/>
      <c r="M2" s="1"/>
      <c r="N2" s="14"/>
      <c r="T2" s="1"/>
      <c r="U2" s="1"/>
      <c r="V2" s="1"/>
      <c r="W2" s="1"/>
      <c r="X2" s="1"/>
      <c r="Y2" s="1"/>
      <c r="Z2" s="1"/>
      <c r="AA2" s="14"/>
      <c r="AG2" s="3"/>
      <c r="AH2" s="3"/>
      <c r="AI2" s="3"/>
      <c r="AJ2" s="3"/>
      <c r="AK2" s="3"/>
      <c r="AL2" s="3"/>
      <c r="AM2" s="3"/>
      <c r="AN2" s="14"/>
      <c r="AT2" s="3"/>
      <c r="AU2" s="3"/>
      <c r="AV2" s="3"/>
      <c r="AW2" s="3"/>
      <c r="AX2" s="3"/>
      <c r="AY2" s="3"/>
      <c r="AZ2" s="3"/>
      <c r="BA2" s="3"/>
      <c r="BB2" s="16">
        <f>TODAY()</f>
        <v>46278</v>
      </c>
      <c r="BC2" s="17"/>
      <c r="BD2" s="17"/>
      <c r="BE2" s="17"/>
      <c r="BF2" s="17"/>
      <c r="BG2" s="17"/>
      <c r="BH2" s="18" t="s">
        <v>0</v>
      </c>
      <c r="BI2" s="6"/>
      <c r="BJ2" s="17"/>
    </row>
    <row r="3">
      <c r="A3" s="21" t="s">
        <v>4</v>
      </c>
      <c r="B3" s="22"/>
      <c r="C3" s="22"/>
      <c r="D3" s="22"/>
      <c r="E3" s="22"/>
      <c r="F3" s="22"/>
      <c r="G3" s="22"/>
      <c r="H3" s="22"/>
      <c r="I3" s="22"/>
      <c r="J3" s="22"/>
      <c r="K3" s="22"/>
      <c r="L3" s="22"/>
      <c r="M3" s="25"/>
      <c r="N3" s="21" t="s">
        <v>4</v>
      </c>
      <c r="O3" s="22"/>
      <c r="P3" s="22"/>
      <c r="Q3" s="22"/>
      <c r="R3" s="22"/>
      <c r="S3" s="22"/>
      <c r="T3" s="22"/>
      <c r="U3" s="22"/>
      <c r="V3" s="22"/>
      <c r="W3" s="22"/>
      <c r="X3" s="22"/>
      <c r="Y3" s="22"/>
      <c r="Z3" s="25"/>
      <c r="AA3" s="30" t="s">
        <v>4</v>
      </c>
      <c r="AB3" s="32"/>
      <c r="AC3" s="32"/>
      <c r="AD3" s="32"/>
      <c r="AE3" s="32"/>
      <c r="AF3" s="32"/>
      <c r="AG3" s="32"/>
      <c r="AH3" s="32"/>
      <c r="AI3" s="32"/>
      <c r="AJ3" s="32"/>
      <c r="AK3" s="32"/>
      <c r="AL3" s="32"/>
      <c r="AM3" s="35"/>
      <c r="AN3" s="30" t="s">
        <v>4</v>
      </c>
      <c r="AO3" s="32"/>
      <c r="AP3" s="32"/>
      <c r="AQ3" s="32"/>
      <c r="AR3" s="32"/>
      <c r="AS3" s="32"/>
      <c r="AT3" s="32"/>
      <c r="AU3" s="32"/>
      <c r="AV3" s="32"/>
      <c r="AW3" s="32"/>
      <c r="AX3" s="32"/>
      <c r="AY3" s="32"/>
      <c r="AZ3" s="35"/>
      <c r="BA3" s="3"/>
      <c r="BB3" s="37" t="s">
        <v>15</v>
      </c>
      <c r="BC3" s="17"/>
      <c r="BD3" s="17"/>
      <c r="BE3" s="17"/>
      <c r="BF3" s="17"/>
      <c r="BG3" s="17"/>
      <c r="BH3" s="41">
        <f>BE4-BJ3</f>
        <v>0.9722222222</v>
      </c>
      <c r="BI3" s="12"/>
      <c r="BJ3" s="44">
        <v>0.25</v>
      </c>
    </row>
    <row r="4">
      <c r="A4" s="46"/>
      <c r="B4" s="48" t="s">
        <v>19</v>
      </c>
      <c r="C4" s="49"/>
      <c r="D4" s="49"/>
      <c r="E4" s="49"/>
      <c r="F4" s="49"/>
      <c r="G4" s="51"/>
      <c r="H4" s="51"/>
      <c r="I4" s="51"/>
      <c r="J4" s="54">
        <v>1.0</v>
      </c>
      <c r="K4" s="9"/>
      <c r="L4" s="13"/>
      <c r="M4" s="55"/>
      <c r="N4" s="46"/>
      <c r="O4" s="48" t="s">
        <v>19</v>
      </c>
      <c r="P4" s="49"/>
      <c r="Q4" s="49"/>
      <c r="R4" s="49"/>
      <c r="S4" s="49"/>
      <c r="T4" s="51"/>
      <c r="U4" s="51"/>
      <c r="V4" s="51"/>
      <c r="W4" s="54">
        <v>2.0</v>
      </c>
      <c r="X4" s="9"/>
      <c r="Y4" s="13"/>
      <c r="Z4" s="55"/>
      <c r="AA4" s="56"/>
      <c r="AB4" s="57" t="s">
        <v>19</v>
      </c>
      <c r="AC4" s="49"/>
      <c r="AD4" s="49"/>
      <c r="AE4" s="49"/>
      <c r="AF4" s="49"/>
      <c r="AG4" s="59"/>
      <c r="AH4" s="59"/>
      <c r="AI4" s="59"/>
      <c r="AJ4" s="60">
        <v>1.0</v>
      </c>
      <c r="AK4" s="9"/>
      <c r="AL4" s="13"/>
      <c r="AM4" s="61"/>
      <c r="AN4" s="56"/>
      <c r="AO4" s="57" t="s">
        <v>19</v>
      </c>
      <c r="AP4" s="49"/>
      <c r="AQ4" s="49"/>
      <c r="AR4" s="49"/>
      <c r="AS4" s="49"/>
      <c r="AT4" s="59"/>
      <c r="AU4" s="59"/>
      <c r="AV4" s="59"/>
      <c r="AW4" s="60">
        <v>2.0</v>
      </c>
      <c r="AX4" s="9"/>
      <c r="AY4" s="13"/>
      <c r="AZ4" s="61"/>
      <c r="BA4" s="3"/>
      <c r="BB4" s="65" t="s">
        <v>26</v>
      </c>
      <c r="BC4" s="65" t="s">
        <v>13</v>
      </c>
      <c r="BD4" s="65" t="s">
        <v>27</v>
      </c>
      <c r="BE4" s="67">
        <v>1.22222222222222</v>
      </c>
      <c r="BF4" s="67">
        <v>0.329861111111111</v>
      </c>
      <c r="BG4" s="17"/>
      <c r="BH4" s="17"/>
      <c r="BI4" s="17"/>
      <c r="BJ4" s="17"/>
    </row>
    <row r="5">
      <c r="A5" s="46"/>
      <c r="B5" s="68"/>
      <c r="C5" s="68"/>
      <c r="D5" s="69"/>
      <c r="E5" s="70"/>
      <c r="F5" s="70"/>
      <c r="G5" s="70"/>
      <c r="H5" s="70"/>
      <c r="I5" s="70"/>
      <c r="J5" s="69"/>
      <c r="K5" s="69"/>
      <c r="L5" s="73"/>
      <c r="M5" s="55"/>
      <c r="N5" s="46"/>
      <c r="O5" s="68"/>
      <c r="P5" s="68"/>
      <c r="Q5" s="69"/>
      <c r="R5" s="70"/>
      <c r="S5" s="70"/>
      <c r="T5" s="70"/>
      <c r="U5" s="70"/>
      <c r="V5" s="70"/>
      <c r="W5" s="69"/>
      <c r="X5" s="69"/>
      <c r="Y5" s="73"/>
      <c r="Z5" s="55"/>
      <c r="AA5" s="56"/>
      <c r="AB5" s="76"/>
      <c r="AC5" s="76"/>
      <c r="AD5" s="77"/>
      <c r="AE5" s="79"/>
      <c r="AF5" s="79"/>
      <c r="AG5" s="79"/>
      <c r="AH5" s="79"/>
      <c r="AI5" s="79"/>
      <c r="AJ5" s="77"/>
      <c r="AK5" s="77"/>
      <c r="AL5" s="81"/>
      <c r="AM5" s="61"/>
      <c r="AN5" s="56"/>
      <c r="AO5" s="76"/>
      <c r="AP5" s="76"/>
      <c r="AQ5" s="77"/>
      <c r="AR5" s="79"/>
      <c r="AS5" s="79"/>
      <c r="AT5" s="79"/>
      <c r="AU5" s="79"/>
      <c r="AV5" s="79"/>
      <c r="AW5" s="77"/>
      <c r="AX5" s="77"/>
      <c r="AY5" s="81"/>
      <c r="AZ5" s="61"/>
      <c r="BA5" s="3"/>
      <c r="BB5" s="65" t="s">
        <v>40</v>
      </c>
      <c r="BC5" s="65" t="str">
        <f>BD4</f>
        <v>BKI</v>
      </c>
      <c r="BD5" s="65" t="s">
        <v>13</v>
      </c>
      <c r="BE5" s="67">
        <v>0.357638888888889</v>
      </c>
      <c r="BF5" s="67">
        <v>0.46875</v>
      </c>
      <c r="BG5" s="17"/>
      <c r="BH5" s="17"/>
      <c r="BI5" s="17"/>
      <c r="BJ5" s="17"/>
    </row>
    <row r="6" ht="18.0" customHeight="1">
      <c r="A6" s="46"/>
      <c r="B6" s="85" t="s">
        <v>42</v>
      </c>
      <c r="C6" s="87"/>
      <c r="D6" s="88"/>
      <c r="E6" s="91" t="str">
        <f>BB4</f>
        <v>AWQ 526</v>
      </c>
      <c r="F6" s="88"/>
      <c r="G6" s="93" t="s">
        <v>43</v>
      </c>
      <c r="H6" s="91"/>
      <c r="I6" s="87"/>
      <c r="J6" s="87"/>
      <c r="K6" s="87"/>
      <c r="L6" s="88"/>
      <c r="M6" s="55"/>
      <c r="N6" s="46"/>
      <c r="O6" s="85" t="s">
        <v>42</v>
      </c>
      <c r="P6" s="87"/>
      <c r="Q6" s="88"/>
      <c r="R6" s="91" t="str">
        <f>BB5</f>
        <v>AWQ 527</v>
      </c>
      <c r="S6" s="88"/>
      <c r="T6" s="93" t="s">
        <v>43</v>
      </c>
      <c r="U6" s="91"/>
      <c r="V6" s="87"/>
      <c r="W6" s="87"/>
      <c r="X6" s="87"/>
      <c r="Y6" s="88"/>
      <c r="Z6" s="55"/>
      <c r="AA6" s="56"/>
      <c r="AB6" s="97" t="s">
        <v>42</v>
      </c>
      <c r="AC6" s="87"/>
      <c r="AD6" s="88"/>
      <c r="AE6" s="99" t="str">
        <f>BB6</f>
        <v>AWQ 814</v>
      </c>
      <c r="AF6" s="88"/>
      <c r="AG6" s="100" t="s">
        <v>43</v>
      </c>
      <c r="AH6" s="99"/>
      <c r="AI6" s="87"/>
      <c r="AJ6" s="87"/>
      <c r="AK6" s="87"/>
      <c r="AL6" s="88"/>
      <c r="AM6" s="61"/>
      <c r="AN6" s="56"/>
      <c r="AO6" s="97" t="s">
        <v>42</v>
      </c>
      <c r="AP6" s="87"/>
      <c r="AQ6" s="88"/>
      <c r="AR6" s="99" t="str">
        <f>BB7</f>
        <v>AWQ 815</v>
      </c>
      <c r="AS6" s="88"/>
      <c r="AT6" s="100" t="s">
        <v>43</v>
      </c>
      <c r="AU6" s="99"/>
      <c r="AV6" s="87"/>
      <c r="AW6" s="87"/>
      <c r="AX6" s="87"/>
      <c r="AY6" s="88"/>
      <c r="AZ6" s="61"/>
      <c r="BA6" s="3"/>
      <c r="BB6" s="105" t="s">
        <v>53</v>
      </c>
      <c r="BC6" s="105" t="s">
        <v>13</v>
      </c>
      <c r="BD6" s="105" t="s">
        <v>56</v>
      </c>
      <c r="BE6" s="106">
        <v>0.34375</v>
      </c>
      <c r="BF6" s="106">
        <v>0.413194444444444</v>
      </c>
      <c r="BG6" s="41"/>
      <c r="BH6" s="12"/>
      <c r="BI6" s="17"/>
      <c r="BJ6" s="17"/>
    </row>
    <row r="7" ht="18.0" customHeight="1">
      <c r="A7" s="46"/>
      <c r="B7" s="85" t="s">
        <v>57</v>
      </c>
      <c r="C7" s="87"/>
      <c r="D7" s="88"/>
      <c r="E7" s="107" t="str">
        <f>BB3</f>
        <v>PKAZL</v>
      </c>
      <c r="F7" s="88"/>
      <c r="G7" s="93" t="s">
        <v>59</v>
      </c>
      <c r="H7" s="109">
        <f>BE4</f>
        <v>1.222222222</v>
      </c>
      <c r="I7" s="87"/>
      <c r="J7" s="87"/>
      <c r="K7" s="87"/>
      <c r="L7" s="88"/>
      <c r="M7" s="110"/>
      <c r="N7" s="46"/>
      <c r="O7" s="85" t="s">
        <v>57</v>
      </c>
      <c r="P7" s="87"/>
      <c r="Q7" s="88"/>
      <c r="R7" s="107" t="str">
        <f>E7</f>
        <v>PKAZL</v>
      </c>
      <c r="S7" s="88"/>
      <c r="T7" s="93" t="s">
        <v>59</v>
      </c>
      <c r="U7" s="109">
        <f>BE5</f>
        <v>0.3576388889</v>
      </c>
      <c r="V7" s="87"/>
      <c r="W7" s="87"/>
      <c r="X7" s="87"/>
      <c r="Y7" s="88"/>
      <c r="Z7" s="110"/>
      <c r="AA7" s="56"/>
      <c r="AB7" s="97" t="s">
        <v>57</v>
      </c>
      <c r="AC7" s="87"/>
      <c r="AD7" s="88"/>
      <c r="AE7" s="114" t="str">
        <f>R7</f>
        <v>PKAZL</v>
      </c>
      <c r="AF7" s="88"/>
      <c r="AG7" s="100" t="s">
        <v>59</v>
      </c>
      <c r="AH7" s="115">
        <f>BE6</f>
        <v>0.34375</v>
      </c>
      <c r="AI7" s="87"/>
      <c r="AJ7" s="87"/>
      <c r="AK7" s="87"/>
      <c r="AL7" s="88"/>
      <c r="AM7" s="116"/>
      <c r="AN7" s="56"/>
      <c r="AO7" s="97" t="s">
        <v>57</v>
      </c>
      <c r="AP7" s="87"/>
      <c r="AQ7" s="88"/>
      <c r="AR7" s="114" t="str">
        <f>AE7</f>
        <v>PKAZL</v>
      </c>
      <c r="AS7" s="88"/>
      <c r="AT7" s="100" t="s">
        <v>59</v>
      </c>
      <c r="AU7" s="115">
        <f>BE7</f>
        <v>0.4305555556</v>
      </c>
      <c r="AV7" s="87"/>
      <c r="AW7" s="87"/>
      <c r="AX7" s="87"/>
      <c r="AY7" s="88"/>
      <c r="AZ7" s="116"/>
      <c r="BA7" s="3"/>
      <c r="BB7" s="105" t="s">
        <v>63</v>
      </c>
      <c r="BC7" s="105" t="str">
        <f>BD6</f>
        <v>PNK</v>
      </c>
      <c r="BD7" s="105" t="s">
        <v>13</v>
      </c>
      <c r="BE7" s="106">
        <v>0.430555555555556</v>
      </c>
      <c r="BF7" s="106">
        <v>0.493055555555556</v>
      </c>
      <c r="BG7" s="17"/>
      <c r="BH7" s="17"/>
      <c r="BI7" s="17"/>
      <c r="BJ7" s="17"/>
    </row>
    <row r="8" ht="18.0" customHeight="1">
      <c r="A8" s="46"/>
      <c r="B8" s="85" t="s">
        <v>65</v>
      </c>
      <c r="C8" s="87"/>
      <c r="D8" s="88"/>
      <c r="E8" s="91" t="str">
        <f>BC4</f>
        <v>CGK</v>
      </c>
      <c r="F8" s="88"/>
      <c r="G8" s="93" t="s">
        <v>67</v>
      </c>
      <c r="H8" s="118">
        <f>BD11</f>
        <v>0</v>
      </c>
      <c r="I8" s="87"/>
      <c r="J8" s="87"/>
      <c r="K8" s="87"/>
      <c r="L8" s="88"/>
      <c r="M8" s="110"/>
      <c r="N8" s="46"/>
      <c r="O8" s="85" t="s">
        <v>65</v>
      </c>
      <c r="P8" s="87"/>
      <c r="Q8" s="88"/>
      <c r="R8" s="91" t="str">
        <f>BC5</f>
        <v>BKI</v>
      </c>
      <c r="S8" s="88"/>
      <c r="T8" s="93" t="s">
        <v>67</v>
      </c>
      <c r="U8" s="118">
        <f>BD12</f>
        <v>0</v>
      </c>
      <c r="V8" s="87"/>
      <c r="W8" s="87"/>
      <c r="X8" s="87"/>
      <c r="Y8" s="88"/>
      <c r="Z8" s="110"/>
      <c r="AA8" s="56"/>
      <c r="AB8" s="97" t="s">
        <v>65</v>
      </c>
      <c r="AC8" s="87"/>
      <c r="AD8" s="88"/>
      <c r="AE8" s="99" t="str">
        <f>BC6</f>
        <v>CGK</v>
      </c>
      <c r="AF8" s="88"/>
      <c r="AG8" s="100" t="s">
        <v>67</v>
      </c>
      <c r="AH8" s="120" t="str">
        <f>BD13</f>
        <v/>
      </c>
      <c r="AI8" s="87"/>
      <c r="AJ8" s="87"/>
      <c r="AK8" s="87"/>
      <c r="AL8" s="88"/>
      <c r="AM8" s="116"/>
      <c r="AN8" s="56"/>
      <c r="AO8" s="97" t="s">
        <v>65</v>
      </c>
      <c r="AP8" s="87"/>
      <c r="AQ8" s="88"/>
      <c r="AR8" s="99" t="str">
        <f>BC7</f>
        <v>PNK</v>
      </c>
      <c r="AS8" s="88"/>
      <c r="AT8" s="100" t="s">
        <v>67</v>
      </c>
      <c r="AU8" s="120" t="str">
        <f>BD14</f>
        <v/>
      </c>
      <c r="AV8" s="87"/>
      <c r="AW8" s="87"/>
      <c r="AX8" s="87"/>
      <c r="AY8" s="88"/>
      <c r="AZ8" s="116"/>
      <c r="BA8" s="3"/>
      <c r="BB8" s="17"/>
      <c r="BC8" s="17"/>
      <c r="BD8" s="17"/>
      <c r="BE8" s="17"/>
      <c r="BF8" s="17"/>
      <c r="BG8" s="17"/>
      <c r="BH8" s="17"/>
      <c r="BI8" s="17"/>
      <c r="BJ8" s="17"/>
    </row>
    <row r="9" ht="18.0" customHeight="1">
      <c r="A9" s="46"/>
      <c r="B9" s="85" t="s">
        <v>71</v>
      </c>
      <c r="C9" s="87"/>
      <c r="D9" s="88"/>
      <c r="E9" s="122">
        <f>BB2</f>
        <v>46278</v>
      </c>
      <c r="F9" s="88"/>
      <c r="G9" s="93" t="s">
        <v>72</v>
      </c>
      <c r="H9" s="118" t="str">
        <f>BB11</f>
        <v/>
      </c>
      <c r="I9" s="87"/>
      <c r="J9" s="87"/>
      <c r="K9" s="87"/>
      <c r="L9" s="88"/>
      <c r="M9" s="110"/>
      <c r="N9" s="46"/>
      <c r="O9" s="85" t="s">
        <v>71</v>
      </c>
      <c r="P9" s="87"/>
      <c r="Q9" s="88"/>
      <c r="R9" s="122">
        <f>E9</f>
        <v>46278</v>
      </c>
      <c r="S9" s="88"/>
      <c r="T9" s="93" t="s">
        <v>72</v>
      </c>
      <c r="U9" s="118" t="str">
        <f>BB12</f>
        <v/>
      </c>
      <c r="V9" s="87"/>
      <c r="W9" s="87"/>
      <c r="X9" s="87"/>
      <c r="Y9" s="88"/>
      <c r="Z9" s="110"/>
      <c r="AA9" s="56"/>
      <c r="AB9" s="97" t="s">
        <v>71</v>
      </c>
      <c r="AC9" s="87"/>
      <c r="AD9" s="88"/>
      <c r="AE9" s="129">
        <f>R9</f>
        <v>46278</v>
      </c>
      <c r="AF9" s="88"/>
      <c r="AG9" s="100" t="s">
        <v>72</v>
      </c>
      <c r="AH9" s="120" t="str">
        <f>BB13</f>
        <v/>
      </c>
      <c r="AI9" s="87"/>
      <c r="AJ9" s="87"/>
      <c r="AK9" s="87"/>
      <c r="AL9" s="88"/>
      <c r="AM9" s="116"/>
      <c r="AN9" s="56"/>
      <c r="AO9" s="97" t="s">
        <v>71</v>
      </c>
      <c r="AP9" s="87"/>
      <c r="AQ9" s="88"/>
      <c r="AR9" s="129">
        <f>AE9</f>
        <v>46278</v>
      </c>
      <c r="AS9" s="88"/>
      <c r="AT9" s="100" t="s">
        <v>72</v>
      </c>
      <c r="AU9" s="120" t="str">
        <f>BB14</f>
        <v/>
      </c>
      <c r="AV9" s="87"/>
      <c r="AW9" s="87"/>
      <c r="AX9" s="87"/>
      <c r="AY9" s="88"/>
      <c r="AZ9" s="116"/>
      <c r="BA9" s="3"/>
      <c r="BB9" s="17"/>
      <c r="BC9" s="17"/>
      <c r="BD9" s="17"/>
      <c r="BE9" s="17"/>
      <c r="BF9" s="17"/>
      <c r="BG9" s="17"/>
      <c r="BH9" s="17"/>
      <c r="BI9" s="17"/>
      <c r="BJ9" s="17"/>
    </row>
    <row r="10" ht="23.25" customHeight="1">
      <c r="A10" s="46"/>
      <c r="B10" s="136"/>
      <c r="C10" s="136"/>
      <c r="D10" s="137"/>
      <c r="E10" s="137"/>
      <c r="F10" s="138"/>
      <c r="G10" s="138"/>
      <c r="H10" s="139"/>
      <c r="I10" s="138"/>
      <c r="J10" s="138"/>
      <c r="K10" s="138"/>
      <c r="L10" s="138"/>
      <c r="M10" s="142"/>
      <c r="N10" s="46"/>
      <c r="O10" s="136"/>
      <c r="P10" s="136"/>
      <c r="Q10" s="137"/>
      <c r="R10" s="137"/>
      <c r="S10" s="138"/>
      <c r="T10" s="138"/>
      <c r="U10" s="139"/>
      <c r="V10" s="138"/>
      <c r="W10" s="138"/>
      <c r="X10" s="138"/>
      <c r="Y10" s="138"/>
      <c r="Z10" s="142"/>
      <c r="AA10" s="56"/>
      <c r="AB10" s="144"/>
      <c r="AC10" s="144"/>
      <c r="AD10" s="145"/>
      <c r="AE10" s="145"/>
      <c r="AF10" s="146"/>
      <c r="AG10" s="146"/>
      <c r="AH10" s="147"/>
      <c r="AI10" s="146"/>
      <c r="AJ10" s="146"/>
      <c r="AK10" s="146"/>
      <c r="AL10" s="146"/>
      <c r="AM10" s="148"/>
      <c r="AN10" s="56"/>
      <c r="AO10" s="144"/>
      <c r="AP10" s="144"/>
      <c r="AQ10" s="145"/>
      <c r="AR10" s="145"/>
      <c r="AS10" s="146"/>
      <c r="AT10" s="146"/>
      <c r="AU10" s="147"/>
      <c r="AV10" s="146"/>
      <c r="AW10" s="146"/>
      <c r="AX10" s="146"/>
      <c r="AY10" s="146"/>
      <c r="AZ10" s="148"/>
      <c r="BA10" s="3"/>
      <c r="BB10" s="149" t="s">
        <v>28</v>
      </c>
      <c r="BC10" s="149" t="s">
        <v>29</v>
      </c>
      <c r="BD10" s="149" t="s">
        <v>78</v>
      </c>
      <c r="BE10" s="149" t="s">
        <v>31</v>
      </c>
      <c r="BF10" s="149" t="s">
        <v>32</v>
      </c>
      <c r="BG10" s="149" t="s">
        <v>79</v>
      </c>
      <c r="BH10" s="149" t="s">
        <v>80</v>
      </c>
      <c r="BI10" s="149" t="s">
        <v>34</v>
      </c>
      <c r="BJ10" s="149" t="s">
        <v>35</v>
      </c>
    </row>
    <row r="11" ht="19.5" customHeight="1">
      <c r="A11" s="46"/>
      <c r="B11" s="151" t="s">
        <v>81</v>
      </c>
      <c r="C11" s="151"/>
      <c r="D11" s="151"/>
      <c r="E11" s="151"/>
      <c r="F11" s="151"/>
      <c r="G11" s="153">
        <v>66000.0</v>
      </c>
      <c r="H11" s="87"/>
      <c r="I11" s="87"/>
      <c r="J11" s="87"/>
      <c r="K11" s="87"/>
      <c r="L11" s="88"/>
      <c r="M11" s="154"/>
      <c r="N11" s="46"/>
      <c r="O11" s="151" t="s">
        <v>81</v>
      </c>
      <c r="P11" s="151"/>
      <c r="Q11" s="151"/>
      <c r="R11" s="156"/>
      <c r="S11" s="156"/>
      <c r="T11" s="153">
        <v>66000.0</v>
      </c>
      <c r="U11" s="87"/>
      <c r="V11" s="87"/>
      <c r="W11" s="87"/>
      <c r="X11" s="87"/>
      <c r="Y11" s="88"/>
      <c r="Z11" s="154"/>
      <c r="AA11" s="56"/>
      <c r="AB11" s="157" t="s">
        <v>81</v>
      </c>
      <c r="AC11" s="157"/>
      <c r="AD11" s="157"/>
      <c r="AE11" s="158"/>
      <c r="AF11" s="158"/>
      <c r="AG11" s="159">
        <v>66000.0</v>
      </c>
      <c r="AH11" s="87"/>
      <c r="AI11" s="87"/>
      <c r="AJ11" s="87"/>
      <c r="AK11" s="87"/>
      <c r="AL11" s="88"/>
      <c r="AM11" s="161"/>
      <c r="AN11" s="56"/>
      <c r="AO11" s="157" t="s">
        <v>81</v>
      </c>
      <c r="AP11" s="157"/>
      <c r="AQ11" s="157"/>
      <c r="AR11" s="157"/>
      <c r="AS11" s="157"/>
      <c r="AT11" s="159">
        <v>66000.0</v>
      </c>
      <c r="AU11" s="87"/>
      <c r="AV11" s="87"/>
      <c r="AW11" s="87"/>
      <c r="AX11" s="87"/>
      <c r="AY11" s="88"/>
      <c r="AZ11" s="161"/>
      <c r="BA11" s="3"/>
      <c r="BB11" s="164"/>
      <c r="BC11" s="164">
        <v>0.0</v>
      </c>
      <c r="BD11" s="164">
        <v>0.0</v>
      </c>
      <c r="BE11" s="164">
        <v>1000.0</v>
      </c>
      <c r="BF11" s="164">
        <f>72+48</f>
        <v>120</v>
      </c>
      <c r="BG11" s="164"/>
      <c r="BH11" s="164" t="s">
        <v>85</v>
      </c>
      <c r="BI11" s="164">
        <v>0.0</v>
      </c>
      <c r="BJ11" s="168">
        <v>0.0</v>
      </c>
    </row>
    <row r="12" ht="19.5" customHeight="1">
      <c r="A12" s="46"/>
      <c r="B12" s="151" t="s">
        <v>86</v>
      </c>
      <c r="C12" s="151"/>
      <c r="D12" s="151"/>
      <c r="E12" s="151"/>
      <c r="F12" s="151"/>
      <c r="G12" s="172">
        <f>H8</f>
        <v>0</v>
      </c>
      <c r="H12" s="87"/>
      <c r="I12" s="87"/>
      <c r="J12" s="87"/>
      <c r="K12" s="87"/>
      <c r="L12" s="88"/>
      <c r="M12" s="110"/>
      <c r="N12" s="46"/>
      <c r="O12" s="151" t="s">
        <v>86</v>
      </c>
      <c r="P12" s="151"/>
      <c r="Q12" s="151"/>
      <c r="R12" s="156"/>
      <c r="S12" s="156"/>
      <c r="T12" s="172">
        <f>U8</f>
        <v>0</v>
      </c>
      <c r="U12" s="87"/>
      <c r="V12" s="87"/>
      <c r="W12" s="87"/>
      <c r="X12" s="87"/>
      <c r="Y12" s="88"/>
      <c r="Z12" s="110"/>
      <c r="AA12" s="56"/>
      <c r="AB12" s="157" t="s">
        <v>86</v>
      </c>
      <c r="AC12" s="157"/>
      <c r="AD12" s="157"/>
      <c r="AE12" s="158"/>
      <c r="AF12" s="158"/>
      <c r="AG12" s="177" t="str">
        <f>AH8</f>
        <v/>
      </c>
      <c r="AH12" s="87"/>
      <c r="AI12" s="87"/>
      <c r="AJ12" s="87"/>
      <c r="AK12" s="87"/>
      <c r="AL12" s="88"/>
      <c r="AM12" s="116"/>
      <c r="AN12" s="56"/>
      <c r="AO12" s="157" t="s">
        <v>86</v>
      </c>
      <c r="AP12" s="157"/>
      <c r="AQ12" s="157"/>
      <c r="AR12" s="157"/>
      <c r="AS12" s="157"/>
      <c r="AT12" s="177" t="str">
        <f>BD14</f>
        <v/>
      </c>
      <c r="AU12" s="87"/>
      <c r="AV12" s="87"/>
      <c r="AW12" s="87"/>
      <c r="AX12" s="87"/>
      <c r="AY12" s="88"/>
      <c r="AZ12" s="116"/>
      <c r="BA12" s="3"/>
      <c r="BB12" s="164"/>
      <c r="BC12" s="164">
        <v>0.0</v>
      </c>
      <c r="BD12" s="164">
        <v>0.0</v>
      </c>
      <c r="BE12" s="164">
        <v>1000.0</v>
      </c>
      <c r="BF12" s="164">
        <f>120+120</f>
        <v>240</v>
      </c>
      <c r="BG12" s="164"/>
      <c r="BH12" s="164" t="s">
        <v>69</v>
      </c>
      <c r="BI12" s="179">
        <v>3000.0</v>
      </c>
      <c r="BJ12" s="179">
        <v>329.75</v>
      </c>
    </row>
    <row r="13" ht="19.5" customHeight="1">
      <c r="A13" s="46"/>
      <c r="B13" s="151" t="s">
        <v>87</v>
      </c>
      <c r="C13" s="151"/>
      <c r="D13" s="151"/>
      <c r="E13" s="151"/>
      <c r="F13" s="180" t="s">
        <v>88</v>
      </c>
      <c r="G13" s="181">
        <f>G11+G12</f>
        <v>66000</v>
      </c>
      <c r="H13" s="87"/>
      <c r="I13" s="87"/>
      <c r="J13" s="87"/>
      <c r="K13" s="87"/>
      <c r="L13" s="88"/>
      <c r="M13" s="110"/>
      <c r="N13" s="46"/>
      <c r="O13" s="151" t="s">
        <v>87</v>
      </c>
      <c r="P13" s="151"/>
      <c r="Q13" s="151"/>
      <c r="R13" s="156"/>
      <c r="S13" s="183" t="s">
        <v>88</v>
      </c>
      <c r="T13" s="181">
        <f>T11+T12</f>
        <v>66000</v>
      </c>
      <c r="U13" s="87"/>
      <c r="V13" s="87"/>
      <c r="W13" s="87"/>
      <c r="X13" s="87"/>
      <c r="Y13" s="88"/>
      <c r="Z13" s="110"/>
      <c r="AA13" s="56"/>
      <c r="AB13" s="157" t="s">
        <v>87</v>
      </c>
      <c r="AC13" s="157"/>
      <c r="AD13" s="157"/>
      <c r="AE13" s="158"/>
      <c r="AF13" s="184" t="s">
        <v>88</v>
      </c>
      <c r="AG13" s="187">
        <f>AG11+AG12</f>
        <v>66000</v>
      </c>
      <c r="AH13" s="87"/>
      <c r="AI13" s="87"/>
      <c r="AJ13" s="87"/>
      <c r="AK13" s="87"/>
      <c r="AL13" s="88"/>
      <c r="AM13" s="116"/>
      <c r="AN13" s="56"/>
      <c r="AO13" s="157" t="s">
        <v>87</v>
      </c>
      <c r="AP13" s="157"/>
      <c r="AQ13" s="157"/>
      <c r="AR13" s="158"/>
      <c r="AS13" s="184" t="s">
        <v>88</v>
      </c>
      <c r="AT13" s="187">
        <f>AT11+AT12</f>
        <v>66000</v>
      </c>
      <c r="AU13" s="87"/>
      <c r="AV13" s="87"/>
      <c r="AW13" s="87"/>
      <c r="AX13" s="87"/>
      <c r="AY13" s="88"/>
      <c r="AZ13" s="116"/>
      <c r="BA13" s="3"/>
      <c r="BB13" s="105"/>
      <c r="BC13" s="105"/>
      <c r="BD13" s="105"/>
      <c r="BE13" s="105"/>
      <c r="BF13" s="105"/>
      <c r="BG13" s="105"/>
      <c r="BH13" s="105"/>
      <c r="BI13" s="105"/>
      <c r="BJ13" s="192"/>
    </row>
    <row r="14" ht="19.5" customHeight="1">
      <c r="A14" s="46"/>
      <c r="B14" s="151"/>
      <c r="C14" s="151"/>
      <c r="D14" s="151"/>
      <c r="E14" s="151"/>
      <c r="F14" s="151"/>
      <c r="G14" s="151"/>
      <c r="H14" s="151"/>
      <c r="I14" s="151"/>
      <c r="J14" s="151"/>
      <c r="K14" s="151"/>
      <c r="L14" s="151"/>
      <c r="M14" s="55"/>
      <c r="N14" s="46"/>
      <c r="O14" s="151"/>
      <c r="P14" s="151"/>
      <c r="Q14" s="151"/>
      <c r="R14" s="156"/>
      <c r="S14" s="156"/>
      <c r="T14" s="156"/>
      <c r="U14" s="156"/>
      <c r="V14" s="156"/>
      <c r="W14" s="156"/>
      <c r="X14" s="156"/>
      <c r="Y14" s="156"/>
      <c r="Z14" s="55"/>
      <c r="AA14" s="56"/>
      <c r="AB14" s="157"/>
      <c r="AC14" s="157"/>
      <c r="AD14" s="157"/>
      <c r="AE14" s="158"/>
      <c r="AF14" s="158"/>
      <c r="AG14" s="158"/>
      <c r="AH14" s="158"/>
      <c r="AI14" s="158"/>
      <c r="AJ14" s="158"/>
      <c r="AK14" s="158"/>
      <c r="AL14" s="158"/>
      <c r="AM14" s="61"/>
      <c r="AN14" s="56"/>
      <c r="AO14" s="157"/>
      <c r="AP14" s="157"/>
      <c r="AQ14" s="157"/>
      <c r="AR14" s="158"/>
      <c r="AS14" s="158"/>
      <c r="AT14" s="158"/>
      <c r="AU14" s="158"/>
      <c r="AV14" s="158"/>
      <c r="AW14" s="158"/>
      <c r="AX14" s="158"/>
      <c r="AY14" s="158"/>
      <c r="AZ14" s="61"/>
      <c r="BA14" s="3"/>
      <c r="BB14" s="105"/>
      <c r="BC14" s="105"/>
      <c r="BD14" s="105"/>
      <c r="BE14" s="105"/>
      <c r="BF14" s="105"/>
      <c r="BG14" s="105"/>
      <c r="BH14" s="105"/>
      <c r="BI14" s="193"/>
      <c r="BJ14" s="193"/>
    </row>
    <row r="15" ht="19.5" customHeight="1">
      <c r="A15" s="46"/>
      <c r="B15" s="195" t="s">
        <v>90</v>
      </c>
      <c r="C15" s="196"/>
      <c r="D15" s="196"/>
      <c r="E15" s="196"/>
      <c r="F15" s="196"/>
      <c r="G15" s="196"/>
      <c r="H15" s="197"/>
      <c r="I15" s="199" t="s">
        <v>91</v>
      </c>
      <c r="J15" s="87"/>
      <c r="K15" s="87"/>
      <c r="L15" s="88"/>
      <c r="M15" s="55"/>
      <c r="N15" s="46"/>
      <c r="O15" s="195" t="s">
        <v>90</v>
      </c>
      <c r="P15" s="196"/>
      <c r="Q15" s="196"/>
      <c r="R15" s="201"/>
      <c r="S15" s="201"/>
      <c r="T15" s="201"/>
      <c r="U15" s="202"/>
      <c r="V15" s="204" t="s">
        <v>91</v>
      </c>
      <c r="W15" s="87"/>
      <c r="X15" s="87"/>
      <c r="Y15" s="88"/>
      <c r="Z15" s="55"/>
      <c r="AA15" s="56"/>
      <c r="AB15" s="205" t="s">
        <v>90</v>
      </c>
      <c r="AC15" s="206"/>
      <c r="AD15" s="206"/>
      <c r="AE15" s="207"/>
      <c r="AF15" s="207"/>
      <c r="AG15" s="207"/>
      <c r="AH15" s="208"/>
      <c r="AI15" s="209" t="s">
        <v>91</v>
      </c>
      <c r="AJ15" s="87"/>
      <c r="AK15" s="87"/>
      <c r="AL15" s="88"/>
      <c r="AM15" s="61"/>
      <c r="AN15" s="56"/>
      <c r="AO15" s="205" t="s">
        <v>90</v>
      </c>
      <c r="AP15" s="206"/>
      <c r="AQ15" s="206"/>
      <c r="AR15" s="207"/>
      <c r="AS15" s="207"/>
      <c r="AT15" s="207"/>
      <c r="AU15" s="208"/>
      <c r="AV15" s="209" t="s">
        <v>91</v>
      </c>
      <c r="AW15" s="87"/>
      <c r="AX15" s="87"/>
      <c r="AY15" s="88"/>
      <c r="AZ15" s="61"/>
      <c r="BA15" s="3"/>
      <c r="BB15" s="17"/>
      <c r="BC15" s="17"/>
      <c r="BD15" s="17"/>
      <c r="BE15" s="17"/>
      <c r="BF15" s="17"/>
      <c r="BG15" s="17"/>
      <c r="BH15" s="17"/>
      <c r="BI15" s="17"/>
      <c r="BJ15" s="17"/>
    </row>
    <row r="16" ht="19.5" customHeight="1">
      <c r="A16" s="46"/>
      <c r="B16" s="211" t="s">
        <v>92</v>
      </c>
      <c r="C16" s="212"/>
      <c r="D16" s="212"/>
      <c r="E16" s="199" t="s">
        <v>93</v>
      </c>
      <c r="F16" s="87"/>
      <c r="G16" s="87"/>
      <c r="H16" s="88"/>
      <c r="I16" s="199" t="s">
        <v>94</v>
      </c>
      <c r="J16" s="87"/>
      <c r="K16" s="87"/>
      <c r="L16" s="88"/>
      <c r="M16" s="55"/>
      <c r="N16" s="46"/>
      <c r="O16" s="211" t="s">
        <v>92</v>
      </c>
      <c r="P16" s="212"/>
      <c r="Q16" s="212"/>
      <c r="R16" s="204" t="s">
        <v>93</v>
      </c>
      <c r="S16" s="87"/>
      <c r="T16" s="87"/>
      <c r="U16" s="88"/>
      <c r="V16" s="204" t="s">
        <v>94</v>
      </c>
      <c r="W16" s="87"/>
      <c r="X16" s="87"/>
      <c r="Y16" s="88"/>
      <c r="Z16" s="55"/>
      <c r="AA16" s="56"/>
      <c r="AB16" s="213" t="s">
        <v>92</v>
      </c>
      <c r="AC16" s="215"/>
      <c r="AD16" s="215"/>
      <c r="AE16" s="209" t="s">
        <v>93</v>
      </c>
      <c r="AF16" s="87"/>
      <c r="AG16" s="87"/>
      <c r="AH16" s="88"/>
      <c r="AI16" s="209" t="s">
        <v>94</v>
      </c>
      <c r="AJ16" s="87"/>
      <c r="AK16" s="87"/>
      <c r="AL16" s="88"/>
      <c r="AM16" s="61"/>
      <c r="AN16" s="56"/>
      <c r="AO16" s="213" t="s">
        <v>92</v>
      </c>
      <c r="AP16" s="215"/>
      <c r="AQ16" s="215"/>
      <c r="AR16" s="209" t="s">
        <v>93</v>
      </c>
      <c r="AS16" s="87"/>
      <c r="AT16" s="87"/>
      <c r="AU16" s="88"/>
      <c r="AV16" s="209" t="s">
        <v>94</v>
      </c>
      <c r="AW16" s="87"/>
      <c r="AX16" s="87"/>
      <c r="AY16" s="88"/>
      <c r="AZ16" s="61"/>
      <c r="BA16" s="3"/>
      <c r="BB16" s="17"/>
      <c r="BC16" s="17"/>
      <c r="BD16" s="17"/>
      <c r="BE16" s="17"/>
      <c r="BF16" s="17"/>
      <c r="BG16" s="17"/>
      <c r="BH16" s="17"/>
      <c r="BI16" s="17"/>
      <c r="BJ16" s="17"/>
    </row>
    <row r="17" ht="19.5" customHeight="1">
      <c r="A17" s="46"/>
      <c r="B17" s="195" t="s">
        <v>87</v>
      </c>
      <c r="C17" s="196"/>
      <c r="D17" s="196"/>
      <c r="E17" s="197"/>
      <c r="F17" s="180" t="s">
        <v>99</v>
      </c>
      <c r="G17" s="219">
        <v>73500.0</v>
      </c>
      <c r="H17" s="87"/>
      <c r="I17" s="87"/>
      <c r="J17" s="87"/>
      <c r="K17" s="87"/>
      <c r="L17" s="88"/>
      <c r="M17" s="55"/>
      <c r="N17" s="46"/>
      <c r="O17" s="195" t="s">
        <v>87</v>
      </c>
      <c r="P17" s="196"/>
      <c r="Q17" s="196"/>
      <c r="R17" s="202"/>
      <c r="S17" s="183" t="s">
        <v>99</v>
      </c>
      <c r="T17" s="219">
        <f>G17</f>
        <v>73500</v>
      </c>
      <c r="U17" s="87"/>
      <c r="V17" s="87"/>
      <c r="W17" s="87"/>
      <c r="X17" s="87"/>
      <c r="Y17" s="88"/>
      <c r="Z17" s="55"/>
      <c r="AA17" s="56"/>
      <c r="AB17" s="205" t="s">
        <v>87</v>
      </c>
      <c r="AC17" s="206"/>
      <c r="AD17" s="206"/>
      <c r="AE17" s="208"/>
      <c r="AF17" s="184" t="s">
        <v>99</v>
      </c>
      <c r="AG17" s="225">
        <f>T17</f>
        <v>73500</v>
      </c>
      <c r="AH17" s="87"/>
      <c r="AI17" s="87"/>
      <c r="AJ17" s="87"/>
      <c r="AK17" s="87"/>
      <c r="AL17" s="88"/>
      <c r="AM17" s="61"/>
      <c r="AN17" s="56"/>
      <c r="AO17" s="205" t="s">
        <v>87</v>
      </c>
      <c r="AP17" s="206"/>
      <c r="AQ17" s="206"/>
      <c r="AR17" s="208"/>
      <c r="AS17" s="184" t="s">
        <v>99</v>
      </c>
      <c r="AT17" s="225">
        <f>AG17</f>
        <v>73500</v>
      </c>
      <c r="AU17" s="87"/>
      <c r="AV17" s="87"/>
      <c r="AW17" s="87"/>
      <c r="AX17" s="87"/>
      <c r="AY17" s="88"/>
      <c r="AZ17" s="61"/>
      <c r="BA17" s="3"/>
      <c r="BB17" s="228" t="s">
        <v>105</v>
      </c>
      <c r="BC17" s="229" t="s">
        <v>106</v>
      </c>
      <c r="BD17" s="17"/>
      <c r="BE17" s="17"/>
      <c r="BF17" s="17"/>
      <c r="BG17" s="17"/>
      <c r="BH17" s="17"/>
      <c r="BI17" s="17"/>
      <c r="BJ17" s="17"/>
    </row>
    <row r="18" ht="19.5" customHeight="1">
      <c r="A18" s="46"/>
      <c r="B18" s="151"/>
      <c r="C18" s="151"/>
      <c r="D18" s="151"/>
      <c r="E18" s="151"/>
      <c r="F18" s="151"/>
      <c r="G18" s="232"/>
      <c r="H18" s="232"/>
      <c r="I18" s="232"/>
      <c r="J18" s="232"/>
      <c r="K18" s="232"/>
      <c r="L18" s="232"/>
      <c r="M18" s="55"/>
      <c r="N18" s="46"/>
      <c r="O18" s="151"/>
      <c r="P18" s="151"/>
      <c r="Q18" s="151"/>
      <c r="R18" s="156"/>
      <c r="S18" s="156"/>
      <c r="T18" s="232"/>
      <c r="U18" s="232"/>
      <c r="V18" s="232"/>
      <c r="W18" s="232"/>
      <c r="X18" s="232"/>
      <c r="Y18" s="232"/>
      <c r="Z18" s="55"/>
      <c r="AA18" s="56"/>
      <c r="AB18" s="157"/>
      <c r="AC18" s="157"/>
      <c r="AD18" s="157"/>
      <c r="AE18" s="158"/>
      <c r="AF18" s="158"/>
      <c r="AG18" s="235"/>
      <c r="AH18" s="235"/>
      <c r="AI18" s="235"/>
      <c r="AJ18" s="235"/>
      <c r="AK18" s="235"/>
      <c r="AL18" s="235"/>
      <c r="AM18" s="61"/>
      <c r="AN18" s="56"/>
      <c r="AO18" s="157"/>
      <c r="AP18" s="157"/>
      <c r="AQ18" s="157"/>
      <c r="AR18" s="158"/>
      <c r="AS18" s="158"/>
      <c r="AT18" s="235"/>
      <c r="AU18" s="235"/>
      <c r="AV18" s="235"/>
      <c r="AW18" s="235"/>
      <c r="AX18" s="235"/>
      <c r="AY18" s="235"/>
      <c r="AZ18" s="61"/>
      <c r="BA18" s="3"/>
      <c r="BB18" s="17"/>
      <c r="BC18" s="17"/>
      <c r="BD18" s="17"/>
      <c r="BE18" s="17"/>
      <c r="BF18" s="17"/>
      <c r="BG18" s="17"/>
      <c r="BH18" s="256" t="s">
        <v>49</v>
      </c>
      <c r="BI18" s="17"/>
      <c r="BJ18" s="17"/>
    </row>
    <row r="19" ht="19.5" customHeight="1">
      <c r="A19" s="46"/>
      <c r="B19" s="195" t="s">
        <v>109</v>
      </c>
      <c r="C19" s="196"/>
      <c r="D19" s="196"/>
      <c r="E19" s="196"/>
      <c r="F19" s="197"/>
      <c r="G19" s="260">
        <f>G13</f>
        <v>66000</v>
      </c>
      <c r="H19" s="87"/>
      <c r="I19" s="87"/>
      <c r="J19" s="87"/>
      <c r="K19" s="87"/>
      <c r="L19" s="88"/>
      <c r="M19" s="110"/>
      <c r="N19" s="46"/>
      <c r="O19" s="195" t="s">
        <v>109</v>
      </c>
      <c r="P19" s="196"/>
      <c r="Q19" s="196"/>
      <c r="R19" s="201"/>
      <c r="S19" s="202"/>
      <c r="T19" s="260">
        <f>T13</f>
        <v>66000</v>
      </c>
      <c r="U19" s="87"/>
      <c r="V19" s="87"/>
      <c r="W19" s="87"/>
      <c r="X19" s="87"/>
      <c r="Y19" s="88"/>
      <c r="Z19" s="110"/>
      <c r="AA19" s="56"/>
      <c r="AB19" s="205" t="s">
        <v>109</v>
      </c>
      <c r="AC19" s="206"/>
      <c r="AD19" s="206"/>
      <c r="AE19" s="207"/>
      <c r="AF19" s="208"/>
      <c r="AG19" s="262">
        <f>AG13</f>
        <v>66000</v>
      </c>
      <c r="AH19" s="87"/>
      <c r="AI19" s="87"/>
      <c r="AJ19" s="87"/>
      <c r="AK19" s="87"/>
      <c r="AL19" s="88"/>
      <c r="AM19" s="116"/>
      <c r="AN19" s="56"/>
      <c r="AO19" s="205" t="s">
        <v>109</v>
      </c>
      <c r="AP19" s="206"/>
      <c r="AQ19" s="206"/>
      <c r="AR19" s="207"/>
      <c r="AS19" s="208"/>
      <c r="AT19" s="262">
        <f>AT13</f>
        <v>66000</v>
      </c>
      <c r="AU19" s="87"/>
      <c r="AV19" s="87"/>
      <c r="AW19" s="87"/>
      <c r="AX19" s="87"/>
      <c r="AY19" s="88"/>
      <c r="AZ19" s="116"/>
      <c r="BA19" s="3"/>
      <c r="BB19" s="228" t="s">
        <v>46</v>
      </c>
      <c r="BC19" s="228">
        <v>71076.0</v>
      </c>
      <c r="BD19" s="17"/>
      <c r="BE19" s="17"/>
      <c r="BF19" s="17"/>
      <c r="BG19" s="17"/>
      <c r="BH19" s="17"/>
      <c r="BI19" s="17"/>
      <c r="BJ19" s="17"/>
    </row>
    <row r="20" ht="19.5" customHeight="1">
      <c r="A20" s="46"/>
      <c r="B20" s="195" t="s">
        <v>113</v>
      </c>
      <c r="C20" s="196"/>
      <c r="D20" s="196"/>
      <c r="E20" s="196"/>
      <c r="F20" s="197"/>
      <c r="G20" s="268" t="str">
        <f>BG11</f>
        <v/>
      </c>
      <c r="H20" s="87"/>
      <c r="I20" s="87"/>
      <c r="J20" s="87"/>
      <c r="K20" s="87"/>
      <c r="L20" s="88"/>
      <c r="M20" s="110"/>
      <c r="N20" s="46"/>
      <c r="O20" s="195" t="s">
        <v>113</v>
      </c>
      <c r="P20" s="196"/>
      <c r="Q20" s="196"/>
      <c r="R20" s="201"/>
      <c r="S20" s="202"/>
      <c r="T20" s="268" t="str">
        <f>BG12</f>
        <v/>
      </c>
      <c r="U20" s="87"/>
      <c r="V20" s="87"/>
      <c r="W20" s="87"/>
      <c r="X20" s="87"/>
      <c r="Y20" s="88"/>
      <c r="Z20" s="110"/>
      <c r="AA20" s="56"/>
      <c r="AB20" s="205" t="s">
        <v>113</v>
      </c>
      <c r="AC20" s="206"/>
      <c r="AD20" s="206"/>
      <c r="AE20" s="207"/>
      <c r="AF20" s="208"/>
      <c r="AG20" s="273" t="str">
        <f>BG13</f>
        <v/>
      </c>
      <c r="AH20" s="87"/>
      <c r="AI20" s="87"/>
      <c r="AJ20" s="87"/>
      <c r="AK20" s="87"/>
      <c r="AL20" s="88"/>
      <c r="AM20" s="116"/>
      <c r="AN20" s="56"/>
      <c r="AO20" s="205" t="s">
        <v>113</v>
      </c>
      <c r="AP20" s="206"/>
      <c r="AQ20" s="206"/>
      <c r="AR20" s="207"/>
      <c r="AS20" s="208"/>
      <c r="AT20" s="273" t="str">
        <f>BG14</f>
        <v/>
      </c>
      <c r="AU20" s="87"/>
      <c r="AV20" s="87"/>
      <c r="AW20" s="87"/>
      <c r="AX20" s="87"/>
      <c r="AY20" s="88"/>
      <c r="AZ20" s="116"/>
      <c r="BA20" s="3"/>
      <c r="BB20" s="228" t="s">
        <v>48</v>
      </c>
      <c r="BC20" s="228">
        <v>71077.0</v>
      </c>
      <c r="BD20" s="17"/>
      <c r="BE20" s="17"/>
      <c r="BF20" s="17"/>
      <c r="BG20" s="17"/>
      <c r="BH20" s="17"/>
      <c r="BI20" s="17"/>
      <c r="BJ20" s="17"/>
    </row>
    <row r="21" ht="19.5" customHeight="1">
      <c r="A21" s="46"/>
      <c r="B21" s="195" t="s">
        <v>116</v>
      </c>
      <c r="C21" s="196"/>
      <c r="D21" s="196"/>
      <c r="E21" s="196"/>
      <c r="F21" s="197"/>
      <c r="G21" s="181">
        <f>G19-G20</f>
        <v>66000</v>
      </c>
      <c r="H21" s="87"/>
      <c r="I21" s="87"/>
      <c r="J21" s="87"/>
      <c r="K21" s="87"/>
      <c r="L21" s="88"/>
      <c r="M21" s="110"/>
      <c r="N21" s="46"/>
      <c r="O21" s="195" t="s">
        <v>116</v>
      </c>
      <c r="P21" s="196"/>
      <c r="Q21" s="196"/>
      <c r="R21" s="201"/>
      <c r="S21" s="202"/>
      <c r="T21" s="181">
        <f>T19-T20</f>
        <v>66000</v>
      </c>
      <c r="U21" s="87"/>
      <c r="V21" s="87"/>
      <c r="W21" s="87"/>
      <c r="X21" s="87"/>
      <c r="Y21" s="88"/>
      <c r="Z21" s="110"/>
      <c r="AA21" s="56"/>
      <c r="AB21" s="205" t="s">
        <v>116</v>
      </c>
      <c r="AC21" s="206"/>
      <c r="AD21" s="206"/>
      <c r="AE21" s="207"/>
      <c r="AF21" s="208"/>
      <c r="AG21" s="187">
        <f>AG19-AG20</f>
        <v>66000</v>
      </c>
      <c r="AH21" s="87"/>
      <c r="AI21" s="87"/>
      <c r="AJ21" s="87"/>
      <c r="AK21" s="87"/>
      <c r="AL21" s="88"/>
      <c r="AM21" s="116"/>
      <c r="AN21" s="56"/>
      <c r="AO21" s="205" t="s">
        <v>116</v>
      </c>
      <c r="AP21" s="206"/>
      <c r="AQ21" s="206"/>
      <c r="AR21" s="207"/>
      <c r="AS21" s="208"/>
      <c r="AT21" s="187">
        <f>AT19-AT20</f>
        <v>66000</v>
      </c>
      <c r="AU21" s="87"/>
      <c r="AV21" s="87"/>
      <c r="AW21" s="87"/>
      <c r="AX21" s="87"/>
      <c r="AY21" s="88"/>
      <c r="AZ21" s="116"/>
      <c r="BA21" s="3"/>
      <c r="BB21" s="291" t="s">
        <v>51</v>
      </c>
      <c r="BC21" s="292"/>
      <c r="BD21" s="17"/>
      <c r="BE21" s="17"/>
      <c r="BF21" s="17"/>
      <c r="BG21" s="17"/>
      <c r="BH21" s="17"/>
      <c r="BI21" s="17"/>
      <c r="BJ21" s="17"/>
    </row>
    <row r="22" ht="19.5" customHeight="1">
      <c r="A22" s="46"/>
      <c r="B22" s="195" t="s">
        <v>120</v>
      </c>
      <c r="C22" s="196"/>
      <c r="D22" s="196"/>
      <c r="E22" s="196"/>
      <c r="F22" s="197"/>
      <c r="G22" s="172">
        <f>BE11</f>
        <v>1000</v>
      </c>
      <c r="H22" s="87"/>
      <c r="I22" s="87"/>
      <c r="J22" s="87"/>
      <c r="K22" s="87"/>
      <c r="L22" s="88"/>
      <c r="M22" s="110"/>
      <c r="N22" s="46"/>
      <c r="O22" s="195" t="s">
        <v>120</v>
      </c>
      <c r="P22" s="196"/>
      <c r="Q22" s="196"/>
      <c r="R22" s="201"/>
      <c r="S22" s="202"/>
      <c r="T22" s="172">
        <f>BE12</f>
        <v>1000</v>
      </c>
      <c r="U22" s="87"/>
      <c r="V22" s="87"/>
      <c r="W22" s="87"/>
      <c r="X22" s="87"/>
      <c r="Y22" s="88"/>
      <c r="Z22" s="110"/>
      <c r="AA22" s="56"/>
      <c r="AB22" s="205" t="s">
        <v>120</v>
      </c>
      <c r="AC22" s="206"/>
      <c r="AD22" s="206"/>
      <c r="AE22" s="207"/>
      <c r="AF22" s="208"/>
      <c r="AG22" s="177" t="str">
        <f>BE13</f>
        <v/>
      </c>
      <c r="AH22" s="87"/>
      <c r="AI22" s="87"/>
      <c r="AJ22" s="87"/>
      <c r="AK22" s="87"/>
      <c r="AL22" s="88"/>
      <c r="AM22" s="116"/>
      <c r="AN22" s="56"/>
      <c r="AO22" s="205" t="s">
        <v>120</v>
      </c>
      <c r="AP22" s="206"/>
      <c r="AQ22" s="206"/>
      <c r="AR22" s="207"/>
      <c r="AS22" s="208"/>
      <c r="AT22" s="177" t="str">
        <f>BE14</f>
        <v/>
      </c>
      <c r="AU22" s="87"/>
      <c r="AV22" s="87"/>
      <c r="AW22" s="87"/>
      <c r="AX22" s="87"/>
      <c r="AY22" s="88"/>
      <c r="AZ22" s="116"/>
      <c r="BA22" s="3"/>
      <c r="BB22" s="291" t="s">
        <v>52</v>
      </c>
      <c r="BC22" s="292"/>
      <c r="BD22" s="17"/>
      <c r="BE22" s="17"/>
      <c r="BF22" s="17"/>
      <c r="BG22" s="17"/>
      <c r="BH22" s="17"/>
      <c r="BI22" s="17"/>
      <c r="BJ22" s="17"/>
    </row>
    <row r="23" ht="19.5" customHeight="1">
      <c r="A23" s="46"/>
      <c r="B23" s="195" t="s">
        <v>121</v>
      </c>
      <c r="C23" s="196"/>
      <c r="D23" s="196"/>
      <c r="E23" s="196"/>
      <c r="F23" s="197"/>
      <c r="G23" s="303">
        <f>G21-G22</f>
        <v>65000</v>
      </c>
      <c r="H23" s="87"/>
      <c r="I23" s="87"/>
      <c r="J23" s="87"/>
      <c r="K23" s="87"/>
      <c r="L23" s="88"/>
      <c r="M23" s="110"/>
      <c r="N23" s="46"/>
      <c r="O23" s="195" t="s">
        <v>121</v>
      </c>
      <c r="P23" s="196"/>
      <c r="Q23" s="196"/>
      <c r="R23" s="201"/>
      <c r="S23" s="202"/>
      <c r="T23" s="303">
        <f>T21-T22</f>
        <v>65000</v>
      </c>
      <c r="U23" s="87"/>
      <c r="V23" s="87"/>
      <c r="W23" s="87"/>
      <c r="X23" s="87"/>
      <c r="Y23" s="88"/>
      <c r="Z23" s="110"/>
      <c r="AA23" s="56"/>
      <c r="AB23" s="205" t="s">
        <v>121</v>
      </c>
      <c r="AC23" s="206"/>
      <c r="AD23" s="206"/>
      <c r="AE23" s="207"/>
      <c r="AF23" s="208"/>
      <c r="AG23" s="309">
        <f>AG21-AG22</f>
        <v>66000</v>
      </c>
      <c r="AH23" s="87"/>
      <c r="AI23" s="87"/>
      <c r="AJ23" s="87"/>
      <c r="AK23" s="87"/>
      <c r="AL23" s="88"/>
      <c r="AM23" s="116"/>
      <c r="AN23" s="56"/>
      <c r="AO23" s="205" t="s">
        <v>121</v>
      </c>
      <c r="AP23" s="206"/>
      <c r="AQ23" s="206"/>
      <c r="AR23" s="207"/>
      <c r="AS23" s="208"/>
      <c r="AT23" s="309">
        <f>AT21-AT22</f>
        <v>66000</v>
      </c>
      <c r="AU23" s="87"/>
      <c r="AV23" s="87"/>
      <c r="AW23" s="87"/>
      <c r="AX23" s="87"/>
      <c r="AY23" s="88"/>
      <c r="AZ23" s="116"/>
      <c r="BA23" s="3"/>
      <c r="BB23" s="17"/>
      <c r="BC23" s="17"/>
      <c r="BD23" s="17"/>
      <c r="BE23" s="17"/>
      <c r="BF23" s="17"/>
      <c r="BG23" s="17"/>
      <c r="BH23" s="17"/>
      <c r="BI23" s="17"/>
      <c r="BJ23" s="17"/>
    </row>
    <row r="24" ht="19.5" customHeight="1">
      <c r="A24" s="46"/>
      <c r="B24" s="151"/>
      <c r="C24" s="151"/>
      <c r="D24" s="151"/>
      <c r="E24" s="151"/>
      <c r="F24" s="151"/>
      <c r="G24" s="232"/>
      <c r="H24" s="232"/>
      <c r="I24" s="232"/>
      <c r="J24" s="232"/>
      <c r="K24" s="232"/>
      <c r="L24" s="232"/>
      <c r="M24" s="55"/>
      <c r="N24" s="46"/>
      <c r="O24" s="151"/>
      <c r="P24" s="151"/>
      <c r="Q24" s="151"/>
      <c r="R24" s="156"/>
      <c r="S24" s="156"/>
      <c r="T24" s="232"/>
      <c r="U24" s="232"/>
      <c r="V24" s="232"/>
      <c r="W24" s="232"/>
      <c r="X24" s="232"/>
      <c r="Y24" s="232"/>
      <c r="Z24" s="55"/>
      <c r="AA24" s="56"/>
      <c r="AB24" s="157"/>
      <c r="AC24" s="157"/>
      <c r="AD24" s="157"/>
      <c r="AE24" s="158"/>
      <c r="AF24" s="158"/>
      <c r="AG24" s="235"/>
      <c r="AH24" s="235"/>
      <c r="AI24" s="235"/>
      <c r="AJ24" s="235"/>
      <c r="AK24" s="235"/>
      <c r="AL24" s="235"/>
      <c r="AM24" s="61"/>
      <c r="AN24" s="56"/>
      <c r="AO24" s="157"/>
      <c r="AP24" s="157"/>
      <c r="AQ24" s="157"/>
      <c r="AR24" s="158"/>
      <c r="AS24" s="158"/>
      <c r="AT24" s="235"/>
      <c r="AU24" s="235"/>
      <c r="AV24" s="235"/>
      <c r="AW24" s="235"/>
      <c r="AX24" s="235"/>
      <c r="AY24" s="235"/>
      <c r="AZ24" s="61"/>
      <c r="BA24" s="3"/>
      <c r="BB24" s="228" t="s">
        <v>54</v>
      </c>
      <c r="BC24" s="228"/>
      <c r="BD24" s="17"/>
      <c r="BE24" s="17"/>
      <c r="BF24" s="17"/>
      <c r="BG24" s="17"/>
      <c r="BH24" s="17"/>
      <c r="BI24" s="17"/>
      <c r="BJ24" s="17"/>
    </row>
    <row r="25" ht="19.5" customHeight="1">
      <c r="A25" s="46"/>
      <c r="B25" s="195" t="s">
        <v>123</v>
      </c>
      <c r="C25" s="196"/>
      <c r="D25" s="196"/>
      <c r="E25" s="196"/>
      <c r="F25" s="197"/>
      <c r="G25" s="314"/>
      <c r="H25" s="87"/>
      <c r="I25" s="87"/>
      <c r="J25" s="87"/>
      <c r="K25" s="87"/>
      <c r="L25" s="88"/>
      <c r="M25" s="55"/>
      <c r="N25" s="46"/>
      <c r="O25" s="195" t="s">
        <v>123</v>
      </c>
      <c r="P25" s="196"/>
      <c r="Q25" s="196"/>
      <c r="R25" s="201"/>
      <c r="S25" s="202"/>
      <c r="T25" s="314"/>
      <c r="U25" s="87"/>
      <c r="V25" s="87"/>
      <c r="W25" s="87"/>
      <c r="X25" s="87"/>
      <c r="Y25" s="88"/>
      <c r="Z25" s="55"/>
      <c r="AA25" s="56"/>
      <c r="AB25" s="205" t="s">
        <v>123</v>
      </c>
      <c r="AC25" s="206"/>
      <c r="AD25" s="206"/>
      <c r="AE25" s="207"/>
      <c r="AF25" s="208"/>
      <c r="AG25" s="315"/>
      <c r="AH25" s="87"/>
      <c r="AI25" s="87"/>
      <c r="AJ25" s="87"/>
      <c r="AK25" s="87"/>
      <c r="AL25" s="88"/>
      <c r="AM25" s="61"/>
      <c r="AN25" s="56"/>
      <c r="AO25" s="205" t="s">
        <v>123</v>
      </c>
      <c r="AP25" s="206"/>
      <c r="AQ25" s="206"/>
      <c r="AR25" s="207"/>
      <c r="AS25" s="208"/>
      <c r="AT25" s="315"/>
      <c r="AU25" s="87"/>
      <c r="AV25" s="87"/>
      <c r="AW25" s="87"/>
      <c r="AX25" s="87"/>
      <c r="AY25" s="88"/>
      <c r="AZ25" s="61"/>
      <c r="BA25" s="3"/>
      <c r="BB25" s="3"/>
      <c r="BC25" s="3"/>
      <c r="BD25" s="3"/>
      <c r="BE25" s="3"/>
      <c r="BF25" s="3"/>
      <c r="BG25" s="3"/>
      <c r="BH25" s="3"/>
      <c r="BI25" s="3"/>
      <c r="BJ25" s="3"/>
    </row>
    <row r="26" ht="19.5" customHeight="1">
      <c r="A26" s="46"/>
      <c r="B26" s="195" t="s">
        <v>124</v>
      </c>
      <c r="C26" s="196"/>
      <c r="D26" s="196"/>
      <c r="E26" s="196"/>
      <c r="F26" s="197"/>
      <c r="G26" s="172">
        <f>BF11</f>
        <v>120</v>
      </c>
      <c r="H26" s="87"/>
      <c r="I26" s="87"/>
      <c r="J26" s="87"/>
      <c r="K26" s="87"/>
      <c r="L26" s="88"/>
      <c r="M26" s="110"/>
      <c r="N26" s="46"/>
      <c r="O26" s="195" t="s">
        <v>124</v>
      </c>
      <c r="P26" s="196"/>
      <c r="Q26" s="196"/>
      <c r="R26" s="201"/>
      <c r="S26" s="202"/>
      <c r="T26" s="172">
        <f>BF12</f>
        <v>240</v>
      </c>
      <c r="U26" s="87"/>
      <c r="V26" s="87"/>
      <c r="W26" s="87"/>
      <c r="X26" s="87"/>
      <c r="Y26" s="88"/>
      <c r="Z26" s="110"/>
      <c r="AA26" s="56"/>
      <c r="AB26" s="205" t="s">
        <v>124</v>
      </c>
      <c r="AC26" s="206"/>
      <c r="AD26" s="206"/>
      <c r="AE26" s="207"/>
      <c r="AF26" s="208"/>
      <c r="AG26" s="177" t="str">
        <f>BF13</f>
        <v/>
      </c>
      <c r="AH26" s="87"/>
      <c r="AI26" s="87"/>
      <c r="AJ26" s="87"/>
      <c r="AK26" s="87"/>
      <c r="AL26" s="88"/>
      <c r="AM26" s="116"/>
      <c r="AN26" s="56"/>
      <c r="AO26" s="205" t="s">
        <v>124</v>
      </c>
      <c r="AP26" s="206"/>
      <c r="AQ26" s="206"/>
      <c r="AR26" s="207"/>
      <c r="AS26" s="208"/>
      <c r="AT26" s="177" t="str">
        <f>BF14</f>
        <v/>
      </c>
      <c r="AU26" s="87"/>
      <c r="AV26" s="87"/>
      <c r="AW26" s="87"/>
      <c r="AX26" s="87"/>
      <c r="AY26" s="88"/>
      <c r="AZ26" s="116"/>
      <c r="BA26" s="3"/>
      <c r="BB26" s="3"/>
      <c r="BC26" s="3"/>
      <c r="BD26" s="3"/>
      <c r="BE26" s="3"/>
      <c r="BF26" s="3"/>
      <c r="BG26" s="3"/>
      <c r="BH26" s="3"/>
      <c r="BI26" s="3"/>
      <c r="BJ26" s="3"/>
    </row>
    <row r="27" ht="19.5" customHeight="1">
      <c r="A27" s="46"/>
      <c r="B27" s="195" t="s">
        <v>128</v>
      </c>
      <c r="C27" s="196"/>
      <c r="D27" s="196"/>
      <c r="E27" s="196"/>
      <c r="F27" s="197"/>
      <c r="G27" s="314"/>
      <c r="H27" s="87"/>
      <c r="I27" s="87"/>
      <c r="J27" s="87"/>
      <c r="K27" s="87"/>
      <c r="L27" s="88"/>
      <c r="M27" s="55"/>
      <c r="N27" s="46"/>
      <c r="O27" s="195" t="s">
        <v>128</v>
      </c>
      <c r="P27" s="196"/>
      <c r="Q27" s="196"/>
      <c r="R27" s="201"/>
      <c r="S27" s="202"/>
      <c r="T27" s="314"/>
      <c r="U27" s="87"/>
      <c r="V27" s="87"/>
      <c r="W27" s="87"/>
      <c r="X27" s="87"/>
      <c r="Y27" s="88"/>
      <c r="Z27" s="55"/>
      <c r="AA27" s="56"/>
      <c r="AB27" s="205" t="s">
        <v>128</v>
      </c>
      <c r="AC27" s="206"/>
      <c r="AD27" s="206"/>
      <c r="AE27" s="207"/>
      <c r="AF27" s="208"/>
      <c r="AG27" s="315"/>
      <c r="AH27" s="87"/>
      <c r="AI27" s="87"/>
      <c r="AJ27" s="87"/>
      <c r="AK27" s="87"/>
      <c r="AL27" s="88"/>
      <c r="AM27" s="61"/>
      <c r="AN27" s="56"/>
      <c r="AO27" s="205" t="s">
        <v>128</v>
      </c>
      <c r="AP27" s="206"/>
      <c r="AQ27" s="206"/>
      <c r="AR27" s="207"/>
      <c r="AS27" s="208"/>
      <c r="AT27" s="315"/>
      <c r="AU27" s="87"/>
      <c r="AV27" s="87"/>
      <c r="AW27" s="87"/>
      <c r="AX27" s="87"/>
      <c r="AY27" s="88"/>
      <c r="AZ27" s="61"/>
      <c r="BA27" s="3"/>
      <c r="BB27" s="3"/>
      <c r="BC27" s="3"/>
      <c r="BD27" s="3"/>
      <c r="BE27" s="3"/>
      <c r="BF27" s="3"/>
      <c r="BG27" s="3"/>
      <c r="BH27" s="3"/>
      <c r="BI27" s="3"/>
      <c r="BJ27" s="3"/>
    </row>
    <row r="28" ht="15.75" customHeight="1">
      <c r="A28" s="46"/>
      <c r="B28" s="136"/>
      <c r="C28" s="136"/>
      <c r="D28" s="151"/>
      <c r="E28" s="151"/>
      <c r="F28" s="151"/>
      <c r="G28" s="151"/>
      <c r="H28" s="151"/>
      <c r="I28" s="151"/>
      <c r="J28" s="151"/>
      <c r="K28" s="151"/>
      <c r="L28" s="151"/>
      <c r="M28" s="55"/>
      <c r="N28" s="46"/>
      <c r="O28" s="136"/>
      <c r="P28" s="136"/>
      <c r="Q28" s="151"/>
      <c r="R28" s="151"/>
      <c r="S28" s="151"/>
      <c r="T28" s="151"/>
      <c r="U28" s="151"/>
      <c r="V28" s="151"/>
      <c r="W28" s="151"/>
      <c r="X28" s="151"/>
      <c r="Y28" s="151"/>
      <c r="Z28" s="55"/>
      <c r="AA28" s="56"/>
      <c r="AB28" s="144"/>
      <c r="AC28" s="144"/>
      <c r="AD28" s="157"/>
      <c r="AE28" s="157"/>
      <c r="AF28" s="157"/>
      <c r="AG28" s="157"/>
      <c r="AH28" s="157"/>
      <c r="AI28" s="157"/>
      <c r="AJ28" s="157"/>
      <c r="AK28" s="157"/>
      <c r="AL28" s="157"/>
      <c r="AM28" s="61"/>
      <c r="AN28" s="56"/>
      <c r="AO28" s="144"/>
      <c r="AP28" s="144"/>
      <c r="AQ28" s="157"/>
      <c r="AR28" s="157"/>
      <c r="AS28" s="157"/>
      <c r="AT28" s="157"/>
      <c r="AU28" s="157"/>
      <c r="AV28" s="157"/>
      <c r="AW28" s="157"/>
      <c r="AX28" s="157"/>
      <c r="AY28" s="157"/>
      <c r="AZ28" s="61"/>
      <c r="BA28" s="3"/>
      <c r="BB28" s="3"/>
      <c r="BC28" s="3"/>
      <c r="BD28" s="3"/>
      <c r="BE28" s="3"/>
      <c r="BF28" s="3"/>
      <c r="BG28" s="3"/>
      <c r="BH28" s="3"/>
      <c r="BI28" s="3"/>
      <c r="BJ28" s="3"/>
    </row>
    <row r="29" ht="15.75" customHeight="1">
      <c r="A29" s="46"/>
      <c r="B29" s="136"/>
      <c r="C29" s="136"/>
      <c r="D29" s="151"/>
      <c r="E29" s="151"/>
      <c r="F29" s="151"/>
      <c r="G29" s="151"/>
      <c r="H29" s="151"/>
      <c r="I29" s="151"/>
      <c r="J29" s="151"/>
      <c r="K29" s="151"/>
      <c r="L29" s="151"/>
      <c r="M29" s="55"/>
      <c r="N29" s="46"/>
      <c r="O29" s="136"/>
      <c r="P29" s="136"/>
      <c r="Q29" s="151"/>
      <c r="R29" s="151"/>
      <c r="S29" s="151"/>
      <c r="T29" s="151"/>
      <c r="U29" s="151"/>
      <c r="V29" s="151"/>
      <c r="W29" s="151"/>
      <c r="X29" s="151"/>
      <c r="Y29" s="151"/>
      <c r="Z29" s="55"/>
      <c r="AA29" s="56"/>
      <c r="AB29" s="144"/>
      <c r="AC29" s="144"/>
      <c r="AD29" s="157"/>
      <c r="AE29" s="157"/>
      <c r="AF29" s="157"/>
      <c r="AG29" s="157"/>
      <c r="AH29" s="157"/>
      <c r="AI29" s="157"/>
      <c r="AJ29" s="157"/>
      <c r="AK29" s="157"/>
      <c r="AL29" s="157"/>
      <c r="AM29" s="61"/>
      <c r="AN29" s="56"/>
      <c r="AO29" s="144"/>
      <c r="AP29" s="144"/>
      <c r="AQ29" s="157"/>
      <c r="AR29" s="157"/>
      <c r="AS29" s="157"/>
      <c r="AT29" s="157"/>
      <c r="AU29" s="157"/>
      <c r="AV29" s="157"/>
      <c r="AW29" s="157"/>
      <c r="AX29" s="157"/>
      <c r="AY29" s="157"/>
      <c r="AZ29" s="61"/>
      <c r="BA29" s="3"/>
      <c r="BB29" s="3"/>
      <c r="BC29" s="3"/>
      <c r="BD29" s="3"/>
      <c r="BE29" s="3"/>
      <c r="BF29" s="3"/>
      <c r="BG29" s="3"/>
      <c r="BH29" s="3"/>
      <c r="BI29" s="3"/>
      <c r="BJ29" s="3"/>
    </row>
    <row r="30" ht="15.75" customHeight="1">
      <c r="A30" s="46"/>
      <c r="B30" s="136" t="s">
        <v>132</v>
      </c>
      <c r="C30" s="136"/>
      <c r="D30" s="151"/>
      <c r="E30" s="340" t="str">
        <f>BC17</f>
        <v>CAPT. HUSIN ABDILLAH ALAYDRUS</v>
      </c>
      <c r="F30" s="49"/>
      <c r="G30" s="49"/>
      <c r="H30" s="49"/>
      <c r="I30" s="49"/>
      <c r="J30" s="49"/>
      <c r="K30" s="49"/>
      <c r="L30" s="49"/>
      <c r="M30" s="55"/>
      <c r="N30" s="46"/>
      <c r="O30" s="136" t="s">
        <v>132</v>
      </c>
      <c r="P30" s="136"/>
      <c r="Q30" s="151"/>
      <c r="R30" s="341" t="str">
        <f>E30</f>
        <v>CAPT. HUSIN ABDILLAH ALAYDRUS</v>
      </c>
      <c r="S30" s="341"/>
      <c r="T30" s="341"/>
      <c r="U30" s="341"/>
      <c r="V30" s="341"/>
      <c r="W30" s="341"/>
      <c r="X30" s="341"/>
      <c r="Y30" s="151"/>
      <c r="Z30" s="55"/>
      <c r="AA30" s="56"/>
      <c r="AB30" s="144" t="s">
        <v>132</v>
      </c>
      <c r="AC30" s="144"/>
      <c r="AD30" s="157"/>
      <c r="AE30" s="342" t="str">
        <f>R30</f>
        <v>CAPT. HUSIN ABDILLAH ALAYDRUS</v>
      </c>
      <c r="AF30" s="342"/>
      <c r="AG30" s="342"/>
      <c r="AH30" s="342"/>
      <c r="AI30" s="342"/>
      <c r="AJ30" s="342"/>
      <c r="AK30" s="342"/>
      <c r="AL30" s="157"/>
      <c r="AM30" s="61"/>
      <c r="AN30" s="56"/>
      <c r="AO30" s="144" t="s">
        <v>132</v>
      </c>
      <c r="AP30" s="144"/>
      <c r="AQ30" s="157"/>
      <c r="AR30" s="342" t="str">
        <f>AE30</f>
        <v>CAPT. HUSIN ABDILLAH ALAYDRUS</v>
      </c>
      <c r="AS30" s="342"/>
      <c r="AT30" s="342"/>
      <c r="AU30" s="342"/>
      <c r="AV30" s="342"/>
      <c r="AW30" s="342"/>
      <c r="AX30" s="342"/>
      <c r="AY30" s="157"/>
      <c r="AZ30" s="61"/>
      <c r="BA30" s="3"/>
      <c r="BB30" s="3"/>
      <c r="BC30" s="3"/>
      <c r="BD30" s="3"/>
      <c r="BE30" s="3"/>
      <c r="BF30" s="3"/>
      <c r="BG30" s="3"/>
      <c r="BH30" s="3"/>
      <c r="BI30" s="3"/>
      <c r="BJ30" s="3"/>
    </row>
    <row r="31" ht="59.25" customHeight="1">
      <c r="A31" s="46"/>
      <c r="B31" s="136"/>
      <c r="C31" s="136"/>
      <c r="D31" s="345" t="s">
        <v>133</v>
      </c>
      <c r="E31" s="49"/>
      <c r="F31" s="49"/>
      <c r="G31" s="49"/>
      <c r="H31" s="49"/>
      <c r="I31" s="49"/>
      <c r="J31" s="151"/>
      <c r="K31" s="151"/>
      <c r="L31" s="151"/>
      <c r="M31" s="55"/>
      <c r="N31" s="46"/>
      <c r="O31" s="136"/>
      <c r="P31" s="136"/>
      <c r="Q31" s="345" t="s">
        <v>133</v>
      </c>
      <c r="R31" s="49"/>
      <c r="S31" s="49"/>
      <c r="T31" s="49"/>
      <c r="U31" s="49"/>
      <c r="V31" s="49"/>
      <c r="W31" s="151"/>
      <c r="X31" s="151"/>
      <c r="Y31" s="151"/>
      <c r="Z31" s="55"/>
      <c r="AA31" s="56"/>
      <c r="AB31" s="144"/>
      <c r="AC31" s="144"/>
      <c r="AD31" s="346" t="s">
        <v>133</v>
      </c>
      <c r="AE31" s="49"/>
      <c r="AF31" s="49"/>
      <c r="AG31" s="49"/>
      <c r="AH31" s="49"/>
      <c r="AI31" s="49"/>
      <c r="AJ31" s="157"/>
      <c r="AK31" s="157"/>
      <c r="AL31" s="157"/>
      <c r="AM31" s="61"/>
      <c r="AN31" s="56"/>
      <c r="AO31" s="144"/>
      <c r="AP31" s="144"/>
      <c r="AQ31" s="346" t="s">
        <v>133</v>
      </c>
      <c r="AR31" s="49"/>
      <c r="AS31" s="49"/>
      <c r="AT31" s="49"/>
      <c r="AU31" s="49"/>
      <c r="AV31" s="49"/>
      <c r="AW31" s="157"/>
      <c r="AX31" s="157"/>
      <c r="AY31" s="157"/>
      <c r="AZ31" s="61"/>
      <c r="BA31" s="3"/>
      <c r="BB31" s="3"/>
      <c r="BC31" s="3"/>
      <c r="BD31" s="3"/>
      <c r="BE31" s="3"/>
      <c r="BF31" s="3"/>
      <c r="BG31" s="3"/>
      <c r="BH31" s="3"/>
      <c r="BI31" s="3"/>
      <c r="BJ31" s="3"/>
    </row>
    <row r="32" ht="15.75" customHeight="1">
      <c r="A32" s="46"/>
      <c r="B32" s="136"/>
      <c r="C32" s="136"/>
      <c r="D32" s="151"/>
      <c r="E32" s="151"/>
      <c r="F32" s="151"/>
      <c r="G32" s="151"/>
      <c r="H32" s="151"/>
      <c r="I32" s="151"/>
      <c r="J32" s="151"/>
      <c r="K32" s="151"/>
      <c r="L32" s="151"/>
      <c r="M32" s="55"/>
      <c r="N32" s="46"/>
      <c r="O32" s="136"/>
      <c r="P32" s="136"/>
      <c r="Q32" s="151"/>
      <c r="R32" s="151"/>
      <c r="S32" s="151"/>
      <c r="T32" s="151"/>
      <c r="U32" s="151"/>
      <c r="V32" s="151"/>
      <c r="W32" s="151"/>
      <c r="X32" s="151"/>
      <c r="Y32" s="151"/>
      <c r="Z32" s="55"/>
      <c r="AA32" s="56"/>
      <c r="AB32" s="144"/>
      <c r="AC32" s="144"/>
      <c r="AD32" s="157"/>
      <c r="AE32" s="157"/>
      <c r="AF32" s="157"/>
      <c r="AG32" s="157"/>
      <c r="AH32" s="157"/>
      <c r="AI32" s="157"/>
      <c r="AJ32" s="157"/>
      <c r="AK32" s="157"/>
      <c r="AL32" s="157"/>
      <c r="AM32" s="61"/>
      <c r="AN32" s="56"/>
      <c r="AO32" s="144"/>
      <c r="AP32" s="144"/>
      <c r="AQ32" s="157"/>
      <c r="AR32" s="157"/>
      <c r="AS32" s="157"/>
      <c r="AT32" s="157"/>
      <c r="AU32" s="157"/>
      <c r="AV32" s="157"/>
      <c r="AW32" s="157"/>
      <c r="AX32" s="157"/>
      <c r="AY32" s="157"/>
      <c r="AZ32" s="61"/>
      <c r="BA32" s="3"/>
      <c r="BB32" s="3"/>
      <c r="BC32" s="3"/>
      <c r="BD32" s="3"/>
      <c r="BE32" s="3"/>
      <c r="BF32" s="3"/>
      <c r="BG32" s="3"/>
      <c r="BH32" s="3"/>
      <c r="BI32" s="3"/>
      <c r="BJ32" s="3"/>
    </row>
    <row r="33" ht="15.75" customHeight="1">
      <c r="A33" s="46"/>
      <c r="B33" s="136"/>
      <c r="C33" s="136"/>
      <c r="D33" s="151"/>
      <c r="E33" s="151"/>
      <c r="F33" s="151"/>
      <c r="G33" s="151"/>
      <c r="H33" s="151"/>
      <c r="I33" s="151"/>
      <c r="J33" s="151"/>
      <c r="K33" s="151"/>
      <c r="L33" s="151"/>
      <c r="M33" s="55"/>
      <c r="N33" s="46"/>
      <c r="O33" s="136"/>
      <c r="P33" s="136"/>
      <c r="Q33" s="151"/>
      <c r="R33" s="151"/>
      <c r="S33" s="151"/>
      <c r="T33" s="151"/>
      <c r="U33" s="151"/>
      <c r="V33" s="151"/>
      <c r="W33" s="151"/>
      <c r="X33" s="151"/>
      <c r="Y33" s="151"/>
      <c r="Z33" s="55"/>
      <c r="AA33" s="56"/>
      <c r="AB33" s="144"/>
      <c r="AC33" s="144"/>
      <c r="AD33" s="157"/>
      <c r="AE33" s="157"/>
      <c r="AF33" s="157"/>
      <c r="AG33" s="157"/>
      <c r="AH33" s="157"/>
      <c r="AI33" s="157"/>
      <c r="AJ33" s="157"/>
      <c r="AK33" s="157"/>
      <c r="AL33" s="157"/>
      <c r="AM33" s="61"/>
      <c r="AN33" s="56"/>
      <c r="AO33" s="144"/>
      <c r="AP33" s="144"/>
      <c r="AQ33" s="157"/>
      <c r="AR33" s="157"/>
      <c r="AS33" s="157"/>
      <c r="AT33" s="157"/>
      <c r="AU33" s="157"/>
      <c r="AV33" s="157"/>
      <c r="AW33" s="157"/>
      <c r="AX33" s="157"/>
      <c r="AY33" s="157"/>
      <c r="AZ33" s="61"/>
      <c r="BA33" s="3"/>
      <c r="BB33" s="3"/>
      <c r="BC33" s="3"/>
      <c r="BD33" s="3"/>
      <c r="BE33" s="3"/>
      <c r="BF33" s="3"/>
      <c r="BG33" s="3"/>
      <c r="BH33" s="3"/>
      <c r="BI33" s="3"/>
      <c r="BJ33" s="3"/>
    </row>
    <row r="34" ht="15.75" customHeight="1">
      <c r="A34" s="46"/>
      <c r="B34" s="136" t="s">
        <v>135</v>
      </c>
      <c r="C34" s="136"/>
      <c r="D34" s="348">
        <f>BC11</f>
        <v>0</v>
      </c>
      <c r="E34" s="49"/>
      <c r="F34" s="49"/>
      <c r="G34" s="151" t="s">
        <v>136</v>
      </c>
      <c r="H34" s="151"/>
      <c r="I34" s="151"/>
      <c r="J34" s="151"/>
      <c r="K34" s="151"/>
      <c r="L34" s="151"/>
      <c r="M34" s="55"/>
      <c r="N34" s="46"/>
      <c r="O34" s="136" t="s">
        <v>135</v>
      </c>
      <c r="P34" s="136"/>
      <c r="Q34" s="348">
        <f>BC12</f>
        <v>0</v>
      </c>
      <c r="R34" s="49"/>
      <c r="S34" s="49"/>
      <c r="T34" s="151" t="s">
        <v>136</v>
      </c>
      <c r="U34" s="151"/>
      <c r="V34" s="151"/>
      <c r="W34" s="151"/>
      <c r="X34" s="151"/>
      <c r="Y34" s="151"/>
      <c r="Z34" s="55"/>
      <c r="AA34" s="56"/>
      <c r="AB34" s="144" t="s">
        <v>135</v>
      </c>
      <c r="AC34" s="144"/>
      <c r="AD34" s="349" t="str">
        <f>BC13</f>
        <v/>
      </c>
      <c r="AE34" s="49"/>
      <c r="AF34" s="49"/>
      <c r="AG34" s="157" t="s">
        <v>136</v>
      </c>
      <c r="AH34" s="157"/>
      <c r="AI34" s="157"/>
      <c r="AJ34" s="157"/>
      <c r="AK34" s="157"/>
      <c r="AL34" s="157"/>
      <c r="AM34" s="61"/>
      <c r="AN34" s="56"/>
      <c r="AO34" s="144" t="s">
        <v>135</v>
      </c>
      <c r="AP34" s="144"/>
      <c r="AQ34" s="349" t="str">
        <f>BC14</f>
        <v/>
      </c>
      <c r="AR34" s="49"/>
      <c r="AS34" s="49"/>
      <c r="AT34" s="157" t="s">
        <v>136</v>
      </c>
      <c r="AU34" s="157"/>
      <c r="AV34" s="157"/>
      <c r="AW34" s="157"/>
      <c r="AX34" s="157"/>
      <c r="AY34" s="157"/>
      <c r="AZ34" s="61"/>
      <c r="BA34" s="3"/>
      <c r="BB34" s="3"/>
      <c r="BC34" s="3"/>
      <c r="BD34" s="3"/>
      <c r="BE34" s="3"/>
      <c r="BF34" s="3"/>
      <c r="BG34" s="3"/>
      <c r="BH34" s="3"/>
      <c r="BI34" s="3"/>
      <c r="BJ34" s="3"/>
    </row>
    <row r="35" ht="95.25" customHeight="1">
      <c r="A35" s="350"/>
      <c r="B35" s="351"/>
      <c r="C35" s="351"/>
      <c r="D35" s="352"/>
      <c r="E35" s="352"/>
      <c r="F35" s="352"/>
      <c r="G35" s="352"/>
      <c r="H35" s="352"/>
      <c r="I35" s="352"/>
      <c r="J35" s="352"/>
      <c r="K35" s="352"/>
      <c r="L35" s="352"/>
      <c r="M35" s="353"/>
      <c r="N35" s="350"/>
      <c r="O35" s="351"/>
      <c r="P35" s="351"/>
      <c r="Q35" s="352"/>
      <c r="R35" s="352"/>
      <c r="S35" s="352"/>
      <c r="T35" s="352"/>
      <c r="U35" s="352"/>
      <c r="V35" s="352"/>
      <c r="W35" s="352"/>
      <c r="X35" s="352"/>
      <c r="Y35" s="352"/>
      <c r="Z35" s="353"/>
      <c r="AA35" s="354"/>
      <c r="AB35" s="355"/>
      <c r="AC35" s="355"/>
      <c r="AD35" s="356"/>
      <c r="AE35" s="356"/>
      <c r="AF35" s="356"/>
      <c r="AG35" s="356"/>
      <c r="AH35" s="356"/>
      <c r="AI35" s="356"/>
      <c r="AJ35" s="356"/>
      <c r="AK35" s="356"/>
      <c r="AL35" s="356"/>
      <c r="AM35" s="357"/>
      <c r="AN35" s="354"/>
      <c r="AO35" s="355"/>
      <c r="AP35" s="355"/>
      <c r="AQ35" s="356"/>
      <c r="AR35" s="356"/>
      <c r="AS35" s="356"/>
      <c r="AT35" s="356"/>
      <c r="AU35" s="356"/>
      <c r="AV35" s="356"/>
      <c r="AW35" s="356"/>
      <c r="AX35" s="356"/>
      <c r="AY35" s="356"/>
      <c r="AZ35" s="357"/>
      <c r="BA35" s="3"/>
      <c r="BB35" s="3"/>
      <c r="BC35" s="3"/>
      <c r="BD35" s="3"/>
      <c r="BE35" s="3"/>
      <c r="BF35" s="3"/>
      <c r="BG35" s="3"/>
      <c r="BH35" s="3"/>
      <c r="BI35" s="3"/>
      <c r="BJ35" s="3"/>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row>
    <row r="37" ht="15.75" customHeight="1">
      <c r="A37" s="1"/>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3">
    <mergeCell ref="W4:Y4"/>
    <mergeCell ref="AB4:AF4"/>
    <mergeCell ref="AJ4:AL4"/>
    <mergeCell ref="AO4:AS4"/>
    <mergeCell ref="A2:F2"/>
    <mergeCell ref="N2:S2"/>
    <mergeCell ref="AA2:AF2"/>
    <mergeCell ref="AN2:AS2"/>
    <mergeCell ref="BH2:BI2"/>
    <mergeCell ref="BH3:BI3"/>
    <mergeCell ref="B4:F4"/>
    <mergeCell ref="AW4:AY4"/>
    <mergeCell ref="U6:Y6"/>
    <mergeCell ref="AB6:AD6"/>
    <mergeCell ref="AE6:AF6"/>
    <mergeCell ref="AH6:AL6"/>
    <mergeCell ref="AO6:AQ6"/>
    <mergeCell ref="AR6:AS6"/>
    <mergeCell ref="AU6:AY6"/>
    <mergeCell ref="BG6:BH6"/>
    <mergeCell ref="J4:L4"/>
    <mergeCell ref="O4:S4"/>
    <mergeCell ref="B6:D6"/>
    <mergeCell ref="E6:F6"/>
    <mergeCell ref="H6:L6"/>
    <mergeCell ref="O6:Q6"/>
    <mergeCell ref="R6:S6"/>
    <mergeCell ref="AE7:AF7"/>
    <mergeCell ref="AH7:AL7"/>
    <mergeCell ref="AO7:AQ7"/>
    <mergeCell ref="AR7:AS7"/>
    <mergeCell ref="AU7:AY7"/>
    <mergeCell ref="B7:D7"/>
    <mergeCell ref="E7:F7"/>
    <mergeCell ref="H7:L7"/>
    <mergeCell ref="O7:Q7"/>
    <mergeCell ref="R7:S7"/>
    <mergeCell ref="U7:Y7"/>
    <mergeCell ref="AB7:AD7"/>
    <mergeCell ref="AE8:AF8"/>
    <mergeCell ref="AH8:AL8"/>
    <mergeCell ref="AO8:AQ8"/>
    <mergeCell ref="AR8:AS8"/>
    <mergeCell ref="AU8:AY8"/>
    <mergeCell ref="B8:D8"/>
    <mergeCell ref="E8:F8"/>
    <mergeCell ref="H8:L8"/>
    <mergeCell ref="O8:Q8"/>
    <mergeCell ref="R8:S8"/>
    <mergeCell ref="U8:Y8"/>
    <mergeCell ref="AB8:AD8"/>
    <mergeCell ref="AE9:AF9"/>
    <mergeCell ref="AH9:AL9"/>
    <mergeCell ref="AO9:AQ9"/>
    <mergeCell ref="AR9:AS9"/>
    <mergeCell ref="AU9:AY9"/>
    <mergeCell ref="B9:D9"/>
    <mergeCell ref="E9:F9"/>
    <mergeCell ref="H9:L9"/>
    <mergeCell ref="O9:Q9"/>
    <mergeCell ref="R9:S9"/>
    <mergeCell ref="U9:Y9"/>
    <mergeCell ref="AB9:AD9"/>
    <mergeCell ref="G11:L11"/>
    <mergeCell ref="T11:Y11"/>
    <mergeCell ref="AG11:AL11"/>
    <mergeCell ref="AT11:AY11"/>
    <mergeCell ref="T12:Y12"/>
    <mergeCell ref="AG12:AL12"/>
    <mergeCell ref="AT12:AY12"/>
    <mergeCell ref="AT13:AY13"/>
    <mergeCell ref="AV15:AY15"/>
    <mergeCell ref="G12:L12"/>
    <mergeCell ref="G13:L13"/>
    <mergeCell ref="T13:Y13"/>
    <mergeCell ref="AG13:AL13"/>
    <mergeCell ref="I15:L15"/>
    <mergeCell ref="V15:Y15"/>
    <mergeCell ref="AI15:AL15"/>
    <mergeCell ref="T27:Y27"/>
    <mergeCell ref="Q34:S34"/>
    <mergeCell ref="T19:Y19"/>
    <mergeCell ref="T20:Y20"/>
    <mergeCell ref="T21:Y21"/>
    <mergeCell ref="T22:Y22"/>
    <mergeCell ref="T23:Y23"/>
    <mergeCell ref="T25:Y25"/>
    <mergeCell ref="T26:Y26"/>
    <mergeCell ref="E16:H16"/>
    <mergeCell ref="R16:U16"/>
    <mergeCell ref="V16:Y16"/>
    <mergeCell ref="AE16:AH16"/>
    <mergeCell ref="AI16:AL16"/>
    <mergeCell ref="AR16:AU16"/>
    <mergeCell ref="AV16:AY16"/>
    <mergeCell ref="AG21:AL21"/>
    <mergeCell ref="AG22:AL22"/>
    <mergeCell ref="AG23:AL23"/>
    <mergeCell ref="AG25:AL25"/>
    <mergeCell ref="AG26:AL26"/>
    <mergeCell ref="AG27:AL27"/>
    <mergeCell ref="AD34:AF34"/>
    <mergeCell ref="I16:L16"/>
    <mergeCell ref="G17:L17"/>
    <mergeCell ref="T17:Y17"/>
    <mergeCell ref="AG17:AL17"/>
    <mergeCell ref="G19:L19"/>
    <mergeCell ref="AG19:AL19"/>
    <mergeCell ref="AG20:AL20"/>
    <mergeCell ref="AT26:AY26"/>
    <mergeCell ref="AT27:AY27"/>
    <mergeCell ref="AQ34:AS34"/>
    <mergeCell ref="AT17:AY17"/>
    <mergeCell ref="AT19:AY19"/>
    <mergeCell ref="AT20:AY20"/>
    <mergeCell ref="AT21:AY21"/>
    <mergeCell ref="AT22:AY22"/>
    <mergeCell ref="AT23:AY23"/>
    <mergeCell ref="AT25:AY25"/>
    <mergeCell ref="E30:L30"/>
    <mergeCell ref="D31:I31"/>
    <mergeCell ref="Q31:V31"/>
    <mergeCell ref="AD31:AI31"/>
    <mergeCell ref="AQ31:AV31"/>
    <mergeCell ref="D34:F34"/>
    <mergeCell ref="A37:B37"/>
    <mergeCell ref="G20:L20"/>
    <mergeCell ref="G21:L21"/>
    <mergeCell ref="G22:L22"/>
    <mergeCell ref="G23:L23"/>
    <mergeCell ref="G25:L25"/>
    <mergeCell ref="G26:L26"/>
    <mergeCell ref="G27:L27"/>
  </mergeCells>
  <hyperlinks>
    <hyperlink r:id="rId1" ref="BH18"/>
  </hyperlinks>
  <printOptions horizontalCentered="1"/>
  <pageMargins bottom="0.0" footer="0.0" header="0.0" left="0.0" right="0.157638888888889" top="0.315277777777778"/>
  <pageSetup paperSize="9" scale="66" orientation="landscape"/>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workbookViewId="0"/>
  </sheetViews>
  <sheetFormatPr customHeight="1" defaultColWidth="12.63" defaultRowHeight="15.0"/>
  <cols>
    <col customWidth="1" min="1" max="1" width="1.88"/>
    <col customWidth="1" min="2" max="2" width="10.38"/>
    <col customWidth="1" min="3" max="3" width="11.13"/>
    <col customWidth="1" min="4" max="4" width="9.0"/>
    <col customWidth="1" min="5" max="5" width="10.5"/>
    <col customWidth="1" min="6" max="6" width="17.13"/>
    <col customWidth="1" min="7" max="7" width="8.25"/>
    <col customWidth="1" min="8" max="8" width="11.5"/>
    <col customWidth="1" min="9" max="9" width="7.0"/>
    <col customWidth="1" min="10" max="10" width="8.75"/>
    <col customWidth="1" min="11" max="12" width="9.5"/>
    <col customWidth="1" min="13" max="13" width="10.25"/>
    <col customWidth="1" min="14" max="14" width="8.38"/>
    <col customWidth="1" min="15" max="15" width="11.13"/>
    <col customWidth="1" min="16" max="16" width="13.13"/>
    <col customWidth="1" min="17" max="17" width="2.5"/>
    <col customWidth="1" min="18" max="18" width="11.13"/>
    <col customWidth="1" min="19" max="19" width="7.63"/>
    <col customWidth="1" min="20" max="20" width="2.13"/>
    <col customWidth="1" min="21" max="21" width="11.5"/>
  </cols>
  <sheetData>
    <row r="1" ht="15.75" customHeight="1">
      <c r="A1" s="4"/>
      <c r="B1" s="4"/>
      <c r="C1" s="4"/>
      <c r="D1" s="4"/>
      <c r="E1" s="4"/>
      <c r="F1" s="4"/>
      <c r="G1" s="4"/>
      <c r="H1" s="4"/>
      <c r="I1" s="4"/>
      <c r="J1" s="4"/>
      <c r="K1" s="4"/>
      <c r="L1" s="4"/>
      <c r="M1" s="4"/>
      <c r="N1" s="4"/>
      <c r="O1" s="4"/>
      <c r="P1" s="4"/>
      <c r="Q1" s="4"/>
      <c r="R1" s="4"/>
      <c r="S1" s="4"/>
      <c r="T1" s="4"/>
      <c r="U1" s="4"/>
    </row>
    <row r="2" ht="67.5" customHeight="1">
      <c r="A2" s="4"/>
      <c r="B2" s="10" t="s">
        <v>2</v>
      </c>
      <c r="C2" s="9"/>
      <c r="D2" s="9"/>
      <c r="E2" s="9"/>
      <c r="F2" s="9"/>
      <c r="G2" s="9"/>
      <c r="H2" s="9"/>
      <c r="I2" s="9"/>
      <c r="J2" s="9"/>
      <c r="K2" s="9"/>
      <c r="L2" s="9"/>
      <c r="M2" s="9"/>
      <c r="N2" s="9"/>
      <c r="O2" s="9"/>
      <c r="P2" s="9"/>
      <c r="Q2" s="9"/>
      <c r="R2" s="9"/>
      <c r="S2" s="13"/>
      <c r="T2" s="4" t="s">
        <v>3</v>
      </c>
      <c r="U2" s="4"/>
    </row>
    <row r="3" ht="22.5" customHeight="1">
      <c r="A3" s="4"/>
      <c r="B3" s="15"/>
      <c r="C3" s="4"/>
      <c r="D3" s="4"/>
      <c r="E3" s="4"/>
      <c r="F3" s="4"/>
      <c r="G3" s="4"/>
      <c r="H3" s="4"/>
      <c r="I3" s="4"/>
      <c r="J3" s="4"/>
      <c r="K3" s="4"/>
      <c r="L3" s="4"/>
      <c r="M3" s="4"/>
      <c r="N3" s="4"/>
      <c r="O3" s="4"/>
      <c r="P3" s="4"/>
      <c r="Q3" s="4"/>
      <c r="R3" s="4"/>
      <c r="S3" s="19"/>
      <c r="T3" s="4"/>
      <c r="U3" s="4"/>
    </row>
    <row r="4" ht="18.75" customHeight="1">
      <c r="A4" s="4"/>
      <c r="B4" s="20" t="s">
        <v>5</v>
      </c>
      <c r="C4" s="155" t="s">
        <v>82</v>
      </c>
      <c r="D4" s="26"/>
      <c r="E4" s="27"/>
      <c r="F4" s="160" t="s">
        <v>7</v>
      </c>
      <c r="G4" s="162" t="s">
        <v>8</v>
      </c>
      <c r="H4" s="163"/>
      <c r="I4" s="165" t="s">
        <v>10</v>
      </c>
      <c r="J4" s="162" t="s">
        <v>84</v>
      </c>
      <c r="K4" s="166"/>
      <c r="L4" s="166"/>
      <c r="M4" s="160" t="s">
        <v>12</v>
      </c>
      <c r="N4" s="162" t="str">
        <f>'526'!BH11</f>
        <v>WBGG</v>
      </c>
      <c r="O4" s="166"/>
      <c r="P4" s="169" t="s">
        <v>17</v>
      </c>
      <c r="Q4" s="171"/>
      <c r="R4" s="173">
        <f>'526'!BC19</f>
        <v>71076</v>
      </c>
      <c r="S4" s="19"/>
      <c r="T4" s="4"/>
      <c r="U4" s="4"/>
    </row>
    <row r="5" ht="6.0" customHeight="1">
      <c r="A5" s="4"/>
      <c r="B5" s="174"/>
      <c r="C5" s="45"/>
      <c r="D5" s="45"/>
      <c r="E5" s="45"/>
      <c r="F5" s="166"/>
      <c r="G5" s="166"/>
      <c r="H5" s="166"/>
      <c r="I5" s="166"/>
      <c r="J5" s="166"/>
      <c r="K5" s="166"/>
      <c r="L5" s="166"/>
      <c r="M5" s="160"/>
      <c r="N5" s="166"/>
      <c r="O5" s="166"/>
      <c r="P5" s="176"/>
      <c r="Q5" s="166"/>
      <c r="R5" s="33"/>
      <c r="S5" s="19"/>
      <c r="T5" s="4"/>
      <c r="U5" s="4"/>
    </row>
    <row r="6" ht="18.75" customHeight="1">
      <c r="A6" s="4"/>
      <c r="B6" s="20" t="s">
        <v>20</v>
      </c>
      <c r="C6" s="178">
        <f>'526'!BB2</f>
        <v>46278</v>
      </c>
      <c r="D6" s="26"/>
      <c r="E6" s="27"/>
      <c r="F6" s="160" t="s">
        <v>22</v>
      </c>
      <c r="G6" s="162" t="str">
        <f>J4</f>
        <v>WBKK</v>
      </c>
      <c r="H6" s="163"/>
      <c r="I6" s="165" t="s">
        <v>23</v>
      </c>
      <c r="J6" s="162" t="s">
        <v>8</v>
      </c>
      <c r="K6" s="166"/>
      <c r="L6" s="166"/>
      <c r="M6" s="160" t="s">
        <v>12</v>
      </c>
      <c r="N6" s="162" t="str">
        <f>'526'!BH12</f>
        <v>WIPP</v>
      </c>
      <c r="O6" s="166"/>
      <c r="P6" s="169" t="s">
        <v>17</v>
      </c>
      <c r="Q6" s="171"/>
      <c r="R6" s="173">
        <f>'526'!BC20</f>
        <v>71077</v>
      </c>
      <c r="S6" s="19"/>
      <c r="T6" s="4"/>
      <c r="U6" s="4"/>
    </row>
    <row r="7" ht="6.0" customHeight="1">
      <c r="A7" s="4"/>
      <c r="B7" s="174"/>
      <c r="C7" s="182"/>
      <c r="D7" s="33"/>
      <c r="E7" s="33"/>
      <c r="F7" s="166"/>
      <c r="G7" s="166"/>
      <c r="H7" s="166"/>
      <c r="I7" s="166"/>
      <c r="J7" s="166"/>
      <c r="K7" s="166"/>
      <c r="L7" s="166"/>
      <c r="M7" s="166"/>
      <c r="N7" s="166"/>
      <c r="O7" s="166"/>
      <c r="P7" s="176"/>
      <c r="Q7" s="166"/>
      <c r="R7" s="33"/>
      <c r="S7" s="19"/>
      <c r="T7" s="4"/>
      <c r="U7" s="4"/>
    </row>
    <row r="8" ht="18.75" customHeight="1">
      <c r="A8" s="4"/>
      <c r="B8" s="20" t="s">
        <v>25</v>
      </c>
      <c r="C8" s="185" t="str">
        <f>'526'!BB3</f>
        <v>PKAZL</v>
      </c>
      <c r="D8" s="186"/>
      <c r="E8" s="33"/>
      <c r="F8" s="188" t="s">
        <v>36</v>
      </c>
      <c r="G8" s="189" t="str">
        <f>J6</f>
        <v>WIII</v>
      </c>
      <c r="H8" s="190"/>
      <c r="I8" s="188" t="s">
        <v>37</v>
      </c>
      <c r="J8" s="189" t="s">
        <v>89</v>
      </c>
      <c r="K8" s="191"/>
      <c r="L8" s="191"/>
      <c r="M8" s="188" t="s">
        <v>12</v>
      </c>
      <c r="N8" s="189" t="str">
        <f>'526'!BH13</f>
        <v/>
      </c>
      <c r="O8" s="191"/>
      <c r="P8" s="194" t="s">
        <v>17</v>
      </c>
      <c r="Q8" s="191"/>
      <c r="R8" s="189" t="str">
        <f>'526'!BC21</f>
        <v/>
      </c>
      <c r="S8" s="19"/>
      <c r="T8" s="4"/>
      <c r="U8" s="4"/>
    </row>
    <row r="9" ht="5.25" customHeight="1">
      <c r="A9" s="4"/>
      <c r="B9" s="198"/>
      <c r="C9" s="33"/>
      <c r="D9" s="33"/>
      <c r="E9" s="33"/>
      <c r="F9" s="200"/>
      <c r="G9" s="200"/>
      <c r="H9" s="191"/>
      <c r="I9" s="200"/>
      <c r="J9" s="191"/>
      <c r="K9" s="200"/>
      <c r="L9" s="200"/>
      <c r="M9" s="191"/>
      <c r="N9" s="191"/>
      <c r="O9" s="191"/>
      <c r="P9" s="194"/>
      <c r="Q9" s="191"/>
      <c r="R9" s="203"/>
      <c r="S9" s="19"/>
      <c r="T9" s="4"/>
      <c r="U9" s="4"/>
    </row>
    <row r="10" ht="15.75" customHeight="1">
      <c r="A10" s="4"/>
      <c r="B10" s="15"/>
      <c r="C10" s="33"/>
      <c r="D10" s="33"/>
      <c r="E10" s="33"/>
      <c r="F10" s="188" t="s">
        <v>47</v>
      </c>
      <c r="G10" s="189" t="str">
        <f>J8</f>
        <v>WIOO</v>
      </c>
      <c r="H10" s="190"/>
      <c r="I10" s="188" t="s">
        <v>50</v>
      </c>
      <c r="J10" s="189" t="s">
        <v>8</v>
      </c>
      <c r="K10" s="191"/>
      <c r="L10" s="191"/>
      <c r="M10" s="188" t="s">
        <v>12</v>
      </c>
      <c r="N10" s="189" t="str">
        <f>'526'!BH14</f>
        <v/>
      </c>
      <c r="O10" s="191"/>
      <c r="P10" s="194" t="s">
        <v>17</v>
      </c>
      <c r="Q10" s="191"/>
      <c r="R10" s="189" t="str">
        <f>'526'!BC22</f>
        <v/>
      </c>
      <c r="S10" s="19"/>
      <c r="T10" s="4"/>
      <c r="U10" s="4"/>
    </row>
    <row r="11" ht="6.0" customHeight="1">
      <c r="A11" s="4"/>
      <c r="B11" s="15"/>
      <c r="C11" s="4"/>
      <c r="D11" s="4"/>
      <c r="E11" s="4"/>
      <c r="F11" s="210"/>
      <c r="G11" s="210"/>
      <c r="H11" s="210"/>
      <c r="I11" s="210"/>
      <c r="J11" s="210"/>
      <c r="K11" s="210"/>
      <c r="L11" s="210"/>
      <c r="M11" s="210"/>
      <c r="N11" s="210"/>
      <c r="O11" s="210"/>
      <c r="P11" s="210"/>
      <c r="Q11" s="210"/>
      <c r="R11" s="210"/>
      <c r="S11" s="19"/>
      <c r="T11" s="4"/>
      <c r="U11" s="4"/>
    </row>
    <row r="12" ht="18.75" customHeight="1">
      <c r="A12" s="4"/>
      <c r="B12" s="15"/>
      <c r="C12" s="33" t="s">
        <v>58</v>
      </c>
      <c r="D12" s="4"/>
      <c r="E12" s="4"/>
      <c r="F12" s="4"/>
      <c r="G12" s="4"/>
      <c r="H12" s="4"/>
      <c r="I12" s="4"/>
      <c r="J12" s="4"/>
      <c r="K12" s="4"/>
      <c r="L12" s="4"/>
      <c r="M12" s="4"/>
      <c r="N12" s="4"/>
      <c r="O12" s="4"/>
      <c r="P12" s="4"/>
      <c r="Q12" s="4"/>
      <c r="R12" s="108"/>
      <c r="S12" s="19"/>
      <c r="T12" s="4"/>
      <c r="U12" s="4"/>
    </row>
    <row r="13" ht="72.75" customHeight="1">
      <c r="A13" s="4"/>
      <c r="B13" s="15"/>
      <c r="C13" s="111" t="s">
        <v>8</v>
      </c>
      <c r="D13" s="112" t="s">
        <v>95</v>
      </c>
      <c r="E13" s="87"/>
      <c r="F13" s="87"/>
      <c r="G13" s="87"/>
      <c r="H13" s="87"/>
      <c r="I13" s="87"/>
      <c r="J13" s="87"/>
      <c r="K13" s="87"/>
      <c r="L13" s="87"/>
      <c r="M13" s="87"/>
      <c r="N13" s="87"/>
      <c r="O13" s="87"/>
      <c r="P13" s="87"/>
      <c r="Q13" s="87"/>
      <c r="R13" s="88"/>
      <c r="S13" s="113"/>
      <c r="T13" s="4"/>
      <c r="U13" s="4"/>
    </row>
    <row r="14" ht="78.75" customHeight="1">
      <c r="A14" s="4"/>
      <c r="B14" s="15"/>
      <c r="C14" s="111" t="s">
        <v>84</v>
      </c>
      <c r="D14" s="112" t="s">
        <v>96</v>
      </c>
      <c r="E14" s="87"/>
      <c r="F14" s="87"/>
      <c r="G14" s="87"/>
      <c r="H14" s="87"/>
      <c r="I14" s="87"/>
      <c r="J14" s="87"/>
      <c r="K14" s="87"/>
      <c r="L14" s="87"/>
      <c r="M14" s="87"/>
      <c r="N14" s="87"/>
      <c r="O14" s="87"/>
      <c r="P14" s="87"/>
      <c r="Q14" s="87"/>
      <c r="R14" s="88"/>
      <c r="S14" s="117"/>
      <c r="T14" s="4"/>
      <c r="U14" s="4"/>
    </row>
    <row r="15" ht="39.75" customHeight="1">
      <c r="A15" s="4"/>
      <c r="B15" s="15"/>
      <c r="C15" s="111" t="s">
        <v>85</v>
      </c>
      <c r="D15" s="112" t="s">
        <v>97</v>
      </c>
      <c r="E15" s="87"/>
      <c r="F15" s="87"/>
      <c r="G15" s="87"/>
      <c r="H15" s="87"/>
      <c r="I15" s="87"/>
      <c r="J15" s="87"/>
      <c r="K15" s="87"/>
      <c r="L15" s="87"/>
      <c r="M15" s="87"/>
      <c r="N15" s="87"/>
      <c r="O15" s="87"/>
      <c r="P15" s="87"/>
      <c r="Q15" s="87"/>
      <c r="R15" s="88"/>
      <c r="S15" s="117"/>
      <c r="T15" s="4"/>
      <c r="U15" s="4"/>
    </row>
    <row r="16" ht="57.75" customHeight="1">
      <c r="A16" s="4"/>
      <c r="B16" s="15"/>
      <c r="C16" s="111" t="s">
        <v>69</v>
      </c>
      <c r="D16" s="112" t="s">
        <v>100</v>
      </c>
      <c r="E16" s="87"/>
      <c r="F16" s="87"/>
      <c r="G16" s="87"/>
      <c r="H16" s="87"/>
      <c r="I16" s="87"/>
      <c r="J16" s="87"/>
      <c r="K16" s="87"/>
      <c r="L16" s="87"/>
      <c r="M16" s="87"/>
      <c r="N16" s="87"/>
      <c r="O16" s="87"/>
      <c r="P16" s="87"/>
      <c r="Q16" s="87"/>
      <c r="R16" s="88"/>
      <c r="S16" s="117"/>
      <c r="T16" s="4"/>
      <c r="U16" s="4"/>
    </row>
    <row r="17" ht="51.0" customHeight="1">
      <c r="A17" s="4"/>
      <c r="B17" s="15"/>
      <c r="C17" s="111" t="s">
        <v>41</v>
      </c>
      <c r="D17" s="112" t="s">
        <v>101</v>
      </c>
      <c r="E17" s="87"/>
      <c r="F17" s="87"/>
      <c r="G17" s="87"/>
      <c r="H17" s="87"/>
      <c r="I17" s="87"/>
      <c r="J17" s="87"/>
      <c r="K17" s="87"/>
      <c r="L17" s="87"/>
      <c r="M17" s="87"/>
      <c r="N17" s="87"/>
      <c r="O17" s="87"/>
      <c r="P17" s="87"/>
      <c r="Q17" s="87"/>
      <c r="R17" s="88"/>
      <c r="S17" s="119"/>
      <c r="T17" s="4"/>
      <c r="U17" s="4"/>
    </row>
    <row r="18" ht="15.75" customHeight="1">
      <c r="A18" s="4"/>
      <c r="B18" s="15"/>
      <c r="C18" s="4"/>
      <c r="D18" s="4"/>
      <c r="E18" s="4"/>
      <c r="F18" s="4"/>
      <c r="G18" s="4"/>
      <c r="H18" s="4"/>
      <c r="I18" s="4"/>
      <c r="J18" s="4"/>
      <c r="K18" s="4"/>
      <c r="L18" s="4"/>
      <c r="M18" s="4"/>
      <c r="N18" s="4"/>
      <c r="O18" s="4"/>
      <c r="P18" s="4"/>
      <c r="Q18" s="4"/>
      <c r="R18" s="230"/>
      <c r="S18" s="19"/>
      <c r="T18" s="4"/>
      <c r="U18" s="4"/>
    </row>
    <row r="19" ht="15.75" customHeight="1">
      <c r="A19" s="4"/>
      <c r="B19" s="15"/>
      <c r="C19" s="124"/>
      <c r="D19" s="233" t="s">
        <v>73</v>
      </c>
      <c r="E19" s="124" t="s">
        <v>74</v>
      </c>
      <c r="F19" s="236" t="s">
        <v>75</v>
      </c>
      <c r="G19" s="126"/>
      <c r="H19" s="126"/>
      <c r="I19" s="126"/>
      <c r="J19" s="127"/>
      <c r="K19" s="233" t="s">
        <v>73</v>
      </c>
      <c r="L19" s="233" t="s">
        <v>73</v>
      </c>
      <c r="M19" s="124" t="s">
        <v>74</v>
      </c>
      <c r="N19" s="236" t="s">
        <v>75</v>
      </c>
      <c r="O19" s="126"/>
      <c r="P19" s="126"/>
      <c r="Q19" s="126"/>
      <c r="R19" s="127"/>
      <c r="S19" s="128"/>
      <c r="T19" s="4"/>
      <c r="U19" s="4"/>
    </row>
    <row r="20" ht="15.75" customHeight="1">
      <c r="A20" s="4"/>
      <c r="B20" s="15"/>
      <c r="C20" s="130"/>
      <c r="D20" s="241" t="s">
        <v>76</v>
      </c>
      <c r="E20" s="130"/>
      <c r="F20" s="132"/>
      <c r="G20" s="133"/>
      <c r="H20" s="133"/>
      <c r="I20" s="133"/>
      <c r="J20" s="134"/>
      <c r="K20" s="241" t="s">
        <v>76</v>
      </c>
      <c r="L20" s="241" t="s">
        <v>76</v>
      </c>
      <c r="M20" s="130"/>
      <c r="N20" s="132"/>
      <c r="O20" s="133"/>
      <c r="P20" s="133"/>
      <c r="Q20" s="133"/>
      <c r="R20" s="134"/>
      <c r="S20" s="128"/>
      <c r="T20" s="4"/>
      <c r="U20" s="4"/>
    </row>
    <row r="21" ht="39.0" customHeight="1">
      <c r="A21" s="4"/>
      <c r="B21" s="15"/>
      <c r="C21" s="135" t="s">
        <v>7</v>
      </c>
      <c r="D21" s="111" t="str">
        <f>G4</f>
        <v>WIII</v>
      </c>
      <c r="E21" s="170">
        <f>'526'!BE4</f>
        <v>1.222222222</v>
      </c>
      <c r="F21" s="141" t="s">
        <v>108</v>
      </c>
      <c r="G21" s="87"/>
      <c r="H21" s="87"/>
      <c r="I21" s="87"/>
      <c r="J21" s="88"/>
      <c r="K21" s="250" t="s">
        <v>36</v>
      </c>
      <c r="L21" s="251" t="str">
        <f>G8</f>
        <v>WIII</v>
      </c>
      <c r="M21" s="253">
        <f>'526'!BE6</f>
        <v>0.34375</v>
      </c>
      <c r="N21" s="257"/>
      <c r="O21" s="87"/>
      <c r="P21" s="87"/>
      <c r="Q21" s="87"/>
      <c r="R21" s="88"/>
      <c r="S21" s="128"/>
      <c r="T21" s="4"/>
      <c r="U21" s="4"/>
    </row>
    <row r="22" ht="39.0" customHeight="1">
      <c r="A22" s="4"/>
      <c r="B22" s="15"/>
      <c r="C22" s="135" t="s">
        <v>10</v>
      </c>
      <c r="D22" s="111" t="str">
        <f>J4</f>
        <v>WBKK</v>
      </c>
      <c r="E22" s="170">
        <f>'526'!BF4</f>
        <v>0.3298611111</v>
      </c>
      <c r="F22" s="141" t="s">
        <v>111</v>
      </c>
      <c r="G22" s="87"/>
      <c r="H22" s="87"/>
      <c r="I22" s="87"/>
      <c r="J22" s="88"/>
      <c r="K22" s="250" t="s">
        <v>37</v>
      </c>
      <c r="L22" s="251" t="str">
        <f>J8</f>
        <v>WIOO</v>
      </c>
      <c r="M22" s="253">
        <f>'526'!BF6</f>
        <v>0.4131944444</v>
      </c>
      <c r="N22" s="257"/>
      <c r="O22" s="87"/>
      <c r="P22" s="87"/>
      <c r="Q22" s="87"/>
      <c r="R22" s="88"/>
      <c r="S22" s="128"/>
      <c r="T22" s="4"/>
      <c r="U22" s="4"/>
    </row>
    <row r="23" ht="39.0" customHeight="1">
      <c r="A23" s="4"/>
      <c r="B23" s="15"/>
      <c r="C23" s="135" t="s">
        <v>22</v>
      </c>
      <c r="D23" s="140" t="str">
        <f>G6</f>
        <v>WBKK</v>
      </c>
      <c r="E23" s="170">
        <f>'526'!BE5</f>
        <v>0.3576388889</v>
      </c>
      <c r="F23" s="141" t="s">
        <v>111</v>
      </c>
      <c r="G23" s="87"/>
      <c r="H23" s="87"/>
      <c r="I23" s="87"/>
      <c r="J23" s="88"/>
      <c r="K23" s="250" t="s">
        <v>47</v>
      </c>
      <c r="L23" s="266" t="str">
        <f>G10</f>
        <v>WIOO</v>
      </c>
      <c r="M23" s="253">
        <f>'526'!BE7</f>
        <v>0.4305555556</v>
      </c>
      <c r="N23" s="257"/>
      <c r="O23" s="87"/>
      <c r="P23" s="87"/>
      <c r="Q23" s="87"/>
      <c r="R23" s="88"/>
      <c r="S23" s="128"/>
      <c r="T23" s="4"/>
      <c r="U23" s="4"/>
    </row>
    <row r="24" ht="39.0" customHeight="1">
      <c r="A24" s="4"/>
      <c r="B24" s="15"/>
      <c r="C24" s="135" t="s">
        <v>23</v>
      </c>
      <c r="D24" s="111" t="str">
        <f>J6</f>
        <v>WIII</v>
      </c>
      <c r="E24" s="170">
        <f>'526'!BF5</f>
        <v>0.46875</v>
      </c>
      <c r="F24" s="141" t="s">
        <v>108</v>
      </c>
      <c r="G24" s="87"/>
      <c r="H24" s="87"/>
      <c r="I24" s="87"/>
      <c r="J24" s="88"/>
      <c r="K24" s="250" t="s">
        <v>50</v>
      </c>
      <c r="L24" s="251" t="str">
        <f>J10</f>
        <v>WIII</v>
      </c>
      <c r="M24" s="253">
        <f>'526'!BF7</f>
        <v>0.4930555556</v>
      </c>
      <c r="N24" s="257"/>
      <c r="O24" s="87"/>
      <c r="P24" s="87"/>
      <c r="Q24" s="87"/>
      <c r="R24" s="88"/>
      <c r="S24" s="128"/>
      <c r="T24" s="4"/>
      <c r="U24" s="4"/>
    </row>
    <row r="25" ht="18.75" customHeight="1">
      <c r="A25" s="4"/>
      <c r="B25" s="15"/>
      <c r="C25" s="276"/>
      <c r="D25" s="276"/>
      <c r="E25" s="278"/>
      <c r="F25" s="279"/>
      <c r="G25" s="87"/>
      <c r="H25" s="87"/>
      <c r="I25" s="87"/>
      <c r="J25" s="88"/>
      <c r="K25" s="276"/>
      <c r="L25" s="276"/>
      <c r="M25" s="278"/>
      <c r="N25" s="281"/>
      <c r="O25" s="281"/>
      <c r="P25" s="281"/>
      <c r="Q25" s="281"/>
      <c r="R25" s="283"/>
      <c r="S25" s="19"/>
      <c r="T25" s="4"/>
      <c r="U25" s="4"/>
    </row>
    <row r="26" ht="15.75" customHeight="1">
      <c r="A26" s="4"/>
      <c r="B26" s="15"/>
      <c r="C26" s="259"/>
      <c r="D26" s="259"/>
      <c r="E26" s="286"/>
      <c r="F26" s="259"/>
      <c r="G26" s="259"/>
      <c r="H26" s="259"/>
      <c r="I26" s="259"/>
      <c r="J26" s="259"/>
      <c r="K26" s="259"/>
      <c r="L26" s="259"/>
      <c r="M26" s="259"/>
      <c r="N26" s="259"/>
      <c r="O26" s="259"/>
      <c r="P26" s="259"/>
      <c r="Q26" s="259"/>
      <c r="R26" s="288"/>
      <c r="S26" s="128"/>
      <c r="T26" s="4"/>
      <c r="U26" s="4"/>
    </row>
    <row r="27" ht="15.75" customHeight="1">
      <c r="A27" s="4"/>
      <c r="B27" s="15"/>
      <c r="C27" s="124"/>
      <c r="D27" s="290" t="s">
        <v>73</v>
      </c>
      <c r="E27" s="236" t="s">
        <v>119</v>
      </c>
      <c r="F27" s="126"/>
      <c r="G27" s="126"/>
      <c r="H27" s="126"/>
      <c r="I27" s="126"/>
      <c r="J27" s="126"/>
      <c r="K27" s="126"/>
      <c r="L27" s="126"/>
      <c r="M27" s="126"/>
      <c r="N27" s="126"/>
      <c r="O27" s="126"/>
      <c r="P27" s="126"/>
      <c r="Q27" s="126"/>
      <c r="R27" s="127"/>
      <c r="S27" s="128"/>
      <c r="T27" s="4"/>
      <c r="U27" s="4"/>
    </row>
    <row r="28" ht="15.75" customHeight="1">
      <c r="A28" s="4"/>
      <c r="B28" s="15"/>
      <c r="C28" s="130"/>
      <c r="D28" s="294" t="s">
        <v>76</v>
      </c>
      <c r="E28" s="132"/>
      <c r="F28" s="133"/>
      <c r="G28" s="133"/>
      <c r="H28" s="133"/>
      <c r="I28" s="133"/>
      <c r="J28" s="133"/>
      <c r="K28" s="133"/>
      <c r="L28" s="133"/>
      <c r="M28" s="133"/>
      <c r="N28" s="133"/>
      <c r="O28" s="133"/>
      <c r="P28" s="133"/>
      <c r="Q28" s="133"/>
      <c r="R28" s="134"/>
      <c r="S28" s="128"/>
      <c r="T28" s="4"/>
      <c r="U28" s="4"/>
    </row>
    <row r="29" ht="3.0" customHeight="1">
      <c r="A29" s="4"/>
      <c r="B29" s="15"/>
      <c r="C29" s="295"/>
      <c r="D29" s="295"/>
      <c r="E29" s="296"/>
      <c r="F29" s="297"/>
      <c r="G29" s="297"/>
      <c r="H29" s="297"/>
      <c r="I29" s="297"/>
      <c r="J29" s="297"/>
      <c r="K29" s="297"/>
      <c r="L29" s="297"/>
      <c r="M29" s="297"/>
      <c r="N29" s="297"/>
      <c r="O29" s="297"/>
      <c r="P29" s="297"/>
      <c r="Q29" s="297"/>
      <c r="R29" s="298"/>
      <c r="S29" s="299"/>
      <c r="T29" s="4"/>
      <c r="U29" s="4"/>
    </row>
    <row r="30" ht="277.5" customHeight="1">
      <c r="A30" s="4"/>
      <c r="B30" s="15"/>
      <c r="C30" s="301"/>
      <c r="D30" s="302" t="s">
        <v>8</v>
      </c>
      <c r="E30" s="305" t="str">
        <f>NOTAM!B3</f>
        <v>A2668/24 - RWY 06/24 CLSD DUE TO RUBBER DEPOSITE REMOVAL. DAILY 1600-2200, 04 OCT 16:00 2024 UNTIL 11 OCT 22:00 2024. CREATED: 02 SEP 12:03 2024
A2667/24 - RWY 07L/25R CLSD DUE TO RUBBER DEPOSITE REMOVAL. SEP 05 1600-2200 06-07 1500-2200 08 1600-2200 09-10 1500-2200 OCT 04-05 1500-2200 06 1600-2200 07-09 1500-2200 10 1600-2200 11 1500-2200, 05 SEP 16:00 2024 UNTIL 11 OCT 22:00 2024. CREATED: 02 SEP 11:58 2024
A2175/24 - INSET THR LGT ON RWY 07R/25L U/S DUE TO WIP
RMK: ELEVATED THR LGT AVBL. 01 AUG 00:00 2024 UNTIL 31 OCT 23:59 2024. CREATED: 18 JUL 13:14 2024
A2172/24 - RWY CENTRE LINE LGT ON RWY 07R/25L U/S DUE TO WIP. 01 AUG 00:00 2024 UNTIL 31 OCT 23:59 2024. CREATED: 18 JUL 12:50 2024</v>
      </c>
      <c r="F30" s="87"/>
      <c r="G30" s="87"/>
      <c r="H30" s="87"/>
      <c r="I30" s="87"/>
      <c r="J30" s="87"/>
      <c r="K30" s="87"/>
      <c r="L30" s="87"/>
      <c r="M30" s="87"/>
      <c r="N30" s="87"/>
      <c r="O30" s="87"/>
      <c r="P30" s="87"/>
      <c r="Q30" s="87"/>
      <c r="R30" s="88"/>
      <c r="S30" s="299"/>
      <c r="T30" s="4"/>
      <c r="U30" s="4"/>
    </row>
    <row r="31" ht="154.5" customHeight="1">
      <c r="A31" s="4"/>
      <c r="B31" s="15"/>
      <c r="C31" s="111"/>
      <c r="D31" s="307" t="s">
        <v>84</v>
      </c>
      <c r="E31" s="310" t="str">
        <f>NOTAM!D14</f>
        <v>D0795/24 - TWY G CL LGT U/S. 18 JUL 10:00 2024 UNTIL 18 OCT 23:59 2024. CREATED: 18 JUL
09:59 2024</v>
      </c>
      <c r="F31" s="87"/>
      <c r="G31" s="87"/>
      <c r="H31" s="87"/>
      <c r="I31" s="87"/>
      <c r="J31" s="87"/>
      <c r="K31" s="87"/>
      <c r="L31" s="87"/>
      <c r="M31" s="87"/>
      <c r="N31" s="87"/>
      <c r="O31" s="87"/>
      <c r="P31" s="87"/>
      <c r="Q31" s="87"/>
      <c r="R31" s="88"/>
      <c r="S31" s="299"/>
      <c r="T31" s="4"/>
      <c r="U31" s="4"/>
    </row>
    <row r="32" ht="141.75" customHeight="1">
      <c r="A32" s="4"/>
      <c r="B32" s="15"/>
      <c r="C32" s="301"/>
      <c r="D32" s="302" t="s">
        <v>85</v>
      </c>
      <c r="E32" s="305" t="str">
        <f>NOTAM!D13</f>
        <v>D1074/24 - GP/DME FREQ 335MHZ/CH40X WITHDRAWN FOR MAINT. 13 SEP 09:30 2024 UNTIL 13 DEC 09:00 2024. CREATED: 13 SEP 09:32 2024
D1035/24 - RWY GUARD LGT FOR TWY A, A2 AND C U/S. 07 SEP 02:00 2024 UNTIL 05 DEC 16:00 2024. CREATED: 07 SEP 12:01 2024
D0954/24 - RWY 07/25 CLSD FOR MAINT. DLY 1700-2100, 21 AUG 17:00 2024 UNTIL 18 NOV 21:00 2024. CREATED: 21 AUG 17:29 2024</v>
      </c>
      <c r="F32" s="87"/>
      <c r="G32" s="87"/>
      <c r="H32" s="87"/>
      <c r="I32" s="87"/>
      <c r="J32" s="87"/>
      <c r="K32" s="87"/>
      <c r="L32" s="87"/>
      <c r="M32" s="87"/>
      <c r="N32" s="87"/>
      <c r="O32" s="87"/>
      <c r="P32" s="87"/>
      <c r="Q32" s="87"/>
      <c r="R32" s="88"/>
      <c r="S32" s="313"/>
      <c r="T32" s="4"/>
      <c r="U32" s="4"/>
    </row>
    <row r="33" ht="45.75" customHeight="1">
      <c r="A33" s="4"/>
      <c r="B33" s="15"/>
      <c r="C33" s="301"/>
      <c r="D33" s="302" t="s">
        <v>122</v>
      </c>
      <c r="E33" s="305" t="str">
        <f>NOTAM!B15</f>
        <v>No active NOTAMs for this location.</v>
      </c>
      <c r="F33" s="87"/>
      <c r="G33" s="87"/>
      <c r="H33" s="87"/>
      <c r="I33" s="87"/>
      <c r="J33" s="87"/>
      <c r="K33" s="87"/>
      <c r="L33" s="87"/>
      <c r="M33" s="87"/>
      <c r="N33" s="87"/>
      <c r="O33" s="87"/>
      <c r="P33" s="87"/>
      <c r="Q33" s="87"/>
      <c r="R33" s="88"/>
      <c r="S33" s="313"/>
      <c r="T33" s="4"/>
      <c r="U33" s="4"/>
    </row>
    <row r="34" ht="132.0" customHeight="1">
      <c r="A34" s="4"/>
      <c r="B34" s="15"/>
      <c r="C34" s="301"/>
      <c r="D34" s="302" t="s">
        <v>69</v>
      </c>
      <c r="E34" s="305" t="str">
        <f>NOTAM!B5</f>
        <v>B2027/24 - RWY WIP DUE TO MAINT PSN 1245M BEYOND THR RWY 11, 26.5M NORTH EAST FM CENTERLINE AND PSN 1245M FM BEGINNING THR RWY 11, 67.5M SOUTHWEST FM CENTERLINE
RMK : ALL TFC CTN. 02 OCT 06:26 2024 UNTIL 16 OCT 22:00 2024. CREATED: 02 OCT 06:26 2024
B1894/24 - RWY 11/29 CLSD DUE TO RWY INSPECTION. DAILY 0550-0615, 16 SEP 05:50 2024 UNTIL 27 NOV 06:15 2024. CREATED: 15 SEP 10:46 2024
B1761/24 - PALS RWY 29 PARTLY U/S DUE TO TECR
RMK: AVBL APRX 85 PER CENT. 28 AUG 17:00 2024 UNTIL 28 NOV 16:00 2024. CREATED:
28 AUG 11:29 2024</v>
      </c>
      <c r="F34" s="87"/>
      <c r="G34" s="87"/>
      <c r="H34" s="87"/>
      <c r="I34" s="87"/>
      <c r="J34" s="87"/>
      <c r="K34" s="87"/>
      <c r="L34" s="87"/>
      <c r="M34" s="87"/>
      <c r="N34" s="87"/>
      <c r="O34" s="87"/>
      <c r="P34" s="87"/>
      <c r="Q34" s="87"/>
      <c r="R34" s="88"/>
      <c r="S34" s="313"/>
      <c r="T34" s="4"/>
      <c r="U34" s="4"/>
    </row>
    <row r="35" ht="45.0" customHeight="1">
      <c r="A35" s="4"/>
      <c r="B35" s="15"/>
      <c r="C35" s="301"/>
      <c r="D35" s="302" t="str">
        <f>C17</f>
        <v>WILL</v>
      </c>
      <c r="E35" s="305" t="str">
        <f>NOTAM!D17</f>
        <v>No active NOTAMs for this location.</v>
      </c>
      <c r="F35" s="87"/>
      <c r="G35" s="87"/>
      <c r="H35" s="87"/>
      <c r="I35" s="87"/>
      <c r="J35" s="87"/>
      <c r="K35" s="87"/>
      <c r="L35" s="87"/>
      <c r="M35" s="87"/>
      <c r="N35" s="87"/>
      <c r="O35" s="87"/>
      <c r="P35" s="87"/>
      <c r="Q35" s="87"/>
      <c r="R35" s="88"/>
      <c r="S35" s="313"/>
      <c r="T35" s="4"/>
      <c r="U35" s="4"/>
    </row>
    <row r="36" ht="1.5" customHeight="1">
      <c r="A36" s="4"/>
      <c r="B36" s="15"/>
      <c r="C36" s="4"/>
      <c r="D36" s="4"/>
      <c r="E36" s="4"/>
      <c r="F36" s="4"/>
      <c r="G36" s="4"/>
      <c r="H36" s="4"/>
      <c r="I36" s="4"/>
      <c r="J36" s="4"/>
      <c r="K36" s="4"/>
      <c r="L36" s="4"/>
      <c r="M36" s="4"/>
      <c r="N36" s="4"/>
      <c r="O36" s="4"/>
      <c r="P36" s="4"/>
      <c r="Q36" s="4"/>
      <c r="R36" s="230"/>
      <c r="S36" s="19"/>
      <c r="T36" s="4"/>
      <c r="U36" s="4"/>
    </row>
    <row r="37" ht="15.75" customHeight="1">
      <c r="A37" s="4"/>
      <c r="B37" s="15"/>
      <c r="C37" s="4"/>
      <c r="D37" s="4"/>
      <c r="E37" s="4"/>
      <c r="F37" s="4"/>
      <c r="G37" s="33"/>
      <c r="H37" s="284" t="s">
        <v>125</v>
      </c>
      <c r="I37" s="33"/>
      <c r="J37" s="33"/>
      <c r="K37" s="33"/>
      <c r="L37" s="33"/>
      <c r="M37" s="33"/>
      <c r="N37" s="33"/>
      <c r="O37" s="33"/>
      <c r="P37" s="284" t="s">
        <v>126</v>
      </c>
      <c r="Q37" s="33"/>
      <c r="R37" s="33"/>
      <c r="S37" s="19"/>
      <c r="T37" s="4"/>
      <c r="U37" s="4"/>
    </row>
    <row r="38" ht="15.75" customHeight="1">
      <c r="A38" s="4"/>
      <c r="B38" s="15"/>
      <c r="C38" s="4"/>
      <c r="D38" s="4"/>
      <c r="E38" s="4"/>
      <c r="F38" s="4"/>
      <c r="G38" s="33"/>
      <c r="H38" s="284" t="s">
        <v>127</v>
      </c>
      <c r="I38" s="33"/>
      <c r="J38" s="33"/>
      <c r="K38" s="33"/>
      <c r="L38" s="33"/>
      <c r="M38" s="33"/>
      <c r="N38" s="33"/>
      <c r="O38" s="33"/>
      <c r="P38" s="284" t="s">
        <v>127</v>
      </c>
      <c r="Q38" s="33"/>
      <c r="R38" s="33"/>
      <c r="S38" s="19"/>
      <c r="T38" s="4"/>
      <c r="U38" s="4"/>
    </row>
    <row r="39" ht="19.5" customHeight="1">
      <c r="A39" s="4"/>
      <c r="B39" s="15"/>
      <c r="C39" s="4"/>
      <c r="D39" s="4"/>
      <c r="E39" s="4"/>
      <c r="F39" s="4"/>
      <c r="G39" s="33"/>
      <c r="H39" s="33"/>
      <c r="I39" s="33"/>
      <c r="J39" s="33"/>
      <c r="K39" s="33"/>
      <c r="L39" s="33"/>
      <c r="M39" s="33"/>
      <c r="N39" s="33"/>
      <c r="O39" s="33"/>
      <c r="P39" s="33"/>
      <c r="Q39" s="33"/>
      <c r="R39" s="33"/>
      <c r="S39" s="19"/>
      <c r="T39" s="4"/>
      <c r="U39" s="4"/>
    </row>
    <row r="40" ht="15.75" customHeight="1">
      <c r="A40" s="4"/>
      <c r="B40" s="15"/>
      <c r="C40" s="4"/>
      <c r="D40" s="4"/>
      <c r="E40" s="4"/>
      <c r="F40" s="4"/>
      <c r="G40" s="33"/>
      <c r="H40" s="33"/>
      <c r="I40" s="33"/>
      <c r="J40" s="33"/>
      <c r="K40" s="33"/>
      <c r="L40" s="33"/>
      <c r="M40" s="33"/>
      <c r="N40" s="33"/>
      <c r="O40" s="33"/>
      <c r="P40" s="33"/>
      <c r="Q40" s="33"/>
      <c r="R40" s="33"/>
      <c r="S40" s="19"/>
      <c r="T40" s="4"/>
      <c r="U40" s="4"/>
    </row>
    <row r="41" ht="15.75" customHeight="1">
      <c r="A41" s="4"/>
      <c r="B41" s="15"/>
      <c r="C41" s="4"/>
      <c r="D41" s="4"/>
      <c r="E41" s="4"/>
      <c r="F41" s="4"/>
      <c r="G41" s="323" t="s">
        <v>129</v>
      </c>
      <c r="K41" s="33"/>
      <c r="L41" s="33"/>
      <c r="M41" s="33"/>
      <c r="N41" s="33"/>
      <c r="O41" s="323" t="str">
        <f>'526'!BC17</f>
        <v>CAPT. HUSIN ABDILLAH ALAYDRUS</v>
      </c>
      <c r="S41" s="19"/>
      <c r="T41" s="4"/>
      <c r="U41" s="4"/>
    </row>
    <row r="42" ht="15.75" customHeight="1">
      <c r="A42" s="4"/>
      <c r="B42" s="15"/>
      <c r="C42" s="4"/>
      <c r="D42" s="4"/>
      <c r="E42" s="4"/>
      <c r="F42" s="4"/>
      <c r="G42" s="33"/>
      <c r="H42" s="33" t="s">
        <v>130</v>
      </c>
      <c r="I42" s="33"/>
      <c r="J42" s="33"/>
      <c r="K42" s="33"/>
      <c r="L42" s="33"/>
      <c r="M42" s="33"/>
      <c r="N42" s="33"/>
      <c r="O42" s="33"/>
      <c r="P42" s="33" t="s">
        <v>131</v>
      </c>
      <c r="Q42" s="33"/>
      <c r="R42" s="33"/>
      <c r="S42" s="19"/>
      <c r="T42" s="4"/>
      <c r="U42" s="4"/>
    </row>
    <row r="43" ht="4.5" customHeight="1">
      <c r="A43" s="4"/>
      <c r="B43" s="329"/>
      <c r="C43" s="330"/>
      <c r="D43" s="330"/>
      <c r="E43" s="330"/>
      <c r="F43" s="330"/>
      <c r="G43" s="330"/>
      <c r="H43" s="330"/>
      <c r="I43" s="330"/>
      <c r="J43" s="330"/>
      <c r="K43" s="330"/>
      <c r="L43" s="330"/>
      <c r="M43" s="330"/>
      <c r="N43" s="330"/>
      <c r="O43" s="330"/>
      <c r="P43" s="330"/>
      <c r="Q43" s="330"/>
      <c r="R43" s="330"/>
      <c r="S43" s="335"/>
      <c r="T43" s="4"/>
      <c r="U43" s="4"/>
    </row>
    <row r="44" ht="15.75" customHeight="1">
      <c r="A44" s="4"/>
      <c r="B44" s="4"/>
      <c r="C44" s="4"/>
      <c r="D44" s="4"/>
      <c r="E44" s="4"/>
      <c r="F44" s="4"/>
      <c r="G44" s="4"/>
      <c r="H44" s="4"/>
      <c r="I44" s="4"/>
      <c r="J44" s="4"/>
      <c r="K44" s="4"/>
      <c r="L44" s="4"/>
      <c r="M44" s="4"/>
      <c r="N44" s="4"/>
      <c r="O44" s="4"/>
      <c r="P44" s="4"/>
      <c r="Q44" s="4"/>
      <c r="R44" s="4"/>
      <c r="S44" s="4"/>
      <c r="T44" s="4"/>
      <c r="U44" s="4"/>
    </row>
    <row r="45" ht="15.75" customHeight="1">
      <c r="A45" s="4"/>
      <c r="B45" s="4"/>
      <c r="C45" s="4"/>
      <c r="D45" s="4"/>
      <c r="E45" s="4"/>
      <c r="F45" s="4"/>
      <c r="G45" s="4"/>
      <c r="H45" s="4"/>
      <c r="I45" s="4"/>
      <c r="J45" s="4"/>
      <c r="K45" s="4"/>
      <c r="L45" s="4"/>
      <c r="M45" s="4"/>
      <c r="N45" s="4"/>
      <c r="O45" s="4"/>
      <c r="P45" s="4"/>
      <c r="Q45" s="4"/>
      <c r="R45" s="4"/>
      <c r="S45" s="4"/>
      <c r="T45" s="4"/>
      <c r="U45" s="4"/>
    </row>
    <row r="46" ht="15.75" customHeight="1">
      <c r="A46" s="4"/>
      <c r="B46" s="4"/>
      <c r="C46" s="4"/>
      <c r="D46" s="4"/>
      <c r="E46" s="4"/>
      <c r="F46" s="4"/>
      <c r="G46" s="4"/>
      <c r="H46" s="4"/>
      <c r="I46" s="4"/>
      <c r="J46" s="4"/>
      <c r="K46" s="4"/>
      <c r="L46" s="4"/>
      <c r="M46" s="4"/>
      <c r="N46" s="4"/>
      <c r="O46" s="4"/>
      <c r="P46" s="4"/>
      <c r="Q46" s="4"/>
      <c r="R46" s="4"/>
      <c r="S46" s="4"/>
      <c r="T46" s="4"/>
      <c r="U46" s="4"/>
    </row>
    <row r="47" ht="15.75" customHeight="1">
      <c r="A47" s="4"/>
      <c r="B47" s="4"/>
      <c r="C47" s="4"/>
      <c r="D47" s="4"/>
      <c r="E47" s="4"/>
      <c r="F47" s="4"/>
      <c r="G47" s="4"/>
      <c r="H47" s="4"/>
      <c r="I47" s="4"/>
      <c r="J47" s="4"/>
      <c r="K47" s="4"/>
      <c r="L47" s="4"/>
      <c r="M47" s="4"/>
      <c r="N47" s="4"/>
      <c r="O47" s="4"/>
      <c r="P47" s="4"/>
      <c r="Q47" s="4"/>
      <c r="R47" s="4"/>
      <c r="S47" s="4"/>
      <c r="T47" s="4"/>
      <c r="U47" s="4"/>
    </row>
    <row r="48" ht="15.75" customHeight="1">
      <c r="A48" s="4"/>
      <c r="B48" s="4"/>
      <c r="C48" s="4"/>
      <c r="D48" s="4"/>
      <c r="E48" s="4"/>
      <c r="F48" s="4"/>
      <c r="G48" s="4"/>
      <c r="H48" s="4"/>
      <c r="I48" s="4"/>
      <c r="J48" s="4"/>
      <c r="K48" s="4"/>
      <c r="L48" s="4"/>
      <c r="M48" s="4"/>
      <c r="N48" s="4"/>
      <c r="O48" s="4"/>
      <c r="P48" s="4"/>
      <c r="Q48" s="4"/>
      <c r="R48" s="4"/>
      <c r="S48" s="4"/>
      <c r="T48" s="4"/>
      <c r="U48" s="4"/>
    </row>
    <row r="49" ht="15.75" customHeight="1">
      <c r="A49" s="4"/>
      <c r="B49" s="4"/>
      <c r="C49" s="4"/>
      <c r="D49" s="4"/>
      <c r="E49" s="4"/>
      <c r="F49" s="4"/>
      <c r="G49" s="4"/>
      <c r="H49" s="4"/>
      <c r="I49" s="4"/>
      <c r="J49" s="4"/>
      <c r="K49" s="4"/>
      <c r="L49" s="4"/>
      <c r="M49" s="4"/>
      <c r="N49" s="4"/>
      <c r="O49" s="4"/>
      <c r="P49" s="4"/>
      <c r="Q49" s="4"/>
      <c r="R49" s="4"/>
      <c r="S49" s="4"/>
      <c r="T49" s="4"/>
      <c r="U49" s="4"/>
    </row>
    <row r="50" ht="15.75" customHeight="1">
      <c r="A50" s="4"/>
      <c r="B50" s="4"/>
      <c r="C50" s="4"/>
      <c r="D50" s="4"/>
      <c r="E50" s="4"/>
      <c r="F50" s="4"/>
      <c r="G50" s="4"/>
      <c r="H50" s="4"/>
      <c r="I50" s="4"/>
      <c r="J50" s="4"/>
      <c r="K50" s="4"/>
      <c r="L50" s="4"/>
      <c r="M50" s="4"/>
      <c r="N50" s="4"/>
      <c r="O50" s="4"/>
      <c r="P50" s="4"/>
      <c r="Q50" s="4"/>
      <c r="R50" s="4"/>
      <c r="S50" s="4"/>
      <c r="T50" s="4"/>
      <c r="U50" s="4"/>
    </row>
    <row r="51" ht="15.75" customHeight="1">
      <c r="A51" s="4"/>
      <c r="B51" s="4"/>
      <c r="C51" s="4"/>
      <c r="D51" s="4"/>
      <c r="E51" s="4"/>
      <c r="F51" s="4"/>
      <c r="G51" s="4"/>
      <c r="H51" s="4"/>
      <c r="I51" s="4"/>
      <c r="J51" s="4"/>
      <c r="K51" s="4"/>
      <c r="L51" s="4"/>
      <c r="M51" s="4"/>
      <c r="N51" s="4"/>
      <c r="O51" s="4"/>
      <c r="P51" s="4"/>
      <c r="Q51" s="4"/>
      <c r="R51" s="4"/>
      <c r="S51" s="4"/>
      <c r="T51" s="4"/>
      <c r="U51" s="4"/>
    </row>
    <row r="52" ht="15.75" customHeight="1">
      <c r="A52" s="4"/>
      <c r="B52" s="4"/>
      <c r="C52" s="4"/>
      <c r="D52" s="4"/>
      <c r="E52" s="4"/>
      <c r="F52" s="4"/>
      <c r="G52" s="4"/>
      <c r="H52" s="4"/>
      <c r="I52" s="4"/>
      <c r="J52" s="4"/>
      <c r="K52" s="4"/>
      <c r="L52" s="4"/>
      <c r="M52" s="4"/>
      <c r="N52" s="4"/>
      <c r="O52" s="4"/>
      <c r="P52" s="4"/>
      <c r="Q52" s="4"/>
      <c r="R52" s="4"/>
      <c r="S52" s="4"/>
      <c r="T52" s="4"/>
      <c r="U52" s="4"/>
    </row>
    <row r="53" ht="15.75" customHeight="1">
      <c r="A53" s="4"/>
      <c r="B53" s="4"/>
      <c r="C53" s="4"/>
      <c r="D53" s="4"/>
      <c r="E53" s="4"/>
      <c r="F53" s="4"/>
      <c r="G53" s="4"/>
      <c r="H53" s="4"/>
      <c r="I53" s="4"/>
      <c r="J53" s="4"/>
      <c r="K53" s="4"/>
      <c r="L53" s="4"/>
      <c r="M53" s="4"/>
      <c r="N53" s="4"/>
      <c r="O53" s="4"/>
      <c r="P53" s="4"/>
      <c r="Q53" s="4"/>
      <c r="R53" s="4"/>
      <c r="S53" s="4"/>
      <c r="T53" s="4"/>
      <c r="U53" s="4"/>
    </row>
    <row r="54" ht="15.75" customHeight="1">
      <c r="A54" s="4"/>
      <c r="B54" s="4"/>
      <c r="C54" s="4"/>
      <c r="D54" s="4"/>
      <c r="E54" s="4"/>
      <c r="F54" s="4"/>
      <c r="G54" s="4"/>
      <c r="H54" s="4"/>
      <c r="I54" s="4"/>
      <c r="J54" s="4"/>
      <c r="K54" s="4"/>
      <c r="L54" s="4"/>
      <c r="M54" s="4"/>
      <c r="N54" s="4"/>
      <c r="O54" s="4"/>
      <c r="P54" s="4"/>
      <c r="Q54" s="4"/>
      <c r="R54" s="4"/>
      <c r="S54" s="4"/>
      <c r="T54" s="4"/>
      <c r="U54" s="4"/>
    </row>
    <row r="55" ht="15.75" customHeight="1">
      <c r="A55" s="4"/>
      <c r="B55" s="4"/>
      <c r="C55" s="4"/>
      <c r="D55" s="4"/>
      <c r="E55" s="4"/>
      <c r="F55" s="4"/>
      <c r="G55" s="4"/>
      <c r="H55" s="4"/>
      <c r="I55" s="4"/>
      <c r="J55" s="4"/>
      <c r="K55" s="4"/>
      <c r="L55" s="4"/>
      <c r="M55" s="4"/>
      <c r="N55" s="4"/>
      <c r="O55" s="4"/>
      <c r="P55" s="4"/>
      <c r="Q55" s="4"/>
      <c r="R55" s="4"/>
      <c r="S55" s="4"/>
      <c r="T55" s="4"/>
      <c r="U55" s="4"/>
    </row>
    <row r="56" ht="15.75" customHeight="1">
      <c r="A56" s="4"/>
      <c r="B56" s="4"/>
      <c r="C56" s="4"/>
      <c r="D56" s="4"/>
      <c r="E56" s="4"/>
      <c r="F56" s="4"/>
      <c r="G56" s="4"/>
      <c r="H56" s="4"/>
      <c r="I56" s="4"/>
      <c r="J56" s="4"/>
      <c r="K56" s="4"/>
      <c r="L56" s="4"/>
      <c r="M56" s="4"/>
      <c r="N56" s="4"/>
      <c r="O56" s="4"/>
      <c r="P56" s="4"/>
      <c r="Q56" s="4"/>
      <c r="R56" s="4"/>
      <c r="S56" s="4"/>
      <c r="T56" s="4"/>
      <c r="U56" s="4"/>
    </row>
    <row r="57" ht="15.75" customHeight="1">
      <c r="A57" s="4"/>
      <c r="B57" s="4"/>
      <c r="C57" s="4"/>
      <c r="D57" s="4"/>
      <c r="E57" s="4"/>
      <c r="F57" s="4"/>
      <c r="G57" s="4"/>
      <c r="H57" s="4"/>
      <c r="I57" s="4"/>
      <c r="J57" s="4"/>
      <c r="K57" s="4"/>
      <c r="L57" s="4"/>
      <c r="M57" s="4"/>
      <c r="N57" s="4"/>
      <c r="O57" s="4"/>
      <c r="P57" s="4"/>
      <c r="Q57" s="4"/>
      <c r="R57" s="4"/>
      <c r="S57" s="4"/>
      <c r="T57" s="4"/>
      <c r="U57" s="4"/>
    </row>
    <row r="58" ht="15.75" customHeight="1">
      <c r="A58" s="4"/>
      <c r="B58" s="4"/>
      <c r="C58" s="4"/>
      <c r="D58" s="4"/>
      <c r="E58" s="4"/>
      <c r="F58" s="4"/>
      <c r="G58" s="4"/>
      <c r="H58" s="4"/>
      <c r="I58" s="4"/>
      <c r="J58" s="4"/>
      <c r="K58" s="4"/>
      <c r="L58" s="4"/>
      <c r="M58" s="4"/>
      <c r="N58" s="4"/>
      <c r="O58" s="4"/>
      <c r="P58" s="4"/>
      <c r="Q58" s="4"/>
      <c r="R58" s="4"/>
      <c r="S58" s="4"/>
      <c r="T58" s="4"/>
      <c r="U58" s="4"/>
    </row>
    <row r="59" ht="15.75" customHeight="1">
      <c r="A59" s="4"/>
      <c r="B59" s="4"/>
      <c r="C59" s="4"/>
      <c r="D59" s="4"/>
      <c r="E59" s="4"/>
      <c r="F59" s="4"/>
      <c r="G59" s="4"/>
      <c r="H59" s="4"/>
      <c r="I59" s="4"/>
      <c r="J59" s="4"/>
      <c r="K59" s="4"/>
      <c r="L59" s="4"/>
      <c r="M59" s="4"/>
      <c r="N59" s="4"/>
      <c r="O59" s="4"/>
      <c r="P59" s="4"/>
      <c r="Q59" s="4"/>
      <c r="R59" s="4"/>
      <c r="S59" s="4"/>
      <c r="T59" s="4"/>
      <c r="U59" s="4"/>
    </row>
    <row r="60" ht="15.75" customHeight="1">
      <c r="A60" s="4"/>
      <c r="B60" s="4"/>
      <c r="C60" s="4"/>
      <c r="D60" s="4"/>
      <c r="E60" s="4"/>
      <c r="F60" s="4"/>
      <c r="G60" s="4"/>
      <c r="H60" s="4"/>
      <c r="I60" s="4"/>
      <c r="J60" s="4"/>
      <c r="K60" s="4"/>
      <c r="L60" s="4"/>
      <c r="M60" s="4"/>
      <c r="N60" s="4"/>
      <c r="O60" s="4"/>
      <c r="P60" s="4"/>
      <c r="Q60" s="4"/>
      <c r="R60" s="4"/>
      <c r="S60" s="4"/>
      <c r="T60" s="4"/>
      <c r="U60" s="4"/>
    </row>
    <row r="61" ht="15.75" customHeight="1">
      <c r="A61" s="4"/>
      <c r="B61" s="4"/>
      <c r="C61" s="4"/>
      <c r="D61" s="4"/>
      <c r="E61" s="4"/>
      <c r="F61" s="4"/>
      <c r="G61" s="4"/>
      <c r="H61" s="4"/>
      <c r="I61" s="4"/>
      <c r="J61" s="4"/>
      <c r="K61" s="4"/>
      <c r="L61" s="4"/>
      <c r="M61" s="4"/>
      <c r="N61" s="4"/>
      <c r="O61" s="4"/>
      <c r="P61" s="4"/>
      <c r="Q61" s="4"/>
      <c r="R61" s="4"/>
      <c r="S61" s="4"/>
      <c r="T61" s="4"/>
      <c r="U61" s="4"/>
    </row>
    <row r="62" ht="15.75" customHeight="1">
      <c r="A62" s="4"/>
      <c r="B62" s="4"/>
      <c r="C62" s="4"/>
      <c r="D62" s="4"/>
      <c r="E62" s="4"/>
      <c r="F62" s="4"/>
      <c r="G62" s="4"/>
      <c r="H62" s="4"/>
      <c r="I62" s="4"/>
      <c r="J62" s="4"/>
      <c r="K62" s="4"/>
      <c r="L62" s="4"/>
      <c r="M62" s="4"/>
      <c r="N62" s="4"/>
      <c r="O62" s="4"/>
      <c r="P62" s="4"/>
      <c r="Q62" s="4"/>
      <c r="R62" s="4"/>
      <c r="S62" s="4"/>
      <c r="T62" s="4"/>
      <c r="U62" s="4"/>
    </row>
    <row r="63" ht="15.75" customHeight="1">
      <c r="A63" s="4"/>
      <c r="B63" s="4"/>
      <c r="C63" s="4"/>
      <c r="D63" s="4"/>
      <c r="E63" s="4"/>
      <c r="F63" s="4"/>
      <c r="G63" s="4"/>
      <c r="H63" s="4"/>
      <c r="I63" s="4"/>
      <c r="J63" s="4"/>
      <c r="K63" s="4"/>
      <c r="L63" s="4"/>
      <c r="M63" s="4"/>
      <c r="N63" s="4"/>
      <c r="O63" s="4"/>
      <c r="P63" s="4"/>
      <c r="Q63" s="4"/>
      <c r="R63" s="4"/>
      <c r="S63" s="4"/>
      <c r="T63" s="4"/>
      <c r="U63" s="4"/>
    </row>
    <row r="64" ht="15.75" customHeight="1">
      <c r="A64" s="4"/>
      <c r="B64" s="4"/>
      <c r="C64" s="4"/>
      <c r="D64" s="4"/>
      <c r="E64" s="4"/>
      <c r="F64" s="4"/>
      <c r="G64" s="4"/>
      <c r="H64" s="4"/>
      <c r="I64" s="4"/>
      <c r="J64" s="4"/>
      <c r="K64" s="4"/>
      <c r="L64" s="4"/>
      <c r="M64" s="4"/>
      <c r="N64" s="4"/>
      <c r="O64" s="4"/>
      <c r="P64" s="4"/>
      <c r="Q64" s="4"/>
      <c r="R64" s="4"/>
      <c r="S64" s="4"/>
      <c r="T64" s="4"/>
      <c r="U64" s="4"/>
    </row>
    <row r="65" ht="15.75" customHeight="1">
      <c r="A65" s="4"/>
      <c r="B65" s="4"/>
      <c r="C65" s="4"/>
      <c r="D65" s="4"/>
      <c r="E65" s="4"/>
      <c r="F65" s="4"/>
      <c r="G65" s="4"/>
      <c r="H65" s="4"/>
      <c r="I65" s="4"/>
      <c r="J65" s="4"/>
      <c r="K65" s="4"/>
      <c r="L65" s="4"/>
      <c r="M65" s="4"/>
      <c r="N65" s="4"/>
      <c r="O65" s="4"/>
      <c r="P65" s="4"/>
      <c r="Q65" s="4"/>
      <c r="R65" s="4"/>
      <c r="S65" s="4"/>
      <c r="T65" s="4"/>
      <c r="U65" s="4"/>
    </row>
    <row r="66" ht="15.75" customHeight="1">
      <c r="A66" s="4"/>
      <c r="B66" s="4"/>
      <c r="C66" s="4"/>
      <c r="D66" s="4"/>
      <c r="E66" s="4"/>
      <c r="F66" s="4"/>
      <c r="G66" s="4"/>
      <c r="H66" s="4"/>
      <c r="I66" s="4"/>
      <c r="J66" s="4"/>
      <c r="K66" s="4"/>
      <c r="L66" s="4"/>
      <c r="M66" s="4"/>
      <c r="N66" s="4"/>
      <c r="O66" s="4"/>
      <c r="P66" s="4"/>
      <c r="Q66" s="4"/>
      <c r="R66" s="4"/>
      <c r="S66" s="4"/>
      <c r="T66" s="4"/>
      <c r="U66" s="4"/>
    </row>
    <row r="67" ht="15.75" customHeight="1">
      <c r="A67" s="4"/>
      <c r="B67" s="4"/>
      <c r="C67" s="4"/>
      <c r="D67" s="4"/>
      <c r="E67" s="4"/>
      <c r="F67" s="4"/>
      <c r="G67" s="4"/>
      <c r="H67" s="4"/>
      <c r="I67" s="4"/>
      <c r="J67" s="4"/>
      <c r="K67" s="4"/>
      <c r="L67" s="4"/>
      <c r="M67" s="4"/>
      <c r="N67" s="4"/>
      <c r="O67" s="4"/>
      <c r="P67" s="4"/>
      <c r="Q67" s="4"/>
      <c r="R67" s="4"/>
      <c r="S67" s="4"/>
      <c r="T67" s="4"/>
      <c r="U67" s="4"/>
    </row>
    <row r="68" ht="15.75" customHeight="1">
      <c r="A68" s="4"/>
      <c r="B68" s="4"/>
      <c r="C68" s="4"/>
      <c r="D68" s="4"/>
      <c r="E68" s="4"/>
      <c r="F68" s="4"/>
      <c r="G68" s="4"/>
      <c r="H68" s="4"/>
      <c r="I68" s="4"/>
      <c r="J68" s="4"/>
      <c r="K68" s="4"/>
      <c r="L68" s="4"/>
      <c r="M68" s="4"/>
      <c r="N68" s="4"/>
      <c r="O68" s="4"/>
      <c r="P68" s="4"/>
      <c r="Q68" s="4"/>
      <c r="R68" s="4"/>
      <c r="S68" s="4"/>
      <c r="T68" s="4"/>
      <c r="U68" s="4"/>
    </row>
    <row r="69" ht="15.75" customHeight="1">
      <c r="A69" s="4"/>
      <c r="B69" s="4"/>
      <c r="C69" s="4"/>
      <c r="D69" s="4"/>
      <c r="E69" s="4"/>
      <c r="F69" s="4"/>
      <c r="G69" s="4"/>
      <c r="H69" s="4"/>
      <c r="I69" s="4"/>
      <c r="J69" s="4"/>
      <c r="K69" s="4"/>
      <c r="L69" s="4"/>
      <c r="M69" s="4"/>
      <c r="N69" s="4"/>
      <c r="O69" s="4"/>
      <c r="P69" s="4"/>
      <c r="Q69" s="4"/>
      <c r="R69" s="4"/>
      <c r="S69" s="4"/>
      <c r="T69" s="4"/>
      <c r="U69" s="4"/>
    </row>
    <row r="70" ht="15.75" customHeight="1">
      <c r="A70" s="4"/>
      <c r="B70" s="4"/>
      <c r="C70" s="4"/>
      <c r="D70" s="4"/>
      <c r="E70" s="4"/>
      <c r="F70" s="4"/>
      <c r="G70" s="4"/>
      <c r="H70" s="4"/>
      <c r="I70" s="4"/>
      <c r="J70" s="4"/>
      <c r="K70" s="4"/>
      <c r="L70" s="4"/>
      <c r="M70" s="4"/>
      <c r="N70" s="4"/>
      <c r="O70" s="4"/>
      <c r="P70" s="4"/>
      <c r="Q70" s="4"/>
      <c r="R70" s="4"/>
      <c r="S70" s="4"/>
      <c r="T70" s="4"/>
      <c r="U70" s="4"/>
    </row>
    <row r="71" ht="15.75" customHeight="1">
      <c r="A71" s="4"/>
      <c r="B71" s="4"/>
      <c r="C71" s="4"/>
      <c r="D71" s="4"/>
      <c r="E71" s="4"/>
      <c r="F71" s="4"/>
      <c r="G71" s="4"/>
      <c r="H71" s="4"/>
      <c r="I71" s="4"/>
      <c r="J71" s="4"/>
      <c r="K71" s="4"/>
      <c r="L71" s="4"/>
      <c r="M71" s="4"/>
      <c r="N71" s="4"/>
      <c r="O71" s="4"/>
      <c r="P71" s="4"/>
      <c r="Q71" s="4"/>
      <c r="R71" s="4"/>
      <c r="S71" s="4"/>
      <c r="T71" s="4"/>
      <c r="U71" s="4"/>
    </row>
    <row r="72" ht="15.75" customHeight="1">
      <c r="A72" s="4"/>
      <c r="B72" s="4"/>
      <c r="C72" s="4"/>
      <c r="D72" s="4"/>
      <c r="E72" s="4"/>
      <c r="F72" s="4"/>
      <c r="G72" s="4"/>
      <c r="H72" s="4"/>
      <c r="I72" s="4"/>
      <c r="J72" s="4"/>
      <c r="K72" s="4"/>
      <c r="L72" s="4"/>
      <c r="M72" s="4"/>
      <c r="N72" s="4"/>
      <c r="O72" s="4"/>
      <c r="P72" s="4"/>
      <c r="Q72" s="4"/>
      <c r="R72" s="4"/>
      <c r="S72" s="4"/>
      <c r="T72" s="4"/>
      <c r="U72" s="4"/>
    </row>
    <row r="73" ht="15.75" customHeight="1">
      <c r="A73" s="4"/>
      <c r="B73" s="4"/>
      <c r="C73" s="4"/>
      <c r="D73" s="4"/>
      <c r="E73" s="4"/>
      <c r="F73" s="4"/>
      <c r="G73" s="4"/>
      <c r="H73" s="4"/>
      <c r="I73" s="4"/>
      <c r="J73" s="4"/>
      <c r="K73" s="4"/>
      <c r="L73" s="4"/>
      <c r="M73" s="4"/>
      <c r="N73" s="4"/>
      <c r="O73" s="4"/>
      <c r="P73" s="4"/>
      <c r="Q73" s="4"/>
      <c r="R73" s="4"/>
      <c r="S73" s="4"/>
      <c r="T73" s="4"/>
      <c r="U73" s="4"/>
    </row>
    <row r="74" ht="15.75" customHeight="1">
      <c r="A74" s="4"/>
      <c r="B74" s="4"/>
      <c r="C74" s="4"/>
      <c r="D74" s="4"/>
      <c r="E74" s="4"/>
      <c r="F74" s="4"/>
      <c r="G74" s="4"/>
      <c r="H74" s="4"/>
      <c r="I74" s="4"/>
      <c r="J74" s="4"/>
      <c r="K74" s="4"/>
      <c r="L74" s="4"/>
      <c r="M74" s="4"/>
      <c r="N74" s="4"/>
      <c r="O74" s="4"/>
      <c r="P74" s="4"/>
      <c r="Q74" s="4"/>
      <c r="R74" s="4"/>
      <c r="S74" s="4"/>
      <c r="T74" s="4"/>
      <c r="U74" s="4"/>
    </row>
    <row r="75" ht="15.75" customHeight="1">
      <c r="A75" s="4"/>
      <c r="B75" s="4"/>
      <c r="C75" s="4"/>
      <c r="D75" s="4"/>
      <c r="E75" s="4"/>
      <c r="F75" s="4"/>
      <c r="G75" s="4"/>
      <c r="H75" s="4"/>
      <c r="I75" s="4"/>
      <c r="J75" s="4"/>
      <c r="K75" s="4"/>
      <c r="L75" s="4"/>
      <c r="M75" s="4"/>
      <c r="N75" s="4"/>
      <c r="O75" s="4"/>
      <c r="P75" s="4"/>
      <c r="Q75" s="4"/>
      <c r="R75" s="4"/>
      <c r="S75" s="4"/>
      <c r="T75" s="4"/>
      <c r="U75" s="4"/>
    </row>
    <row r="76" ht="15.75" customHeight="1">
      <c r="A76" s="4"/>
      <c r="B76" s="4"/>
      <c r="C76" s="4"/>
      <c r="D76" s="4"/>
      <c r="E76" s="4"/>
      <c r="F76" s="4"/>
      <c r="G76" s="4"/>
      <c r="H76" s="4"/>
      <c r="I76" s="4"/>
      <c r="J76" s="4"/>
      <c r="K76" s="4"/>
      <c r="L76" s="4"/>
      <c r="M76" s="4"/>
      <c r="N76" s="4"/>
      <c r="O76" s="4"/>
      <c r="P76" s="4"/>
      <c r="Q76" s="4"/>
      <c r="R76" s="4"/>
      <c r="S76" s="4"/>
      <c r="T76" s="4"/>
      <c r="U76" s="4"/>
    </row>
    <row r="77" ht="15.75" customHeight="1">
      <c r="A77" s="4"/>
      <c r="B77" s="4"/>
      <c r="C77" s="4"/>
      <c r="D77" s="4"/>
      <c r="E77" s="4"/>
      <c r="F77" s="4"/>
      <c r="G77" s="4"/>
      <c r="H77" s="4"/>
      <c r="I77" s="4"/>
      <c r="J77" s="4"/>
      <c r="K77" s="4"/>
      <c r="L77" s="4"/>
      <c r="M77" s="4"/>
      <c r="N77" s="4"/>
      <c r="O77" s="4"/>
      <c r="P77" s="4"/>
      <c r="Q77" s="4"/>
      <c r="R77" s="4"/>
      <c r="S77" s="4"/>
      <c r="T77" s="4"/>
      <c r="U77" s="4"/>
    </row>
    <row r="78" ht="15.75" customHeight="1">
      <c r="A78" s="4"/>
      <c r="B78" s="4"/>
      <c r="C78" s="4"/>
      <c r="D78" s="4"/>
      <c r="E78" s="4"/>
      <c r="F78" s="4"/>
      <c r="G78" s="4"/>
      <c r="H78" s="4"/>
      <c r="I78" s="4"/>
      <c r="J78" s="4"/>
      <c r="K78" s="4"/>
      <c r="L78" s="4"/>
      <c r="M78" s="4"/>
      <c r="N78" s="4"/>
      <c r="O78" s="4"/>
      <c r="P78" s="4"/>
      <c r="Q78" s="4"/>
      <c r="R78" s="4"/>
      <c r="S78" s="4"/>
      <c r="T78" s="4"/>
      <c r="U78" s="4"/>
    </row>
    <row r="79" ht="15.75" customHeight="1">
      <c r="A79" s="4"/>
      <c r="B79" s="4"/>
      <c r="C79" s="4"/>
      <c r="D79" s="4"/>
      <c r="E79" s="4"/>
      <c r="F79" s="4"/>
      <c r="G79" s="4"/>
      <c r="H79" s="4"/>
      <c r="I79" s="4"/>
      <c r="J79" s="4"/>
      <c r="K79" s="4"/>
      <c r="L79" s="4"/>
      <c r="M79" s="4"/>
      <c r="N79" s="4"/>
      <c r="O79" s="4"/>
      <c r="P79" s="4"/>
      <c r="Q79" s="4"/>
      <c r="R79" s="4"/>
      <c r="S79" s="4"/>
      <c r="T79" s="4"/>
      <c r="U79" s="4"/>
    </row>
    <row r="80" ht="15.75" customHeight="1">
      <c r="A80" s="4"/>
      <c r="B80" s="4"/>
      <c r="C80" s="4"/>
      <c r="D80" s="4"/>
      <c r="E80" s="4"/>
      <c r="F80" s="4"/>
      <c r="G80" s="4"/>
      <c r="H80" s="4"/>
      <c r="I80" s="4"/>
      <c r="J80" s="4"/>
      <c r="K80" s="4"/>
      <c r="L80" s="4"/>
      <c r="M80" s="4"/>
      <c r="N80" s="4"/>
      <c r="O80" s="4"/>
      <c r="P80" s="4"/>
      <c r="Q80" s="4"/>
      <c r="R80" s="4"/>
      <c r="S80" s="4"/>
      <c r="T80" s="4"/>
      <c r="U80" s="4"/>
    </row>
    <row r="81" ht="15.75" customHeight="1">
      <c r="A81" s="4"/>
      <c r="B81" s="4"/>
      <c r="C81" s="4"/>
      <c r="D81" s="4"/>
      <c r="E81" s="4"/>
      <c r="F81" s="4"/>
      <c r="G81" s="4"/>
      <c r="H81" s="4"/>
      <c r="I81" s="4"/>
      <c r="J81" s="4"/>
      <c r="K81" s="4"/>
      <c r="L81" s="4"/>
      <c r="M81" s="4"/>
      <c r="N81" s="4"/>
      <c r="O81" s="4"/>
      <c r="P81" s="4"/>
      <c r="Q81" s="4"/>
      <c r="R81" s="4"/>
      <c r="S81" s="4"/>
      <c r="T81" s="4"/>
      <c r="U81" s="4"/>
    </row>
    <row r="82" ht="15.75" customHeight="1">
      <c r="A82" s="4"/>
      <c r="B82" s="4"/>
      <c r="C82" s="4"/>
      <c r="D82" s="4"/>
      <c r="E82" s="4"/>
      <c r="F82" s="4"/>
      <c r="G82" s="4"/>
      <c r="H82" s="4"/>
      <c r="I82" s="4"/>
      <c r="J82" s="4"/>
      <c r="K82" s="4"/>
      <c r="L82" s="4"/>
      <c r="M82" s="4"/>
      <c r="N82" s="4"/>
      <c r="O82" s="4"/>
      <c r="P82" s="4"/>
      <c r="Q82" s="4"/>
      <c r="R82" s="4"/>
      <c r="S82" s="4"/>
      <c r="T82" s="4"/>
      <c r="U82" s="4"/>
    </row>
    <row r="83" ht="15.75" customHeight="1">
      <c r="A83" s="4"/>
      <c r="B83" s="4"/>
      <c r="C83" s="4"/>
      <c r="D83" s="4"/>
      <c r="E83" s="4"/>
      <c r="F83" s="4"/>
      <c r="G83" s="4"/>
      <c r="H83" s="4"/>
      <c r="I83" s="4"/>
      <c r="J83" s="4"/>
      <c r="K83" s="4"/>
      <c r="L83" s="4"/>
      <c r="M83" s="4"/>
      <c r="N83" s="4"/>
      <c r="O83" s="4"/>
      <c r="P83" s="4"/>
      <c r="Q83" s="4"/>
      <c r="R83" s="4"/>
      <c r="S83" s="4"/>
      <c r="T83" s="4"/>
      <c r="U83" s="4"/>
    </row>
    <row r="84" ht="15.75" customHeight="1">
      <c r="A84" s="4"/>
      <c r="B84" s="4"/>
      <c r="C84" s="4"/>
      <c r="D84" s="4"/>
      <c r="E84" s="4"/>
      <c r="F84" s="4"/>
      <c r="G84" s="4"/>
      <c r="H84" s="4"/>
      <c r="I84" s="4"/>
      <c r="J84" s="4"/>
      <c r="K84" s="4"/>
      <c r="L84" s="4"/>
      <c r="M84" s="4"/>
      <c r="N84" s="4"/>
      <c r="O84" s="4"/>
      <c r="P84" s="4"/>
      <c r="Q84" s="4"/>
      <c r="R84" s="4"/>
      <c r="S84" s="4"/>
      <c r="T84" s="4"/>
      <c r="U84" s="4"/>
    </row>
    <row r="85" ht="15.75" customHeight="1">
      <c r="A85" s="4"/>
      <c r="B85" s="4"/>
      <c r="C85" s="4"/>
      <c r="D85" s="4"/>
      <c r="E85" s="4"/>
      <c r="F85" s="4"/>
      <c r="G85" s="4"/>
      <c r="H85" s="4"/>
      <c r="I85" s="4"/>
      <c r="J85" s="4"/>
      <c r="K85" s="4"/>
      <c r="L85" s="4"/>
      <c r="M85" s="4"/>
      <c r="N85" s="4"/>
      <c r="O85" s="4"/>
      <c r="P85" s="4"/>
      <c r="Q85" s="4"/>
      <c r="R85" s="4"/>
      <c r="S85" s="4"/>
      <c r="T85" s="4"/>
      <c r="U85" s="4"/>
    </row>
    <row r="86" ht="15.75" customHeight="1">
      <c r="A86" s="4"/>
      <c r="B86" s="4"/>
      <c r="C86" s="4"/>
      <c r="D86" s="4"/>
      <c r="E86" s="4"/>
      <c r="F86" s="4"/>
      <c r="G86" s="4"/>
      <c r="H86" s="4"/>
      <c r="I86" s="4"/>
      <c r="J86" s="4"/>
      <c r="K86" s="4"/>
      <c r="L86" s="4"/>
      <c r="M86" s="4"/>
      <c r="N86" s="4"/>
      <c r="O86" s="4"/>
      <c r="P86" s="4"/>
      <c r="Q86" s="4"/>
      <c r="R86" s="4"/>
      <c r="S86" s="4"/>
      <c r="T86" s="4"/>
      <c r="U86" s="4"/>
    </row>
    <row r="87" ht="15.75" customHeight="1">
      <c r="A87" s="4"/>
      <c r="B87" s="4"/>
      <c r="C87" s="4"/>
      <c r="D87" s="4"/>
      <c r="E87" s="4"/>
      <c r="F87" s="4"/>
      <c r="G87" s="4"/>
      <c r="H87" s="4"/>
      <c r="I87" s="4"/>
      <c r="J87" s="4"/>
      <c r="K87" s="4"/>
      <c r="L87" s="4"/>
      <c r="M87" s="4"/>
      <c r="N87" s="4"/>
      <c r="O87" s="4"/>
      <c r="P87" s="4"/>
      <c r="Q87" s="4"/>
      <c r="R87" s="4"/>
      <c r="S87" s="4"/>
      <c r="T87" s="4"/>
      <c r="U87" s="4"/>
    </row>
    <row r="88" ht="15.75" customHeight="1">
      <c r="A88" s="4"/>
      <c r="B88" s="4"/>
      <c r="C88" s="4"/>
      <c r="D88" s="4"/>
      <c r="E88" s="4"/>
      <c r="F88" s="4"/>
      <c r="G88" s="4"/>
      <c r="H88" s="4"/>
      <c r="I88" s="4"/>
      <c r="J88" s="4"/>
      <c r="K88" s="4"/>
      <c r="L88" s="4"/>
      <c r="M88" s="4"/>
      <c r="N88" s="4"/>
      <c r="O88" s="4"/>
      <c r="P88" s="4"/>
      <c r="Q88" s="4"/>
      <c r="R88" s="4"/>
      <c r="S88" s="4"/>
      <c r="T88" s="4"/>
      <c r="U88" s="4"/>
    </row>
    <row r="89" ht="15.75" customHeight="1">
      <c r="A89" s="4"/>
      <c r="B89" s="4"/>
      <c r="C89" s="4"/>
      <c r="D89" s="4"/>
      <c r="E89" s="4"/>
      <c r="F89" s="4"/>
      <c r="G89" s="4"/>
      <c r="H89" s="4"/>
      <c r="I89" s="4"/>
      <c r="J89" s="4"/>
      <c r="K89" s="4"/>
      <c r="L89" s="4"/>
      <c r="M89" s="4"/>
      <c r="N89" s="4"/>
      <c r="O89" s="4"/>
      <c r="P89" s="4"/>
      <c r="Q89" s="4"/>
      <c r="R89" s="4"/>
      <c r="S89" s="4"/>
      <c r="T89" s="4"/>
      <c r="U89" s="4"/>
    </row>
    <row r="90" ht="15.75" customHeight="1">
      <c r="A90" s="4"/>
      <c r="B90" s="4"/>
      <c r="C90" s="4"/>
      <c r="D90" s="4"/>
      <c r="E90" s="4"/>
      <c r="F90" s="4"/>
      <c r="G90" s="4"/>
      <c r="H90" s="4"/>
      <c r="I90" s="4"/>
      <c r="J90" s="4"/>
      <c r="K90" s="4"/>
      <c r="L90" s="4"/>
      <c r="M90" s="4"/>
      <c r="N90" s="4"/>
      <c r="O90" s="4"/>
      <c r="P90" s="4"/>
      <c r="Q90" s="4"/>
      <c r="R90" s="4"/>
      <c r="S90" s="4"/>
      <c r="T90" s="4"/>
      <c r="U90" s="4"/>
    </row>
    <row r="91" ht="15.75" customHeight="1">
      <c r="A91" s="4"/>
      <c r="B91" s="4"/>
      <c r="C91" s="4"/>
      <c r="D91" s="4"/>
      <c r="E91" s="4"/>
      <c r="F91" s="4"/>
      <c r="G91" s="4"/>
      <c r="H91" s="4"/>
      <c r="I91" s="4"/>
      <c r="J91" s="4"/>
      <c r="K91" s="4"/>
      <c r="L91" s="4"/>
      <c r="M91" s="4"/>
      <c r="N91" s="4"/>
      <c r="O91" s="4"/>
      <c r="P91" s="4"/>
      <c r="Q91" s="4"/>
      <c r="R91" s="4"/>
      <c r="S91" s="4"/>
      <c r="T91" s="4"/>
      <c r="U91" s="4"/>
    </row>
    <row r="92" ht="15.75" customHeight="1">
      <c r="A92" s="4"/>
      <c r="B92" s="4"/>
      <c r="C92" s="4"/>
      <c r="D92" s="4"/>
      <c r="E92" s="4"/>
      <c r="F92" s="4"/>
      <c r="G92" s="4"/>
      <c r="H92" s="4"/>
      <c r="I92" s="4"/>
      <c r="J92" s="4"/>
      <c r="K92" s="4"/>
      <c r="L92" s="4"/>
      <c r="M92" s="4"/>
      <c r="N92" s="4"/>
      <c r="O92" s="4"/>
      <c r="P92" s="4"/>
      <c r="Q92" s="4"/>
      <c r="R92" s="4"/>
      <c r="S92" s="4"/>
      <c r="T92" s="4"/>
      <c r="U92" s="4"/>
    </row>
    <row r="93" ht="15.75" customHeight="1">
      <c r="A93" s="4"/>
      <c r="B93" s="4"/>
      <c r="C93" s="4"/>
      <c r="D93" s="4"/>
      <c r="E93" s="4"/>
      <c r="F93" s="4"/>
      <c r="G93" s="4"/>
      <c r="H93" s="4"/>
      <c r="I93" s="4"/>
      <c r="J93" s="4"/>
      <c r="K93" s="4"/>
      <c r="L93" s="4"/>
      <c r="M93" s="4"/>
      <c r="N93" s="4"/>
      <c r="O93" s="4"/>
      <c r="P93" s="4"/>
      <c r="Q93" s="4"/>
      <c r="R93" s="4"/>
      <c r="S93" s="4"/>
      <c r="T93" s="4"/>
      <c r="U93" s="4"/>
    </row>
    <row r="94" ht="15.75" customHeight="1">
      <c r="A94" s="4"/>
      <c r="B94" s="4"/>
      <c r="C94" s="4"/>
      <c r="D94" s="4"/>
      <c r="E94" s="4"/>
      <c r="F94" s="4"/>
      <c r="G94" s="4"/>
      <c r="H94" s="4"/>
      <c r="I94" s="4"/>
      <c r="J94" s="4"/>
      <c r="K94" s="4"/>
      <c r="L94" s="4"/>
      <c r="M94" s="4"/>
      <c r="N94" s="4"/>
      <c r="O94" s="4"/>
      <c r="P94" s="4"/>
      <c r="Q94" s="4"/>
      <c r="R94" s="4"/>
      <c r="S94" s="4"/>
      <c r="T94" s="4"/>
      <c r="U94" s="4"/>
    </row>
    <row r="95" ht="15.75" customHeight="1">
      <c r="A95" s="4"/>
      <c r="B95" s="4"/>
      <c r="C95" s="4"/>
      <c r="D95" s="4"/>
      <c r="E95" s="4"/>
      <c r="F95" s="4"/>
      <c r="G95" s="4"/>
      <c r="H95" s="4"/>
      <c r="I95" s="4"/>
      <c r="J95" s="4"/>
      <c r="K95" s="4"/>
      <c r="L95" s="4"/>
      <c r="M95" s="4"/>
      <c r="N95" s="4"/>
      <c r="O95" s="4"/>
      <c r="P95" s="4"/>
      <c r="Q95" s="4"/>
      <c r="R95" s="4"/>
      <c r="S95" s="4"/>
      <c r="T95" s="4"/>
      <c r="U95" s="4"/>
    </row>
    <row r="96" ht="15.75" customHeight="1">
      <c r="A96" s="4"/>
      <c r="B96" s="4"/>
      <c r="C96" s="4"/>
      <c r="D96" s="4"/>
      <c r="E96" s="4"/>
      <c r="F96" s="4"/>
      <c r="G96" s="4"/>
      <c r="H96" s="4"/>
      <c r="I96" s="4"/>
      <c r="J96" s="4"/>
      <c r="K96" s="4"/>
      <c r="L96" s="4"/>
      <c r="M96" s="4"/>
      <c r="N96" s="4"/>
      <c r="O96" s="4"/>
      <c r="P96" s="4"/>
      <c r="Q96" s="4"/>
      <c r="R96" s="4"/>
      <c r="S96" s="4"/>
      <c r="T96" s="4"/>
      <c r="U96" s="4"/>
    </row>
    <row r="97" ht="15.75" customHeight="1">
      <c r="A97" s="4"/>
      <c r="B97" s="4"/>
      <c r="C97" s="4"/>
      <c r="D97" s="4"/>
      <c r="E97" s="4"/>
      <c r="F97" s="4"/>
      <c r="G97" s="4"/>
      <c r="H97" s="4"/>
      <c r="I97" s="4"/>
      <c r="J97" s="4"/>
      <c r="K97" s="4"/>
      <c r="L97" s="4"/>
      <c r="M97" s="4"/>
      <c r="N97" s="4"/>
      <c r="O97" s="4"/>
      <c r="P97" s="4"/>
      <c r="Q97" s="4"/>
      <c r="R97" s="4"/>
      <c r="S97" s="4"/>
      <c r="T97" s="4"/>
      <c r="U97" s="4"/>
    </row>
    <row r="98" ht="15.75" customHeight="1">
      <c r="A98" s="4"/>
      <c r="B98" s="4"/>
      <c r="C98" s="4"/>
      <c r="D98" s="4"/>
      <c r="E98" s="4"/>
      <c r="F98" s="4"/>
      <c r="G98" s="4"/>
      <c r="H98" s="4"/>
      <c r="I98" s="4"/>
      <c r="J98" s="4"/>
      <c r="K98" s="4"/>
      <c r="L98" s="4"/>
      <c r="M98" s="4"/>
      <c r="N98" s="4"/>
      <c r="O98" s="4"/>
      <c r="P98" s="4"/>
      <c r="Q98" s="4"/>
      <c r="R98" s="4"/>
      <c r="S98" s="4"/>
      <c r="T98" s="4"/>
      <c r="U98" s="4"/>
    </row>
    <row r="99" ht="15.75" customHeight="1">
      <c r="A99" s="4"/>
      <c r="B99" s="4"/>
      <c r="C99" s="4"/>
      <c r="D99" s="4"/>
      <c r="E99" s="4"/>
      <c r="F99" s="4"/>
      <c r="G99" s="4"/>
      <c r="H99" s="4"/>
      <c r="I99" s="4"/>
      <c r="J99" s="4"/>
      <c r="K99" s="4"/>
      <c r="L99" s="4"/>
      <c r="M99" s="4"/>
      <c r="N99" s="4"/>
      <c r="O99" s="4"/>
      <c r="P99" s="4"/>
      <c r="Q99" s="4"/>
      <c r="R99" s="4"/>
      <c r="S99" s="4"/>
      <c r="T99" s="4"/>
      <c r="U99" s="4"/>
    </row>
    <row r="100" ht="15.75" customHeight="1">
      <c r="A100" s="4"/>
      <c r="B100" s="4"/>
      <c r="C100" s="4"/>
      <c r="D100" s="4"/>
      <c r="E100" s="4"/>
      <c r="F100" s="4"/>
      <c r="G100" s="4"/>
      <c r="H100" s="4"/>
      <c r="I100" s="4"/>
      <c r="J100" s="4"/>
      <c r="K100" s="4"/>
      <c r="L100" s="4"/>
      <c r="M100" s="4"/>
      <c r="N100" s="4"/>
      <c r="O100" s="4"/>
      <c r="P100" s="4"/>
      <c r="Q100" s="4"/>
      <c r="R100" s="4"/>
      <c r="S100" s="4"/>
      <c r="T100" s="4"/>
      <c r="U100" s="4"/>
    </row>
    <row r="101" ht="15.75" customHeight="1">
      <c r="A101" s="4"/>
      <c r="B101" s="4"/>
      <c r="C101" s="4"/>
      <c r="D101" s="4"/>
      <c r="E101" s="4"/>
      <c r="F101" s="4"/>
      <c r="G101" s="4"/>
      <c r="H101" s="4"/>
      <c r="I101" s="4"/>
      <c r="J101" s="4"/>
      <c r="K101" s="4"/>
      <c r="L101" s="4"/>
      <c r="M101" s="4"/>
      <c r="N101" s="4"/>
      <c r="O101" s="4"/>
      <c r="P101" s="4"/>
      <c r="Q101" s="4"/>
      <c r="R101" s="4"/>
      <c r="S101" s="4"/>
      <c r="T101" s="4"/>
      <c r="U101" s="4"/>
    </row>
    <row r="102" ht="15.75" customHeight="1">
      <c r="A102" s="4"/>
      <c r="B102" s="4"/>
      <c r="C102" s="4"/>
      <c r="D102" s="4"/>
      <c r="E102" s="4"/>
      <c r="F102" s="4"/>
      <c r="G102" s="4"/>
      <c r="H102" s="4"/>
      <c r="I102" s="4"/>
      <c r="J102" s="4"/>
      <c r="K102" s="4"/>
      <c r="L102" s="4"/>
      <c r="M102" s="4"/>
      <c r="N102" s="4"/>
      <c r="O102" s="4"/>
      <c r="P102" s="4"/>
      <c r="Q102" s="4"/>
      <c r="R102" s="4"/>
      <c r="S102" s="4"/>
      <c r="T102" s="4"/>
      <c r="U102" s="4"/>
    </row>
    <row r="103" ht="15.75" customHeight="1">
      <c r="A103" s="4"/>
      <c r="B103" s="4"/>
      <c r="C103" s="4"/>
      <c r="D103" s="4"/>
      <c r="E103" s="4"/>
      <c r="F103" s="4"/>
      <c r="G103" s="4"/>
      <c r="H103" s="4"/>
      <c r="I103" s="4"/>
      <c r="J103" s="4"/>
      <c r="K103" s="4"/>
      <c r="L103" s="4"/>
      <c r="M103" s="4"/>
      <c r="N103" s="4"/>
      <c r="O103" s="4"/>
      <c r="P103" s="4"/>
      <c r="Q103" s="4"/>
      <c r="R103" s="4"/>
      <c r="S103" s="4"/>
      <c r="T103" s="4"/>
      <c r="U103" s="4"/>
    </row>
    <row r="104" ht="15.75" customHeight="1">
      <c r="A104" s="4"/>
      <c r="B104" s="4"/>
      <c r="C104" s="4"/>
      <c r="D104" s="4"/>
      <c r="E104" s="4"/>
      <c r="F104" s="4"/>
      <c r="G104" s="4"/>
      <c r="H104" s="4"/>
      <c r="I104" s="4"/>
      <c r="J104" s="4"/>
      <c r="K104" s="4"/>
      <c r="L104" s="4"/>
      <c r="M104" s="4"/>
      <c r="N104" s="4"/>
      <c r="O104" s="4"/>
      <c r="P104" s="4"/>
      <c r="Q104" s="4"/>
      <c r="R104" s="4"/>
      <c r="S104" s="4"/>
      <c r="T104" s="4"/>
      <c r="U104" s="4"/>
    </row>
    <row r="105" ht="15.75" customHeight="1">
      <c r="A105" s="4"/>
      <c r="B105" s="4"/>
      <c r="C105" s="4"/>
      <c r="D105" s="4"/>
      <c r="E105" s="4"/>
      <c r="F105" s="4"/>
      <c r="G105" s="4"/>
      <c r="H105" s="4"/>
      <c r="I105" s="4"/>
      <c r="J105" s="4"/>
      <c r="K105" s="4"/>
      <c r="L105" s="4"/>
      <c r="M105" s="4"/>
      <c r="N105" s="4"/>
      <c r="O105" s="4"/>
      <c r="P105" s="4"/>
      <c r="Q105" s="4"/>
      <c r="R105" s="4"/>
      <c r="S105" s="4"/>
      <c r="T105" s="4"/>
      <c r="U105" s="4"/>
    </row>
    <row r="106" ht="15.75" customHeight="1">
      <c r="A106" s="4"/>
      <c r="B106" s="4"/>
      <c r="C106" s="4"/>
      <c r="D106" s="4"/>
      <c r="E106" s="4"/>
      <c r="F106" s="4"/>
      <c r="G106" s="4"/>
      <c r="H106" s="4"/>
      <c r="I106" s="4"/>
      <c r="J106" s="4"/>
      <c r="K106" s="4"/>
      <c r="L106" s="4"/>
      <c r="M106" s="4"/>
      <c r="N106" s="4"/>
      <c r="O106" s="4"/>
      <c r="P106" s="4"/>
      <c r="Q106" s="4"/>
      <c r="R106" s="4"/>
      <c r="S106" s="4"/>
      <c r="T106" s="4"/>
      <c r="U106" s="4"/>
    </row>
    <row r="107" ht="15.75" customHeight="1">
      <c r="A107" s="4"/>
      <c r="B107" s="4"/>
      <c r="C107" s="4"/>
      <c r="D107" s="4"/>
      <c r="E107" s="4"/>
      <c r="F107" s="4"/>
      <c r="G107" s="4"/>
      <c r="H107" s="4"/>
      <c r="I107" s="4"/>
      <c r="J107" s="4"/>
      <c r="K107" s="4"/>
      <c r="L107" s="4"/>
      <c r="M107" s="4"/>
      <c r="N107" s="4"/>
      <c r="O107" s="4"/>
      <c r="P107" s="4"/>
      <c r="Q107" s="4"/>
      <c r="R107" s="4"/>
      <c r="S107" s="4"/>
      <c r="T107" s="4"/>
      <c r="U107" s="4"/>
    </row>
    <row r="108" ht="15.75" customHeight="1">
      <c r="A108" s="4"/>
      <c r="B108" s="4"/>
      <c r="C108" s="4"/>
      <c r="D108" s="4"/>
      <c r="E108" s="4"/>
      <c r="F108" s="4"/>
      <c r="G108" s="4"/>
      <c r="H108" s="4"/>
      <c r="I108" s="4"/>
      <c r="J108" s="4"/>
      <c r="K108" s="4"/>
      <c r="L108" s="4"/>
      <c r="M108" s="4"/>
      <c r="N108" s="4"/>
      <c r="O108" s="4"/>
      <c r="P108" s="4"/>
      <c r="Q108" s="4"/>
      <c r="R108" s="4"/>
      <c r="S108" s="4"/>
      <c r="T108" s="4"/>
      <c r="U108" s="4"/>
    </row>
    <row r="109" ht="15.75" customHeight="1">
      <c r="A109" s="4"/>
      <c r="B109" s="4"/>
      <c r="C109" s="4"/>
      <c r="D109" s="4"/>
      <c r="E109" s="4"/>
      <c r="F109" s="4"/>
      <c r="G109" s="4"/>
      <c r="H109" s="4"/>
      <c r="I109" s="4"/>
      <c r="J109" s="4"/>
      <c r="K109" s="4"/>
      <c r="L109" s="4"/>
      <c r="M109" s="4"/>
      <c r="N109" s="4"/>
      <c r="O109" s="4"/>
      <c r="P109" s="4"/>
      <c r="Q109" s="4"/>
      <c r="R109" s="4"/>
      <c r="S109" s="4"/>
      <c r="T109" s="4"/>
      <c r="U109" s="4"/>
    </row>
    <row r="110" ht="15.75" customHeight="1">
      <c r="A110" s="4"/>
      <c r="B110" s="4"/>
      <c r="C110" s="4"/>
      <c r="D110" s="4"/>
      <c r="E110" s="4"/>
      <c r="F110" s="4"/>
      <c r="G110" s="4"/>
      <c r="H110" s="4"/>
      <c r="I110" s="4"/>
      <c r="J110" s="4"/>
      <c r="K110" s="4"/>
      <c r="L110" s="4"/>
      <c r="M110" s="4"/>
      <c r="N110" s="4"/>
      <c r="O110" s="4"/>
      <c r="P110" s="4"/>
      <c r="Q110" s="4"/>
      <c r="R110" s="4"/>
      <c r="S110" s="4"/>
      <c r="T110" s="4"/>
      <c r="U110" s="4"/>
    </row>
    <row r="111" ht="15.75" customHeight="1">
      <c r="A111" s="4"/>
      <c r="B111" s="4"/>
      <c r="C111" s="4"/>
      <c r="D111" s="4"/>
      <c r="E111" s="4"/>
      <c r="F111" s="4"/>
      <c r="G111" s="4"/>
      <c r="H111" s="4"/>
      <c r="I111" s="4"/>
      <c r="J111" s="4"/>
      <c r="K111" s="4"/>
      <c r="L111" s="4"/>
      <c r="M111" s="4"/>
      <c r="N111" s="4"/>
      <c r="O111" s="4"/>
      <c r="P111" s="4"/>
      <c r="Q111" s="4"/>
      <c r="R111" s="4"/>
      <c r="S111" s="4"/>
      <c r="T111" s="4"/>
      <c r="U111" s="4"/>
    </row>
    <row r="112" ht="15.75" customHeight="1">
      <c r="A112" s="4"/>
      <c r="B112" s="4"/>
      <c r="C112" s="4"/>
      <c r="D112" s="4"/>
      <c r="E112" s="4"/>
      <c r="F112" s="4"/>
      <c r="G112" s="4"/>
      <c r="H112" s="4"/>
      <c r="I112" s="4"/>
      <c r="J112" s="4"/>
      <c r="K112" s="4"/>
      <c r="L112" s="4"/>
      <c r="M112" s="4"/>
      <c r="N112" s="4"/>
      <c r="O112" s="4"/>
      <c r="P112" s="4"/>
      <c r="Q112" s="4"/>
      <c r="R112" s="4"/>
      <c r="S112" s="4"/>
      <c r="T112" s="4"/>
      <c r="U112" s="4"/>
    </row>
    <row r="113" ht="15.75" customHeight="1">
      <c r="A113" s="4"/>
      <c r="B113" s="4"/>
      <c r="C113" s="4"/>
      <c r="D113" s="4"/>
      <c r="E113" s="4"/>
      <c r="F113" s="4"/>
      <c r="G113" s="4"/>
      <c r="H113" s="4"/>
      <c r="I113" s="4"/>
      <c r="J113" s="4"/>
      <c r="K113" s="4"/>
      <c r="L113" s="4"/>
      <c r="M113" s="4"/>
      <c r="N113" s="4"/>
      <c r="O113" s="4"/>
      <c r="P113" s="4"/>
      <c r="Q113" s="4"/>
      <c r="R113" s="4"/>
      <c r="S113" s="4"/>
      <c r="T113" s="4"/>
      <c r="U113" s="4"/>
    </row>
    <row r="114" ht="15.75" customHeight="1">
      <c r="A114" s="4"/>
      <c r="B114" s="4"/>
      <c r="C114" s="4"/>
      <c r="D114" s="4"/>
      <c r="E114" s="4"/>
      <c r="F114" s="4"/>
      <c r="G114" s="4"/>
      <c r="H114" s="4"/>
      <c r="I114" s="4"/>
      <c r="J114" s="4"/>
      <c r="K114" s="4"/>
      <c r="L114" s="4"/>
      <c r="M114" s="4"/>
      <c r="N114" s="4"/>
      <c r="O114" s="4"/>
      <c r="P114" s="4"/>
      <c r="Q114" s="4"/>
      <c r="R114" s="4"/>
      <c r="S114" s="4"/>
      <c r="T114" s="4"/>
      <c r="U114" s="4"/>
    </row>
    <row r="115" ht="15.75" customHeight="1">
      <c r="A115" s="4"/>
      <c r="B115" s="4"/>
      <c r="C115" s="4"/>
      <c r="D115" s="4"/>
      <c r="E115" s="4"/>
      <c r="F115" s="4"/>
      <c r="G115" s="4"/>
      <c r="H115" s="4"/>
      <c r="I115" s="4"/>
      <c r="J115" s="4"/>
      <c r="K115" s="4"/>
      <c r="L115" s="4"/>
      <c r="M115" s="4"/>
      <c r="N115" s="4"/>
      <c r="O115" s="4"/>
      <c r="P115" s="4"/>
      <c r="Q115" s="4"/>
      <c r="R115" s="4"/>
      <c r="S115" s="4"/>
      <c r="T115" s="4"/>
      <c r="U115" s="4"/>
    </row>
    <row r="116" ht="15.75" customHeight="1">
      <c r="A116" s="4"/>
      <c r="B116" s="4"/>
      <c r="C116" s="4"/>
      <c r="D116" s="4"/>
      <c r="E116" s="4"/>
      <c r="F116" s="4"/>
      <c r="G116" s="4"/>
      <c r="H116" s="4"/>
      <c r="I116" s="4"/>
      <c r="J116" s="4"/>
      <c r="K116" s="4"/>
      <c r="L116" s="4"/>
      <c r="M116" s="4"/>
      <c r="N116" s="4"/>
      <c r="O116" s="4"/>
      <c r="P116" s="4"/>
      <c r="Q116" s="4"/>
      <c r="R116" s="4"/>
      <c r="S116" s="4"/>
      <c r="T116" s="4"/>
      <c r="U116" s="4"/>
    </row>
    <row r="117" ht="15.75" customHeight="1">
      <c r="A117" s="4"/>
      <c r="B117" s="4"/>
      <c r="C117" s="4"/>
      <c r="D117" s="4"/>
      <c r="E117" s="4"/>
      <c r="F117" s="4"/>
      <c r="G117" s="4"/>
      <c r="H117" s="4"/>
      <c r="I117" s="4"/>
      <c r="J117" s="4"/>
      <c r="K117" s="4"/>
      <c r="L117" s="4"/>
      <c r="M117" s="4"/>
      <c r="N117" s="4"/>
      <c r="O117" s="4"/>
      <c r="P117" s="4"/>
      <c r="Q117" s="4"/>
      <c r="R117" s="4"/>
      <c r="S117" s="4"/>
      <c r="T117" s="4"/>
      <c r="U117" s="4"/>
    </row>
    <row r="118" ht="15.75" customHeight="1">
      <c r="A118" s="4"/>
      <c r="B118" s="4"/>
      <c r="C118" s="4"/>
      <c r="D118" s="4"/>
      <c r="E118" s="4"/>
      <c r="F118" s="4"/>
      <c r="G118" s="4"/>
      <c r="H118" s="4"/>
      <c r="I118" s="4"/>
      <c r="J118" s="4"/>
      <c r="K118" s="4"/>
      <c r="L118" s="4"/>
      <c r="M118" s="4"/>
      <c r="N118" s="4"/>
      <c r="O118" s="4"/>
      <c r="P118" s="4"/>
      <c r="Q118" s="4"/>
      <c r="R118" s="4"/>
      <c r="S118" s="4"/>
      <c r="T118" s="4"/>
      <c r="U118" s="4"/>
    </row>
    <row r="119" ht="15.75" customHeight="1">
      <c r="A119" s="4"/>
      <c r="B119" s="4"/>
      <c r="C119" s="4"/>
      <c r="D119" s="4"/>
      <c r="E119" s="4"/>
      <c r="F119" s="4"/>
      <c r="G119" s="4"/>
      <c r="H119" s="4"/>
      <c r="I119" s="4"/>
      <c r="J119" s="4"/>
      <c r="K119" s="4"/>
      <c r="L119" s="4"/>
      <c r="M119" s="4"/>
      <c r="N119" s="4"/>
      <c r="O119" s="4"/>
      <c r="P119" s="4"/>
      <c r="Q119" s="4"/>
      <c r="R119" s="4"/>
      <c r="S119" s="4"/>
      <c r="T119" s="4"/>
      <c r="U119" s="4"/>
    </row>
    <row r="120" ht="15.75" customHeight="1">
      <c r="A120" s="4"/>
      <c r="B120" s="4"/>
      <c r="C120" s="4"/>
      <c r="D120" s="4"/>
      <c r="E120" s="4"/>
      <c r="F120" s="4"/>
      <c r="G120" s="4"/>
      <c r="H120" s="4"/>
      <c r="I120" s="4"/>
      <c r="J120" s="4"/>
      <c r="K120" s="4"/>
      <c r="L120" s="4"/>
      <c r="M120" s="4"/>
      <c r="N120" s="4"/>
      <c r="O120" s="4"/>
      <c r="P120" s="4"/>
      <c r="Q120" s="4"/>
      <c r="R120" s="4"/>
      <c r="S120" s="4"/>
      <c r="T120" s="4"/>
      <c r="U120" s="4"/>
    </row>
    <row r="121" ht="15.75" customHeight="1">
      <c r="A121" s="4"/>
      <c r="B121" s="4"/>
      <c r="C121" s="4"/>
      <c r="D121" s="4"/>
      <c r="E121" s="4"/>
      <c r="F121" s="4"/>
      <c r="G121" s="4"/>
      <c r="H121" s="4"/>
      <c r="I121" s="4"/>
      <c r="J121" s="4"/>
      <c r="K121" s="4"/>
      <c r="L121" s="4"/>
      <c r="M121" s="4"/>
      <c r="N121" s="4"/>
      <c r="O121" s="4"/>
      <c r="P121" s="4"/>
      <c r="Q121" s="4"/>
      <c r="R121" s="4"/>
      <c r="S121" s="4"/>
      <c r="T121" s="4"/>
      <c r="U121" s="4"/>
    </row>
    <row r="122" ht="15.75" customHeight="1">
      <c r="A122" s="4"/>
      <c r="B122" s="4"/>
      <c r="C122" s="4"/>
      <c r="D122" s="4"/>
      <c r="E122" s="4"/>
      <c r="F122" s="4"/>
      <c r="G122" s="4"/>
      <c r="H122" s="4"/>
      <c r="I122" s="4"/>
      <c r="J122" s="4"/>
      <c r="K122" s="4"/>
      <c r="L122" s="4"/>
      <c r="M122" s="4"/>
      <c r="N122" s="4"/>
      <c r="O122" s="4"/>
      <c r="P122" s="4"/>
      <c r="Q122" s="4"/>
      <c r="R122" s="4"/>
      <c r="S122" s="4"/>
      <c r="T122" s="4"/>
      <c r="U122" s="4"/>
    </row>
    <row r="123" ht="15.75" customHeight="1">
      <c r="A123" s="4"/>
      <c r="B123" s="4"/>
      <c r="C123" s="4"/>
      <c r="D123" s="4"/>
      <c r="E123" s="4"/>
      <c r="F123" s="4"/>
      <c r="G123" s="4"/>
      <c r="H123" s="4"/>
      <c r="I123" s="4"/>
      <c r="J123" s="4"/>
      <c r="K123" s="4"/>
      <c r="L123" s="4"/>
      <c r="M123" s="4"/>
      <c r="N123" s="4"/>
      <c r="O123" s="4"/>
      <c r="P123" s="4"/>
      <c r="Q123" s="4"/>
      <c r="R123" s="4"/>
      <c r="S123" s="4"/>
      <c r="T123" s="4"/>
      <c r="U123" s="4"/>
    </row>
    <row r="124" ht="15.75" customHeight="1">
      <c r="A124" s="4"/>
      <c r="B124" s="4"/>
      <c r="C124" s="4"/>
      <c r="D124" s="4"/>
      <c r="E124" s="4"/>
      <c r="F124" s="4"/>
      <c r="G124" s="4"/>
      <c r="H124" s="4"/>
      <c r="I124" s="4"/>
      <c r="J124" s="4"/>
      <c r="K124" s="4"/>
      <c r="L124" s="4"/>
      <c r="M124" s="4"/>
      <c r="N124" s="4"/>
      <c r="O124" s="4"/>
      <c r="P124" s="4"/>
      <c r="Q124" s="4"/>
      <c r="R124" s="4"/>
      <c r="S124" s="4"/>
      <c r="T124" s="4"/>
      <c r="U124" s="4"/>
    </row>
    <row r="125" ht="15.75" customHeight="1">
      <c r="A125" s="4"/>
      <c r="B125" s="4"/>
      <c r="C125" s="4"/>
      <c r="D125" s="4"/>
      <c r="E125" s="4"/>
      <c r="F125" s="4"/>
      <c r="G125" s="4"/>
      <c r="H125" s="4"/>
      <c r="I125" s="4"/>
      <c r="J125" s="4"/>
      <c r="K125" s="4"/>
      <c r="L125" s="4"/>
      <c r="M125" s="4"/>
      <c r="N125" s="4"/>
      <c r="O125" s="4"/>
      <c r="P125" s="4"/>
      <c r="Q125" s="4"/>
      <c r="R125" s="4"/>
      <c r="S125" s="4"/>
      <c r="T125" s="4"/>
      <c r="U125" s="4"/>
    </row>
    <row r="126" ht="15.75" customHeight="1">
      <c r="A126" s="4"/>
      <c r="B126" s="4"/>
      <c r="C126" s="4"/>
      <c r="D126" s="4"/>
      <c r="E126" s="4"/>
      <c r="F126" s="4"/>
      <c r="G126" s="4"/>
      <c r="H126" s="4"/>
      <c r="I126" s="4"/>
      <c r="J126" s="4"/>
      <c r="K126" s="4"/>
      <c r="L126" s="4"/>
      <c r="M126" s="4"/>
      <c r="N126" s="4"/>
      <c r="O126" s="4"/>
      <c r="P126" s="4"/>
      <c r="Q126" s="4"/>
      <c r="R126" s="4"/>
      <c r="S126" s="4"/>
      <c r="T126" s="4"/>
      <c r="U126" s="4"/>
    </row>
    <row r="127" ht="15.75" customHeight="1">
      <c r="A127" s="4"/>
      <c r="B127" s="4"/>
      <c r="C127" s="4"/>
      <c r="D127" s="4"/>
      <c r="E127" s="4"/>
      <c r="F127" s="4"/>
      <c r="G127" s="4"/>
      <c r="H127" s="4"/>
      <c r="I127" s="4"/>
      <c r="J127" s="4"/>
      <c r="K127" s="4"/>
      <c r="L127" s="4"/>
      <c r="M127" s="4"/>
      <c r="N127" s="4"/>
      <c r="O127" s="4"/>
      <c r="P127" s="4"/>
      <c r="Q127" s="4"/>
      <c r="R127" s="4"/>
      <c r="S127" s="4"/>
      <c r="T127" s="4"/>
      <c r="U127" s="4"/>
    </row>
    <row r="128" ht="15.75" customHeight="1">
      <c r="A128" s="4"/>
      <c r="B128" s="4"/>
      <c r="C128" s="4"/>
      <c r="D128" s="4"/>
      <c r="E128" s="4"/>
      <c r="F128" s="4"/>
      <c r="G128" s="4"/>
      <c r="H128" s="4"/>
      <c r="I128" s="4"/>
      <c r="J128" s="4"/>
      <c r="K128" s="4"/>
      <c r="L128" s="4"/>
      <c r="M128" s="4"/>
      <c r="N128" s="4"/>
      <c r="O128" s="4"/>
      <c r="P128" s="4"/>
      <c r="Q128" s="4"/>
      <c r="R128" s="4"/>
      <c r="S128" s="4"/>
      <c r="T128" s="4"/>
      <c r="U128" s="4"/>
    </row>
    <row r="129" ht="15.75" customHeight="1">
      <c r="A129" s="4"/>
      <c r="B129" s="4"/>
      <c r="C129" s="4"/>
      <c r="D129" s="4"/>
      <c r="E129" s="4"/>
      <c r="F129" s="4"/>
      <c r="G129" s="4"/>
      <c r="H129" s="4"/>
      <c r="I129" s="4"/>
      <c r="J129" s="4"/>
      <c r="K129" s="4"/>
      <c r="L129" s="4"/>
      <c r="M129" s="4"/>
      <c r="N129" s="4"/>
      <c r="O129" s="4"/>
      <c r="P129" s="4"/>
      <c r="Q129" s="4"/>
      <c r="R129" s="4"/>
      <c r="S129" s="4"/>
      <c r="T129" s="4"/>
      <c r="U129" s="4"/>
    </row>
    <row r="130" ht="15.75" customHeight="1">
      <c r="A130" s="4"/>
      <c r="B130" s="4"/>
      <c r="C130" s="4"/>
      <c r="D130" s="4"/>
      <c r="E130" s="4"/>
      <c r="F130" s="4"/>
      <c r="G130" s="4"/>
      <c r="H130" s="4"/>
      <c r="I130" s="4"/>
      <c r="J130" s="4"/>
      <c r="K130" s="4"/>
      <c r="L130" s="4"/>
      <c r="M130" s="4"/>
      <c r="N130" s="4"/>
      <c r="O130" s="4"/>
      <c r="P130" s="4"/>
      <c r="Q130" s="4"/>
      <c r="R130" s="4"/>
      <c r="S130" s="4"/>
      <c r="T130" s="4"/>
      <c r="U130" s="4"/>
    </row>
    <row r="131" ht="15.75" customHeight="1">
      <c r="A131" s="4"/>
      <c r="B131" s="4"/>
      <c r="C131" s="4"/>
      <c r="D131" s="4"/>
      <c r="E131" s="4"/>
      <c r="F131" s="4"/>
      <c r="G131" s="4"/>
      <c r="H131" s="4"/>
      <c r="I131" s="4"/>
      <c r="J131" s="4"/>
      <c r="K131" s="4"/>
      <c r="L131" s="4"/>
      <c r="M131" s="4"/>
      <c r="N131" s="4"/>
      <c r="O131" s="4"/>
      <c r="P131" s="4"/>
      <c r="Q131" s="4"/>
      <c r="R131" s="4"/>
      <c r="S131" s="4"/>
      <c r="T131" s="4"/>
      <c r="U131" s="4"/>
    </row>
    <row r="132" ht="15.75" customHeight="1">
      <c r="A132" s="4"/>
      <c r="B132" s="4"/>
      <c r="C132" s="4"/>
      <c r="D132" s="4"/>
      <c r="E132" s="4"/>
      <c r="F132" s="4"/>
      <c r="G132" s="4"/>
      <c r="H132" s="4"/>
      <c r="I132" s="4"/>
      <c r="J132" s="4"/>
      <c r="K132" s="4"/>
      <c r="L132" s="4"/>
      <c r="M132" s="4"/>
      <c r="N132" s="4"/>
      <c r="O132" s="4"/>
      <c r="P132" s="4"/>
      <c r="Q132" s="4"/>
      <c r="R132" s="4"/>
      <c r="S132" s="4"/>
      <c r="T132" s="4"/>
      <c r="U132" s="4"/>
    </row>
    <row r="133" ht="15.75" customHeight="1">
      <c r="A133" s="4"/>
      <c r="B133" s="4"/>
      <c r="C133" s="4"/>
      <c r="D133" s="4"/>
      <c r="E133" s="4"/>
      <c r="F133" s="4"/>
      <c r="G133" s="4"/>
      <c r="H133" s="4"/>
      <c r="I133" s="4"/>
      <c r="J133" s="4"/>
      <c r="K133" s="4"/>
      <c r="L133" s="4"/>
      <c r="M133" s="4"/>
      <c r="N133" s="4"/>
      <c r="O133" s="4"/>
      <c r="P133" s="4"/>
      <c r="Q133" s="4"/>
      <c r="R133" s="4"/>
      <c r="S133" s="4"/>
      <c r="T133" s="4"/>
      <c r="U133" s="4"/>
    </row>
    <row r="134" ht="15.75" customHeight="1">
      <c r="A134" s="4"/>
      <c r="B134" s="4"/>
      <c r="C134" s="4"/>
      <c r="D134" s="4"/>
      <c r="E134" s="4"/>
      <c r="F134" s="4"/>
      <c r="G134" s="4"/>
      <c r="H134" s="4"/>
      <c r="I134" s="4"/>
      <c r="J134" s="4"/>
      <c r="K134" s="4"/>
      <c r="L134" s="4"/>
      <c r="M134" s="4"/>
      <c r="N134" s="4"/>
      <c r="O134" s="4"/>
      <c r="P134" s="4"/>
      <c r="Q134" s="4"/>
      <c r="R134" s="4"/>
      <c r="S134" s="4"/>
      <c r="T134" s="4"/>
      <c r="U134" s="4"/>
    </row>
    <row r="135" ht="15.75" customHeight="1">
      <c r="A135" s="4"/>
      <c r="B135" s="4"/>
      <c r="C135" s="4"/>
      <c r="D135" s="4"/>
      <c r="E135" s="4"/>
      <c r="F135" s="4"/>
      <c r="G135" s="4"/>
      <c r="H135" s="4"/>
      <c r="I135" s="4"/>
      <c r="J135" s="4"/>
      <c r="K135" s="4"/>
      <c r="L135" s="4"/>
      <c r="M135" s="4"/>
      <c r="N135" s="4"/>
      <c r="O135" s="4"/>
      <c r="P135" s="4"/>
      <c r="Q135" s="4"/>
      <c r="R135" s="4"/>
      <c r="S135" s="4"/>
      <c r="T135" s="4"/>
      <c r="U135" s="4"/>
    </row>
    <row r="136" ht="15.75" customHeight="1">
      <c r="A136" s="4"/>
      <c r="B136" s="4"/>
      <c r="C136" s="4"/>
      <c r="D136" s="4"/>
      <c r="E136" s="4"/>
      <c r="F136" s="4"/>
      <c r="G136" s="4"/>
      <c r="H136" s="4"/>
      <c r="I136" s="4"/>
      <c r="J136" s="4"/>
      <c r="K136" s="4"/>
      <c r="L136" s="4"/>
      <c r="M136" s="4"/>
      <c r="N136" s="4"/>
      <c r="O136" s="4"/>
      <c r="P136" s="4"/>
      <c r="Q136" s="4"/>
      <c r="R136" s="4"/>
      <c r="S136" s="4"/>
      <c r="T136" s="4"/>
      <c r="U136" s="4"/>
    </row>
    <row r="137" ht="15.75" customHeight="1">
      <c r="A137" s="4"/>
      <c r="B137" s="4"/>
      <c r="C137" s="4"/>
      <c r="D137" s="4"/>
      <c r="E137" s="4"/>
      <c r="F137" s="4"/>
      <c r="G137" s="4"/>
      <c r="H137" s="4"/>
      <c r="I137" s="4"/>
      <c r="J137" s="4"/>
      <c r="K137" s="4"/>
      <c r="L137" s="4"/>
      <c r="M137" s="4"/>
      <c r="N137" s="4"/>
      <c r="O137" s="4"/>
      <c r="P137" s="4"/>
      <c r="Q137" s="4"/>
      <c r="R137" s="4"/>
      <c r="S137" s="4"/>
      <c r="T137" s="4"/>
      <c r="U137" s="4"/>
    </row>
    <row r="138" ht="15.75" customHeight="1">
      <c r="A138" s="4"/>
      <c r="B138" s="4"/>
      <c r="C138" s="4"/>
      <c r="D138" s="4"/>
      <c r="E138" s="4"/>
      <c r="F138" s="4"/>
      <c r="G138" s="4"/>
      <c r="H138" s="4"/>
      <c r="I138" s="4"/>
      <c r="J138" s="4"/>
      <c r="K138" s="4"/>
      <c r="L138" s="4"/>
      <c r="M138" s="4"/>
      <c r="N138" s="4"/>
      <c r="O138" s="4"/>
      <c r="P138" s="4"/>
      <c r="Q138" s="4"/>
      <c r="R138" s="4"/>
      <c r="S138" s="4"/>
      <c r="T138" s="4"/>
      <c r="U138" s="4"/>
    </row>
    <row r="139" ht="15.75" customHeight="1">
      <c r="A139" s="4"/>
      <c r="B139" s="4"/>
      <c r="C139" s="4"/>
      <c r="D139" s="4"/>
      <c r="E139" s="4"/>
      <c r="F139" s="4"/>
      <c r="G139" s="4"/>
      <c r="H139" s="4"/>
      <c r="I139" s="4"/>
      <c r="J139" s="4"/>
      <c r="K139" s="4"/>
      <c r="L139" s="4"/>
      <c r="M139" s="4"/>
      <c r="N139" s="4"/>
      <c r="O139" s="4"/>
      <c r="P139" s="4"/>
      <c r="Q139" s="4"/>
      <c r="R139" s="4"/>
      <c r="S139" s="4"/>
      <c r="T139" s="4"/>
      <c r="U139" s="4"/>
    </row>
    <row r="140" ht="15.75" customHeight="1">
      <c r="A140" s="4"/>
      <c r="B140" s="4"/>
      <c r="C140" s="4"/>
      <c r="D140" s="4"/>
      <c r="E140" s="4"/>
      <c r="F140" s="4"/>
      <c r="G140" s="4"/>
      <c r="H140" s="4"/>
      <c r="I140" s="4"/>
      <c r="J140" s="4"/>
      <c r="K140" s="4"/>
      <c r="L140" s="4"/>
      <c r="M140" s="4"/>
      <c r="N140" s="4"/>
      <c r="O140" s="4"/>
      <c r="P140" s="4"/>
      <c r="Q140" s="4"/>
      <c r="R140" s="4"/>
      <c r="S140" s="4"/>
      <c r="T140" s="4"/>
      <c r="U140" s="4"/>
    </row>
    <row r="141" ht="15.75" customHeight="1">
      <c r="A141" s="4"/>
      <c r="B141" s="4"/>
      <c r="C141" s="4"/>
      <c r="D141" s="4"/>
      <c r="E141" s="4"/>
      <c r="F141" s="4"/>
      <c r="G141" s="4"/>
      <c r="H141" s="4"/>
      <c r="I141" s="4"/>
      <c r="J141" s="4"/>
      <c r="K141" s="4"/>
      <c r="L141" s="4"/>
      <c r="M141" s="4"/>
      <c r="N141" s="4"/>
      <c r="O141" s="4"/>
      <c r="P141" s="4"/>
      <c r="Q141" s="4"/>
      <c r="R141" s="4"/>
      <c r="S141" s="4"/>
      <c r="T141" s="4"/>
      <c r="U141" s="4"/>
    </row>
    <row r="142" ht="15.75" customHeight="1">
      <c r="A142" s="4"/>
      <c r="B142" s="4"/>
      <c r="C142" s="4"/>
      <c r="D142" s="4"/>
      <c r="E142" s="4"/>
      <c r="F142" s="4"/>
      <c r="G142" s="4"/>
      <c r="H142" s="4"/>
      <c r="I142" s="4"/>
      <c r="J142" s="4"/>
      <c r="K142" s="4"/>
      <c r="L142" s="4"/>
      <c r="M142" s="4"/>
      <c r="N142" s="4"/>
      <c r="O142" s="4"/>
      <c r="P142" s="4"/>
      <c r="Q142" s="4"/>
      <c r="R142" s="4"/>
      <c r="S142" s="4"/>
      <c r="T142" s="4"/>
      <c r="U142" s="4"/>
    </row>
    <row r="143" ht="15.75" customHeight="1">
      <c r="A143" s="4"/>
      <c r="B143" s="4"/>
      <c r="C143" s="4"/>
      <c r="D143" s="4"/>
      <c r="E143" s="4"/>
      <c r="F143" s="4"/>
      <c r="G143" s="4"/>
      <c r="H143" s="4"/>
      <c r="I143" s="4"/>
      <c r="J143" s="4"/>
      <c r="K143" s="4"/>
      <c r="L143" s="4"/>
      <c r="M143" s="4"/>
      <c r="N143" s="4"/>
      <c r="O143" s="4"/>
      <c r="P143" s="4"/>
      <c r="Q143" s="4"/>
      <c r="R143" s="4"/>
      <c r="S143" s="4"/>
      <c r="T143" s="4"/>
      <c r="U143" s="4"/>
    </row>
    <row r="144" ht="15.75" customHeight="1">
      <c r="A144" s="4"/>
      <c r="B144" s="4"/>
      <c r="C144" s="4"/>
      <c r="D144" s="4"/>
      <c r="E144" s="4"/>
      <c r="F144" s="4"/>
      <c r="G144" s="4"/>
      <c r="H144" s="4"/>
      <c r="I144" s="4"/>
      <c r="J144" s="4"/>
      <c r="K144" s="4"/>
      <c r="L144" s="4"/>
      <c r="M144" s="4"/>
      <c r="N144" s="4"/>
      <c r="O144" s="4"/>
      <c r="P144" s="4"/>
      <c r="Q144" s="4"/>
      <c r="R144" s="4"/>
      <c r="S144" s="4"/>
      <c r="T144" s="4"/>
      <c r="U144" s="4"/>
    </row>
    <row r="145" ht="15.75" customHeight="1">
      <c r="A145" s="4"/>
      <c r="B145" s="4"/>
      <c r="C145" s="4"/>
      <c r="D145" s="4"/>
      <c r="E145" s="4"/>
      <c r="F145" s="4"/>
      <c r="G145" s="4"/>
      <c r="H145" s="4"/>
      <c r="I145" s="4"/>
      <c r="J145" s="4"/>
      <c r="K145" s="4"/>
      <c r="L145" s="4"/>
      <c r="M145" s="4"/>
      <c r="N145" s="4"/>
      <c r="O145" s="4"/>
      <c r="P145" s="4"/>
      <c r="Q145" s="4"/>
      <c r="R145" s="4"/>
      <c r="S145" s="4"/>
      <c r="T145" s="4"/>
      <c r="U145" s="4"/>
    </row>
    <row r="146" ht="15.75" customHeight="1">
      <c r="A146" s="4"/>
      <c r="B146" s="4"/>
      <c r="C146" s="4"/>
      <c r="D146" s="4"/>
      <c r="E146" s="4"/>
      <c r="F146" s="4"/>
      <c r="G146" s="4"/>
      <c r="H146" s="4"/>
      <c r="I146" s="4"/>
      <c r="J146" s="4"/>
      <c r="K146" s="4"/>
      <c r="L146" s="4"/>
      <c r="M146" s="4"/>
      <c r="N146" s="4"/>
      <c r="O146" s="4"/>
      <c r="P146" s="4"/>
      <c r="Q146" s="4"/>
      <c r="R146" s="4"/>
      <c r="S146" s="4"/>
      <c r="T146" s="4"/>
      <c r="U146" s="4"/>
    </row>
    <row r="147" ht="15.75" customHeight="1">
      <c r="A147" s="4"/>
      <c r="B147" s="4"/>
      <c r="C147" s="4"/>
      <c r="D147" s="4"/>
      <c r="E147" s="4"/>
      <c r="F147" s="4"/>
      <c r="G147" s="4"/>
      <c r="H147" s="4"/>
      <c r="I147" s="4"/>
      <c r="J147" s="4"/>
      <c r="K147" s="4"/>
      <c r="L147" s="4"/>
      <c r="M147" s="4"/>
      <c r="N147" s="4"/>
      <c r="O147" s="4"/>
      <c r="P147" s="4"/>
      <c r="Q147" s="4"/>
      <c r="R147" s="4"/>
      <c r="S147" s="4"/>
      <c r="T147" s="4"/>
      <c r="U147" s="4"/>
    </row>
    <row r="148" ht="15.75" customHeight="1">
      <c r="A148" s="4"/>
      <c r="B148" s="4"/>
      <c r="C148" s="4"/>
      <c r="D148" s="4"/>
      <c r="E148" s="4"/>
      <c r="F148" s="4"/>
      <c r="G148" s="4"/>
      <c r="H148" s="4"/>
      <c r="I148" s="4"/>
      <c r="J148" s="4"/>
      <c r="K148" s="4"/>
      <c r="L148" s="4"/>
      <c r="M148" s="4"/>
      <c r="N148" s="4"/>
      <c r="O148" s="4"/>
      <c r="P148" s="4"/>
      <c r="Q148" s="4"/>
      <c r="R148" s="4"/>
      <c r="S148" s="4"/>
      <c r="T148" s="4"/>
      <c r="U148" s="4"/>
    </row>
    <row r="149" ht="15.75" customHeight="1">
      <c r="A149" s="4"/>
      <c r="B149" s="4"/>
      <c r="C149" s="4"/>
      <c r="D149" s="4"/>
      <c r="E149" s="4"/>
      <c r="F149" s="4"/>
      <c r="G149" s="4"/>
      <c r="H149" s="4"/>
      <c r="I149" s="4"/>
      <c r="J149" s="4"/>
      <c r="K149" s="4"/>
      <c r="L149" s="4"/>
      <c r="M149" s="4"/>
      <c r="N149" s="4"/>
      <c r="O149" s="4"/>
      <c r="P149" s="4"/>
      <c r="Q149" s="4"/>
      <c r="R149" s="4"/>
      <c r="S149" s="4"/>
      <c r="T149" s="4"/>
      <c r="U149" s="4"/>
    </row>
    <row r="150" ht="15.75" customHeight="1">
      <c r="A150" s="4"/>
      <c r="B150" s="4"/>
      <c r="C150" s="4"/>
      <c r="D150" s="4"/>
      <c r="E150" s="4"/>
      <c r="F150" s="4"/>
      <c r="G150" s="4"/>
      <c r="H150" s="4"/>
      <c r="I150" s="4"/>
      <c r="J150" s="4"/>
      <c r="K150" s="4"/>
      <c r="L150" s="4"/>
      <c r="M150" s="4"/>
      <c r="N150" s="4"/>
      <c r="O150" s="4"/>
      <c r="P150" s="4"/>
      <c r="Q150" s="4"/>
      <c r="R150" s="4"/>
      <c r="S150" s="4"/>
      <c r="T150" s="4"/>
      <c r="U150" s="4"/>
    </row>
    <row r="151" ht="15.75" customHeight="1">
      <c r="A151" s="4"/>
      <c r="B151" s="4"/>
      <c r="C151" s="4"/>
      <c r="D151" s="4"/>
      <c r="E151" s="4"/>
      <c r="F151" s="4"/>
      <c r="G151" s="4"/>
      <c r="H151" s="4"/>
      <c r="I151" s="4"/>
      <c r="J151" s="4"/>
      <c r="K151" s="4"/>
      <c r="L151" s="4"/>
      <c r="M151" s="4"/>
      <c r="N151" s="4"/>
      <c r="O151" s="4"/>
      <c r="P151" s="4"/>
      <c r="Q151" s="4"/>
      <c r="R151" s="4"/>
      <c r="S151" s="4"/>
      <c r="T151" s="4"/>
      <c r="U151" s="4"/>
    </row>
    <row r="152" ht="15.75" customHeight="1">
      <c r="A152" s="4"/>
      <c r="B152" s="4"/>
      <c r="C152" s="4"/>
      <c r="D152" s="4"/>
      <c r="E152" s="4"/>
      <c r="F152" s="4"/>
      <c r="G152" s="4"/>
      <c r="H152" s="4"/>
      <c r="I152" s="4"/>
      <c r="J152" s="4"/>
      <c r="K152" s="4"/>
      <c r="L152" s="4"/>
      <c r="M152" s="4"/>
      <c r="N152" s="4"/>
      <c r="O152" s="4"/>
      <c r="P152" s="4"/>
      <c r="Q152" s="4"/>
      <c r="R152" s="4"/>
      <c r="S152" s="4"/>
      <c r="T152" s="4"/>
      <c r="U152" s="4"/>
    </row>
    <row r="153" ht="15.75" customHeight="1">
      <c r="A153" s="4"/>
      <c r="B153" s="4"/>
      <c r="C153" s="4"/>
      <c r="D153" s="4"/>
      <c r="E153" s="4"/>
      <c r="F153" s="4"/>
      <c r="G153" s="4"/>
      <c r="H153" s="4"/>
      <c r="I153" s="4"/>
      <c r="J153" s="4"/>
      <c r="K153" s="4"/>
      <c r="L153" s="4"/>
      <c r="M153" s="4"/>
      <c r="N153" s="4"/>
      <c r="O153" s="4"/>
      <c r="P153" s="4"/>
      <c r="Q153" s="4"/>
      <c r="R153" s="4"/>
      <c r="S153" s="4"/>
      <c r="T153" s="4"/>
      <c r="U153" s="4"/>
    </row>
    <row r="154" ht="15.75" customHeight="1">
      <c r="A154" s="4"/>
      <c r="B154" s="4"/>
      <c r="C154" s="4"/>
      <c r="D154" s="4"/>
      <c r="E154" s="4"/>
      <c r="F154" s="4"/>
      <c r="G154" s="4"/>
      <c r="H154" s="4"/>
      <c r="I154" s="4"/>
      <c r="J154" s="4"/>
      <c r="K154" s="4"/>
      <c r="L154" s="4"/>
      <c r="M154" s="4"/>
      <c r="N154" s="4"/>
      <c r="O154" s="4"/>
      <c r="P154" s="4"/>
      <c r="Q154" s="4"/>
      <c r="R154" s="4"/>
      <c r="S154" s="4"/>
      <c r="T154" s="4"/>
      <c r="U154" s="4"/>
    </row>
    <row r="155" ht="15.75" customHeight="1">
      <c r="A155" s="4"/>
      <c r="B155" s="4"/>
      <c r="C155" s="4"/>
      <c r="D155" s="4"/>
      <c r="E155" s="4"/>
      <c r="F155" s="4"/>
      <c r="G155" s="4"/>
      <c r="H155" s="4"/>
      <c r="I155" s="4"/>
      <c r="J155" s="4"/>
      <c r="K155" s="4"/>
      <c r="L155" s="4"/>
      <c r="M155" s="4"/>
      <c r="N155" s="4"/>
      <c r="O155" s="4"/>
      <c r="P155" s="4"/>
      <c r="Q155" s="4"/>
      <c r="R155" s="4"/>
      <c r="S155" s="4"/>
      <c r="T155" s="4"/>
      <c r="U155" s="4"/>
    </row>
    <row r="156" ht="15.75" customHeight="1">
      <c r="A156" s="4"/>
      <c r="B156" s="4"/>
      <c r="C156" s="4"/>
      <c r="D156" s="4"/>
      <c r="E156" s="4"/>
      <c r="F156" s="4"/>
      <c r="G156" s="4"/>
      <c r="H156" s="4"/>
      <c r="I156" s="4"/>
      <c r="J156" s="4"/>
      <c r="K156" s="4"/>
      <c r="L156" s="4"/>
      <c r="M156" s="4"/>
      <c r="N156" s="4"/>
      <c r="O156" s="4"/>
      <c r="P156" s="4"/>
      <c r="Q156" s="4"/>
      <c r="R156" s="4"/>
      <c r="S156" s="4"/>
      <c r="T156" s="4"/>
      <c r="U156" s="4"/>
    </row>
    <row r="157" ht="15.75" customHeight="1">
      <c r="A157" s="4"/>
      <c r="B157" s="4"/>
      <c r="C157" s="4"/>
      <c r="D157" s="4"/>
      <c r="E157" s="4"/>
      <c r="F157" s="4"/>
      <c r="G157" s="4"/>
      <c r="H157" s="4"/>
      <c r="I157" s="4"/>
      <c r="J157" s="4"/>
      <c r="K157" s="4"/>
      <c r="L157" s="4"/>
      <c r="M157" s="4"/>
      <c r="N157" s="4"/>
      <c r="O157" s="4"/>
      <c r="P157" s="4"/>
      <c r="Q157" s="4"/>
      <c r="R157" s="4"/>
      <c r="S157" s="4"/>
      <c r="T157" s="4"/>
      <c r="U157" s="4"/>
    </row>
    <row r="158" ht="15.75" customHeight="1">
      <c r="A158" s="4"/>
      <c r="B158" s="4"/>
      <c r="C158" s="4"/>
      <c r="D158" s="4"/>
      <c r="E158" s="4"/>
      <c r="F158" s="4"/>
      <c r="G158" s="4"/>
      <c r="H158" s="4"/>
      <c r="I158" s="4"/>
      <c r="J158" s="4"/>
      <c r="K158" s="4"/>
      <c r="L158" s="4"/>
      <c r="M158" s="4"/>
      <c r="N158" s="4"/>
      <c r="O158" s="4"/>
      <c r="P158" s="4"/>
      <c r="Q158" s="4"/>
      <c r="R158" s="4"/>
      <c r="S158" s="4"/>
      <c r="T158" s="4"/>
      <c r="U158" s="4"/>
    </row>
    <row r="159" ht="15.75" customHeight="1">
      <c r="A159" s="4"/>
      <c r="B159" s="4"/>
      <c r="C159" s="4"/>
      <c r="D159" s="4"/>
      <c r="E159" s="4"/>
      <c r="F159" s="4"/>
      <c r="G159" s="4"/>
      <c r="H159" s="4"/>
      <c r="I159" s="4"/>
      <c r="J159" s="4"/>
      <c r="K159" s="4"/>
      <c r="L159" s="4"/>
      <c r="M159" s="4"/>
      <c r="N159" s="4"/>
      <c r="O159" s="4"/>
      <c r="P159" s="4"/>
      <c r="Q159" s="4"/>
      <c r="R159" s="4"/>
      <c r="S159" s="4"/>
      <c r="T159" s="4"/>
      <c r="U159" s="4"/>
    </row>
    <row r="160" ht="15.75" customHeight="1">
      <c r="A160" s="4"/>
      <c r="B160" s="4"/>
      <c r="C160" s="4"/>
      <c r="D160" s="4"/>
      <c r="E160" s="4"/>
      <c r="F160" s="4"/>
      <c r="G160" s="4"/>
      <c r="H160" s="4"/>
      <c r="I160" s="4"/>
      <c r="J160" s="4"/>
      <c r="K160" s="4"/>
      <c r="L160" s="4"/>
      <c r="M160" s="4"/>
      <c r="N160" s="4"/>
      <c r="O160" s="4"/>
      <c r="P160" s="4"/>
      <c r="Q160" s="4"/>
      <c r="R160" s="4"/>
      <c r="S160" s="4"/>
      <c r="T160" s="4"/>
      <c r="U160" s="4"/>
    </row>
    <row r="161" ht="15.75" customHeight="1">
      <c r="A161" s="4"/>
      <c r="B161" s="4"/>
      <c r="C161" s="4"/>
      <c r="D161" s="4"/>
      <c r="E161" s="4"/>
      <c r="F161" s="4"/>
      <c r="G161" s="4"/>
      <c r="H161" s="4"/>
      <c r="I161" s="4"/>
      <c r="J161" s="4"/>
      <c r="K161" s="4"/>
      <c r="L161" s="4"/>
      <c r="M161" s="4"/>
      <c r="N161" s="4"/>
      <c r="O161" s="4"/>
      <c r="P161" s="4"/>
      <c r="Q161" s="4"/>
      <c r="R161" s="4"/>
      <c r="S161" s="4"/>
      <c r="T161" s="4"/>
      <c r="U161" s="4"/>
    </row>
    <row r="162" ht="15.75" customHeight="1">
      <c r="A162" s="4"/>
      <c r="B162" s="4"/>
      <c r="C162" s="4"/>
      <c r="D162" s="4"/>
      <c r="E162" s="4"/>
      <c r="F162" s="4"/>
      <c r="G162" s="4"/>
      <c r="H162" s="4"/>
      <c r="I162" s="4"/>
      <c r="J162" s="4"/>
      <c r="K162" s="4"/>
      <c r="L162" s="4"/>
      <c r="M162" s="4"/>
      <c r="N162" s="4"/>
      <c r="O162" s="4"/>
      <c r="P162" s="4"/>
      <c r="Q162" s="4"/>
      <c r="R162" s="4"/>
      <c r="S162" s="4"/>
      <c r="T162" s="4"/>
      <c r="U162" s="4"/>
    </row>
    <row r="163" ht="15.75" customHeight="1">
      <c r="A163" s="4"/>
      <c r="B163" s="4"/>
      <c r="C163" s="4"/>
      <c r="D163" s="4"/>
      <c r="E163" s="4"/>
      <c r="F163" s="4"/>
      <c r="G163" s="4"/>
      <c r="H163" s="4"/>
      <c r="I163" s="4"/>
      <c r="J163" s="4"/>
      <c r="K163" s="4"/>
      <c r="L163" s="4"/>
      <c r="M163" s="4"/>
      <c r="N163" s="4"/>
      <c r="O163" s="4"/>
      <c r="P163" s="4"/>
      <c r="Q163" s="4"/>
      <c r="R163" s="4"/>
      <c r="S163" s="4"/>
      <c r="T163" s="4"/>
      <c r="U163" s="4"/>
    </row>
    <row r="164" ht="15.75" customHeight="1">
      <c r="A164" s="4"/>
      <c r="B164" s="4"/>
      <c r="C164" s="4"/>
      <c r="D164" s="4"/>
      <c r="E164" s="4"/>
      <c r="F164" s="4"/>
      <c r="G164" s="4"/>
      <c r="H164" s="4"/>
      <c r="I164" s="4"/>
      <c r="J164" s="4"/>
      <c r="K164" s="4"/>
      <c r="L164" s="4"/>
      <c r="M164" s="4"/>
      <c r="N164" s="4"/>
      <c r="O164" s="4"/>
      <c r="P164" s="4"/>
      <c r="Q164" s="4"/>
      <c r="R164" s="4"/>
      <c r="S164" s="4"/>
      <c r="T164" s="4"/>
      <c r="U164" s="4"/>
    </row>
    <row r="165" ht="15.75" customHeight="1">
      <c r="A165" s="4"/>
      <c r="B165" s="4"/>
      <c r="C165" s="4"/>
      <c r="D165" s="4"/>
      <c r="E165" s="4"/>
      <c r="F165" s="4"/>
      <c r="G165" s="4"/>
      <c r="H165" s="4"/>
      <c r="I165" s="4"/>
      <c r="J165" s="4"/>
      <c r="K165" s="4"/>
      <c r="L165" s="4"/>
      <c r="M165" s="4"/>
      <c r="N165" s="4"/>
      <c r="O165" s="4"/>
      <c r="P165" s="4"/>
      <c r="Q165" s="4"/>
      <c r="R165" s="4"/>
      <c r="S165" s="4"/>
      <c r="T165" s="4"/>
      <c r="U165" s="4"/>
    </row>
    <row r="166" ht="15.75" customHeight="1">
      <c r="A166" s="4"/>
      <c r="B166" s="4"/>
      <c r="C166" s="4"/>
      <c r="D166" s="4"/>
      <c r="E166" s="4"/>
      <c r="F166" s="4"/>
      <c r="G166" s="4"/>
      <c r="H166" s="4"/>
      <c r="I166" s="4"/>
      <c r="J166" s="4"/>
      <c r="K166" s="4"/>
      <c r="L166" s="4"/>
      <c r="M166" s="4"/>
      <c r="N166" s="4"/>
      <c r="O166" s="4"/>
      <c r="P166" s="4"/>
      <c r="Q166" s="4"/>
      <c r="R166" s="4"/>
      <c r="S166" s="4"/>
      <c r="T166" s="4"/>
      <c r="U166" s="4"/>
    </row>
    <row r="167" ht="15.75" customHeight="1">
      <c r="A167" s="4"/>
      <c r="B167" s="4"/>
      <c r="C167" s="4"/>
      <c r="D167" s="4"/>
      <c r="E167" s="4"/>
      <c r="F167" s="4"/>
      <c r="G167" s="4"/>
      <c r="H167" s="4"/>
      <c r="I167" s="4"/>
      <c r="J167" s="4"/>
      <c r="K167" s="4"/>
      <c r="L167" s="4"/>
      <c r="M167" s="4"/>
      <c r="N167" s="4"/>
      <c r="O167" s="4"/>
      <c r="P167" s="4"/>
      <c r="Q167" s="4"/>
      <c r="R167" s="4"/>
      <c r="S167" s="4"/>
      <c r="T167" s="4"/>
      <c r="U167" s="4"/>
    </row>
    <row r="168" ht="15.75" customHeight="1">
      <c r="A168" s="4"/>
      <c r="B168" s="4"/>
      <c r="C168" s="4"/>
      <c r="D168" s="4"/>
      <c r="E168" s="4"/>
      <c r="F168" s="4"/>
      <c r="G168" s="4"/>
      <c r="H168" s="4"/>
      <c r="I168" s="4"/>
      <c r="J168" s="4"/>
      <c r="K168" s="4"/>
      <c r="L168" s="4"/>
      <c r="M168" s="4"/>
      <c r="N168" s="4"/>
      <c r="O168" s="4"/>
      <c r="P168" s="4"/>
      <c r="Q168" s="4"/>
      <c r="R168" s="4"/>
      <c r="S168" s="4"/>
      <c r="T168" s="4"/>
      <c r="U168" s="4"/>
    </row>
    <row r="169" ht="15.75" customHeight="1">
      <c r="A169" s="4"/>
      <c r="B169" s="4"/>
      <c r="C169" s="4"/>
      <c r="D169" s="4"/>
      <c r="E169" s="4"/>
      <c r="F169" s="4"/>
      <c r="G169" s="4"/>
      <c r="H169" s="4"/>
      <c r="I169" s="4"/>
      <c r="J169" s="4"/>
      <c r="K169" s="4"/>
      <c r="L169" s="4"/>
      <c r="M169" s="4"/>
      <c r="N169" s="4"/>
      <c r="O169" s="4"/>
      <c r="P169" s="4"/>
      <c r="Q169" s="4"/>
      <c r="R169" s="4"/>
      <c r="S169" s="4"/>
      <c r="T169" s="4"/>
      <c r="U169" s="4"/>
    </row>
    <row r="170" ht="15.75" customHeight="1">
      <c r="A170" s="4"/>
      <c r="B170" s="4"/>
      <c r="C170" s="4"/>
      <c r="D170" s="4"/>
      <c r="E170" s="4"/>
      <c r="F170" s="4"/>
      <c r="G170" s="4"/>
      <c r="H170" s="4"/>
      <c r="I170" s="4"/>
      <c r="J170" s="4"/>
      <c r="K170" s="4"/>
      <c r="L170" s="4"/>
      <c r="M170" s="4"/>
      <c r="N170" s="4"/>
      <c r="O170" s="4"/>
      <c r="P170" s="4"/>
      <c r="Q170" s="4"/>
      <c r="R170" s="4"/>
      <c r="S170" s="4"/>
      <c r="T170" s="4"/>
      <c r="U170" s="4"/>
    </row>
    <row r="171" ht="15.75" customHeight="1">
      <c r="A171" s="4"/>
      <c r="B171" s="4"/>
      <c r="C171" s="4"/>
      <c r="D171" s="4"/>
      <c r="E171" s="4"/>
      <c r="F171" s="4"/>
      <c r="G171" s="4"/>
      <c r="H171" s="4"/>
      <c r="I171" s="4"/>
      <c r="J171" s="4"/>
      <c r="K171" s="4"/>
      <c r="L171" s="4"/>
      <c r="M171" s="4"/>
      <c r="N171" s="4"/>
      <c r="O171" s="4"/>
      <c r="P171" s="4"/>
      <c r="Q171" s="4"/>
      <c r="R171" s="4"/>
      <c r="S171" s="4"/>
      <c r="T171" s="4"/>
      <c r="U171" s="4"/>
    </row>
    <row r="172" ht="15.75" customHeight="1">
      <c r="A172" s="4"/>
      <c r="B172" s="4"/>
      <c r="C172" s="4"/>
      <c r="D172" s="4"/>
      <c r="E172" s="4"/>
      <c r="F172" s="4"/>
      <c r="G172" s="4"/>
      <c r="H172" s="4"/>
      <c r="I172" s="4"/>
      <c r="J172" s="4"/>
      <c r="K172" s="4"/>
      <c r="L172" s="4"/>
      <c r="M172" s="4"/>
      <c r="N172" s="4"/>
      <c r="O172" s="4"/>
      <c r="P172" s="4"/>
      <c r="Q172" s="4"/>
      <c r="R172" s="4"/>
      <c r="S172" s="4"/>
      <c r="T172" s="4"/>
      <c r="U172" s="4"/>
    </row>
    <row r="173" ht="15.75" customHeight="1">
      <c r="A173" s="4"/>
      <c r="B173" s="4"/>
      <c r="C173" s="4"/>
      <c r="D173" s="4"/>
      <c r="E173" s="4"/>
      <c r="F173" s="4"/>
      <c r="G173" s="4"/>
      <c r="H173" s="4"/>
      <c r="I173" s="4"/>
      <c r="J173" s="4"/>
      <c r="K173" s="4"/>
      <c r="L173" s="4"/>
      <c r="M173" s="4"/>
      <c r="N173" s="4"/>
      <c r="O173" s="4"/>
      <c r="P173" s="4"/>
      <c r="Q173" s="4"/>
      <c r="R173" s="4"/>
      <c r="S173" s="4"/>
      <c r="T173" s="4"/>
      <c r="U173" s="4"/>
    </row>
    <row r="174" ht="15.75" customHeight="1">
      <c r="A174" s="4"/>
      <c r="B174" s="4"/>
      <c r="C174" s="4"/>
      <c r="D174" s="4"/>
      <c r="E174" s="4"/>
      <c r="F174" s="4"/>
      <c r="G174" s="4"/>
      <c r="H174" s="4"/>
      <c r="I174" s="4"/>
      <c r="J174" s="4"/>
      <c r="K174" s="4"/>
      <c r="L174" s="4"/>
      <c r="M174" s="4"/>
      <c r="N174" s="4"/>
      <c r="O174" s="4"/>
      <c r="P174" s="4"/>
      <c r="Q174" s="4"/>
      <c r="R174" s="4"/>
      <c r="S174" s="4"/>
      <c r="T174" s="4"/>
      <c r="U174" s="4"/>
    </row>
    <row r="175" ht="15.75" customHeight="1">
      <c r="A175" s="4"/>
      <c r="B175" s="4"/>
      <c r="C175" s="4"/>
      <c r="D175" s="4"/>
      <c r="E175" s="4"/>
      <c r="F175" s="4"/>
      <c r="G175" s="4"/>
      <c r="H175" s="4"/>
      <c r="I175" s="4"/>
      <c r="J175" s="4"/>
      <c r="K175" s="4"/>
      <c r="L175" s="4"/>
      <c r="M175" s="4"/>
      <c r="N175" s="4"/>
      <c r="O175" s="4"/>
      <c r="P175" s="4"/>
      <c r="Q175" s="4"/>
      <c r="R175" s="4"/>
      <c r="S175" s="4"/>
      <c r="T175" s="4"/>
      <c r="U175" s="4"/>
    </row>
    <row r="176" ht="15.75" customHeight="1">
      <c r="A176" s="4"/>
      <c r="B176" s="4"/>
      <c r="C176" s="4"/>
      <c r="D176" s="4"/>
      <c r="E176" s="4"/>
      <c r="F176" s="4"/>
      <c r="G176" s="4"/>
      <c r="H176" s="4"/>
      <c r="I176" s="4"/>
      <c r="J176" s="4"/>
      <c r="K176" s="4"/>
      <c r="L176" s="4"/>
      <c r="M176" s="4"/>
      <c r="N176" s="4"/>
      <c r="O176" s="4"/>
      <c r="P176" s="4"/>
      <c r="Q176" s="4"/>
      <c r="R176" s="4"/>
      <c r="S176" s="4"/>
      <c r="T176" s="4"/>
      <c r="U176" s="4"/>
    </row>
    <row r="177" ht="15.75" customHeight="1">
      <c r="A177" s="4"/>
      <c r="B177" s="4"/>
      <c r="C177" s="4"/>
      <c r="D177" s="4"/>
      <c r="E177" s="4"/>
      <c r="F177" s="4"/>
      <c r="G177" s="4"/>
      <c r="H177" s="4"/>
      <c r="I177" s="4"/>
      <c r="J177" s="4"/>
      <c r="K177" s="4"/>
      <c r="L177" s="4"/>
      <c r="M177" s="4"/>
      <c r="N177" s="4"/>
      <c r="O177" s="4"/>
      <c r="P177" s="4"/>
      <c r="Q177" s="4"/>
      <c r="R177" s="4"/>
      <c r="S177" s="4"/>
      <c r="T177" s="4"/>
      <c r="U177" s="4"/>
    </row>
    <row r="178" ht="15.75" customHeight="1">
      <c r="A178" s="4"/>
      <c r="B178" s="4"/>
      <c r="C178" s="4"/>
      <c r="D178" s="4"/>
      <c r="E178" s="4"/>
      <c r="F178" s="4"/>
      <c r="G178" s="4"/>
      <c r="H178" s="4"/>
      <c r="I178" s="4"/>
      <c r="J178" s="4"/>
      <c r="K178" s="4"/>
      <c r="L178" s="4"/>
      <c r="M178" s="4"/>
      <c r="N178" s="4"/>
      <c r="O178" s="4"/>
      <c r="P178" s="4"/>
      <c r="Q178" s="4"/>
      <c r="R178" s="4"/>
      <c r="S178" s="4"/>
      <c r="T178" s="4"/>
      <c r="U178" s="4"/>
    </row>
    <row r="179" ht="15.75" customHeight="1">
      <c r="A179" s="4"/>
      <c r="B179" s="4"/>
      <c r="C179" s="4"/>
      <c r="D179" s="4"/>
      <c r="E179" s="4"/>
      <c r="F179" s="4"/>
      <c r="G179" s="4"/>
      <c r="H179" s="4"/>
      <c r="I179" s="4"/>
      <c r="J179" s="4"/>
      <c r="K179" s="4"/>
      <c r="L179" s="4"/>
      <c r="M179" s="4"/>
      <c r="N179" s="4"/>
      <c r="O179" s="4"/>
      <c r="P179" s="4"/>
      <c r="Q179" s="4"/>
      <c r="R179" s="4"/>
      <c r="S179" s="4"/>
      <c r="T179" s="4"/>
      <c r="U179" s="4"/>
    </row>
    <row r="180" ht="15.75" customHeight="1">
      <c r="A180" s="4"/>
      <c r="B180" s="4"/>
      <c r="C180" s="4"/>
      <c r="D180" s="4"/>
      <c r="E180" s="4"/>
      <c r="F180" s="4"/>
      <c r="G180" s="4"/>
      <c r="H180" s="4"/>
      <c r="I180" s="4"/>
      <c r="J180" s="4"/>
      <c r="K180" s="4"/>
      <c r="L180" s="4"/>
      <c r="M180" s="4"/>
      <c r="N180" s="4"/>
      <c r="O180" s="4"/>
      <c r="P180" s="4"/>
      <c r="Q180" s="4"/>
      <c r="R180" s="4"/>
      <c r="S180" s="4"/>
      <c r="T180" s="4"/>
      <c r="U180" s="4"/>
    </row>
    <row r="181" ht="15.75" customHeight="1">
      <c r="A181" s="4"/>
      <c r="B181" s="4"/>
      <c r="C181" s="4"/>
      <c r="D181" s="4"/>
      <c r="E181" s="4"/>
      <c r="F181" s="4"/>
      <c r="G181" s="4"/>
      <c r="H181" s="4"/>
      <c r="I181" s="4"/>
      <c r="J181" s="4"/>
      <c r="K181" s="4"/>
      <c r="L181" s="4"/>
      <c r="M181" s="4"/>
      <c r="N181" s="4"/>
      <c r="O181" s="4"/>
      <c r="P181" s="4"/>
      <c r="Q181" s="4"/>
      <c r="R181" s="4"/>
      <c r="S181" s="4"/>
      <c r="T181" s="4"/>
      <c r="U181" s="4"/>
    </row>
    <row r="182" ht="15.75" customHeight="1">
      <c r="A182" s="4"/>
      <c r="B182" s="4"/>
      <c r="C182" s="4"/>
      <c r="D182" s="4"/>
      <c r="E182" s="4"/>
      <c r="F182" s="4"/>
      <c r="G182" s="4"/>
      <c r="H182" s="4"/>
      <c r="I182" s="4"/>
      <c r="J182" s="4"/>
      <c r="K182" s="4"/>
      <c r="L182" s="4"/>
      <c r="M182" s="4"/>
      <c r="N182" s="4"/>
      <c r="O182" s="4"/>
      <c r="P182" s="4"/>
      <c r="Q182" s="4"/>
      <c r="R182" s="4"/>
      <c r="S182" s="4"/>
      <c r="T182" s="4"/>
      <c r="U182" s="4"/>
    </row>
    <row r="183" ht="15.75" customHeight="1">
      <c r="A183" s="4"/>
      <c r="B183" s="4"/>
      <c r="C183" s="4"/>
      <c r="D183" s="4"/>
      <c r="E183" s="4"/>
      <c r="F183" s="4"/>
      <c r="G183" s="4"/>
      <c r="H183" s="4"/>
      <c r="I183" s="4"/>
      <c r="J183" s="4"/>
      <c r="K183" s="4"/>
      <c r="L183" s="4"/>
      <c r="M183" s="4"/>
      <c r="N183" s="4"/>
      <c r="O183" s="4"/>
      <c r="P183" s="4"/>
      <c r="Q183" s="4"/>
      <c r="R183" s="4"/>
      <c r="S183" s="4"/>
      <c r="T183" s="4"/>
      <c r="U183" s="4"/>
    </row>
    <row r="184" ht="15.75" customHeight="1">
      <c r="A184" s="4"/>
      <c r="B184" s="4"/>
      <c r="C184" s="4"/>
      <c r="D184" s="4"/>
      <c r="E184" s="4"/>
      <c r="F184" s="4"/>
      <c r="G184" s="4"/>
      <c r="H184" s="4"/>
      <c r="I184" s="4"/>
      <c r="J184" s="4"/>
      <c r="K184" s="4"/>
      <c r="L184" s="4"/>
      <c r="M184" s="4"/>
      <c r="N184" s="4"/>
      <c r="O184" s="4"/>
      <c r="P184" s="4"/>
      <c r="Q184" s="4"/>
      <c r="R184" s="4"/>
      <c r="S184" s="4"/>
      <c r="T184" s="4"/>
      <c r="U184" s="4"/>
    </row>
    <row r="185" ht="15.75" customHeight="1">
      <c r="A185" s="4"/>
      <c r="B185" s="4"/>
      <c r="C185" s="4"/>
      <c r="D185" s="4"/>
      <c r="E185" s="4"/>
      <c r="F185" s="4"/>
      <c r="G185" s="4"/>
      <c r="H185" s="4"/>
      <c r="I185" s="4"/>
      <c r="J185" s="4"/>
      <c r="K185" s="4"/>
      <c r="L185" s="4"/>
      <c r="M185" s="4"/>
      <c r="N185" s="4"/>
      <c r="O185" s="4"/>
      <c r="P185" s="4"/>
      <c r="Q185" s="4"/>
      <c r="R185" s="4"/>
      <c r="S185" s="4"/>
      <c r="T185" s="4"/>
      <c r="U185" s="4"/>
    </row>
    <row r="186" ht="15.75" customHeight="1">
      <c r="A186" s="4"/>
      <c r="B186" s="4"/>
      <c r="C186" s="4"/>
      <c r="D186" s="4"/>
      <c r="E186" s="4"/>
      <c r="F186" s="4"/>
      <c r="G186" s="4"/>
      <c r="H186" s="4"/>
      <c r="I186" s="4"/>
      <c r="J186" s="4"/>
      <c r="K186" s="4"/>
      <c r="L186" s="4"/>
      <c r="M186" s="4"/>
      <c r="N186" s="4"/>
      <c r="O186" s="4"/>
      <c r="P186" s="4"/>
      <c r="Q186" s="4"/>
      <c r="R186" s="4"/>
      <c r="S186" s="4"/>
      <c r="T186" s="4"/>
      <c r="U186" s="4"/>
    </row>
    <row r="187" ht="15.75" customHeight="1">
      <c r="A187" s="4"/>
      <c r="B187" s="4"/>
      <c r="C187" s="4"/>
      <c r="D187" s="4"/>
      <c r="E187" s="4"/>
      <c r="F187" s="4"/>
      <c r="G187" s="4"/>
      <c r="H187" s="4"/>
      <c r="I187" s="4"/>
      <c r="J187" s="4"/>
      <c r="K187" s="4"/>
      <c r="L187" s="4"/>
      <c r="M187" s="4"/>
      <c r="N187" s="4"/>
      <c r="O187" s="4"/>
      <c r="P187" s="4"/>
      <c r="Q187" s="4"/>
      <c r="R187" s="4"/>
      <c r="S187" s="4"/>
      <c r="T187" s="4"/>
      <c r="U187" s="4"/>
    </row>
    <row r="188" ht="15.75" customHeight="1">
      <c r="A188" s="4"/>
      <c r="B188" s="4"/>
      <c r="C188" s="4"/>
      <c r="D188" s="4"/>
      <c r="E188" s="4"/>
      <c r="F188" s="4"/>
      <c r="G188" s="4"/>
      <c r="H188" s="4"/>
      <c r="I188" s="4"/>
      <c r="J188" s="4"/>
      <c r="K188" s="4"/>
      <c r="L188" s="4"/>
      <c r="M188" s="4"/>
      <c r="N188" s="4"/>
      <c r="O188" s="4"/>
      <c r="P188" s="4"/>
      <c r="Q188" s="4"/>
      <c r="R188" s="4"/>
      <c r="S188" s="4"/>
      <c r="T188" s="4"/>
      <c r="U188" s="4"/>
    </row>
    <row r="189" ht="15.75" customHeight="1">
      <c r="A189" s="4"/>
      <c r="B189" s="4"/>
      <c r="C189" s="4"/>
      <c r="D189" s="4"/>
      <c r="E189" s="4"/>
      <c r="F189" s="4"/>
      <c r="G189" s="4"/>
      <c r="H189" s="4"/>
      <c r="I189" s="4"/>
      <c r="J189" s="4"/>
      <c r="K189" s="4"/>
      <c r="L189" s="4"/>
      <c r="M189" s="4"/>
      <c r="N189" s="4"/>
      <c r="O189" s="4"/>
      <c r="P189" s="4"/>
      <c r="Q189" s="4"/>
      <c r="R189" s="4"/>
      <c r="S189" s="4"/>
      <c r="T189" s="4"/>
      <c r="U189" s="4"/>
    </row>
    <row r="190" ht="15.75" customHeight="1">
      <c r="A190" s="4"/>
      <c r="B190" s="4"/>
      <c r="C190" s="4"/>
      <c r="D190" s="4"/>
      <c r="E190" s="4"/>
      <c r="F190" s="4"/>
      <c r="G190" s="4"/>
      <c r="H190" s="4"/>
      <c r="I190" s="4"/>
      <c r="J190" s="4"/>
      <c r="K190" s="4"/>
      <c r="L190" s="4"/>
      <c r="M190" s="4"/>
      <c r="N190" s="4"/>
      <c r="O190" s="4"/>
      <c r="P190" s="4"/>
      <c r="Q190" s="4"/>
      <c r="R190" s="4"/>
      <c r="S190" s="4"/>
      <c r="T190" s="4"/>
      <c r="U190" s="4"/>
    </row>
    <row r="191" ht="15.75" customHeight="1">
      <c r="A191" s="4"/>
      <c r="B191" s="4"/>
      <c r="C191" s="4"/>
      <c r="D191" s="4"/>
      <c r="E191" s="4"/>
      <c r="F191" s="4"/>
      <c r="G191" s="4"/>
      <c r="H191" s="4"/>
      <c r="I191" s="4"/>
      <c r="J191" s="4"/>
      <c r="K191" s="4"/>
      <c r="L191" s="4"/>
      <c r="M191" s="4"/>
      <c r="N191" s="4"/>
      <c r="O191" s="4"/>
      <c r="P191" s="4"/>
      <c r="Q191" s="4"/>
      <c r="R191" s="4"/>
      <c r="S191" s="4"/>
      <c r="T191" s="4"/>
      <c r="U191" s="4"/>
    </row>
    <row r="192" ht="15.75" customHeight="1">
      <c r="A192" s="4"/>
      <c r="B192" s="4"/>
      <c r="C192" s="4"/>
      <c r="D192" s="4"/>
      <c r="E192" s="4"/>
      <c r="F192" s="4"/>
      <c r="G192" s="4"/>
      <c r="H192" s="4"/>
      <c r="I192" s="4"/>
      <c r="J192" s="4"/>
      <c r="K192" s="4"/>
      <c r="L192" s="4"/>
      <c r="M192" s="4"/>
      <c r="N192" s="4"/>
      <c r="O192" s="4"/>
      <c r="P192" s="4"/>
      <c r="Q192" s="4"/>
      <c r="R192" s="4"/>
      <c r="S192" s="4"/>
      <c r="T192" s="4"/>
      <c r="U192" s="4"/>
    </row>
    <row r="193" ht="15.75" customHeight="1">
      <c r="A193" s="4"/>
      <c r="B193" s="4"/>
      <c r="C193" s="4"/>
      <c r="D193" s="4"/>
      <c r="E193" s="4"/>
      <c r="F193" s="4"/>
      <c r="G193" s="4"/>
      <c r="H193" s="4"/>
      <c r="I193" s="4"/>
      <c r="J193" s="4"/>
      <c r="K193" s="4"/>
      <c r="L193" s="4"/>
      <c r="M193" s="4"/>
      <c r="N193" s="4"/>
      <c r="O193" s="4"/>
      <c r="P193" s="4"/>
      <c r="Q193" s="4"/>
      <c r="R193" s="4"/>
      <c r="S193" s="4"/>
      <c r="T193" s="4"/>
      <c r="U193" s="4"/>
    </row>
    <row r="194" ht="15.75" customHeight="1">
      <c r="A194" s="4"/>
      <c r="B194" s="4"/>
      <c r="C194" s="4"/>
      <c r="D194" s="4"/>
      <c r="E194" s="4"/>
      <c r="F194" s="4"/>
      <c r="G194" s="4"/>
      <c r="H194" s="4"/>
      <c r="I194" s="4"/>
      <c r="J194" s="4"/>
      <c r="K194" s="4"/>
      <c r="L194" s="4"/>
      <c r="M194" s="4"/>
      <c r="N194" s="4"/>
      <c r="O194" s="4"/>
      <c r="P194" s="4"/>
      <c r="Q194" s="4"/>
      <c r="R194" s="4"/>
      <c r="S194" s="4"/>
      <c r="T194" s="4"/>
      <c r="U194" s="4"/>
    </row>
    <row r="195" ht="15.75" customHeight="1">
      <c r="A195" s="4"/>
      <c r="B195" s="4"/>
      <c r="C195" s="4"/>
      <c r="D195" s="4"/>
      <c r="E195" s="4"/>
      <c r="F195" s="4"/>
      <c r="G195" s="4"/>
      <c r="H195" s="4"/>
      <c r="I195" s="4"/>
      <c r="J195" s="4"/>
      <c r="K195" s="4"/>
      <c r="L195" s="4"/>
      <c r="M195" s="4"/>
      <c r="N195" s="4"/>
      <c r="O195" s="4"/>
      <c r="P195" s="4"/>
      <c r="Q195" s="4"/>
      <c r="R195" s="4"/>
      <c r="S195" s="4"/>
      <c r="T195" s="4"/>
      <c r="U195" s="4"/>
    </row>
    <row r="196" ht="15.75" customHeight="1">
      <c r="A196" s="4"/>
      <c r="B196" s="4"/>
      <c r="C196" s="4"/>
      <c r="D196" s="4"/>
      <c r="E196" s="4"/>
      <c r="F196" s="4"/>
      <c r="G196" s="4"/>
      <c r="H196" s="4"/>
      <c r="I196" s="4"/>
      <c r="J196" s="4"/>
      <c r="K196" s="4"/>
      <c r="L196" s="4"/>
      <c r="M196" s="4"/>
      <c r="N196" s="4"/>
      <c r="O196" s="4"/>
      <c r="P196" s="4"/>
      <c r="Q196" s="4"/>
      <c r="R196" s="4"/>
      <c r="S196" s="4"/>
      <c r="T196" s="4"/>
      <c r="U196" s="4"/>
    </row>
    <row r="197" ht="15.75" customHeight="1">
      <c r="A197" s="4"/>
      <c r="B197" s="4"/>
      <c r="C197" s="4"/>
      <c r="D197" s="4"/>
      <c r="E197" s="4"/>
      <c r="F197" s="4"/>
      <c r="G197" s="4"/>
      <c r="H197" s="4"/>
      <c r="I197" s="4"/>
      <c r="J197" s="4"/>
      <c r="K197" s="4"/>
      <c r="L197" s="4"/>
      <c r="M197" s="4"/>
      <c r="N197" s="4"/>
      <c r="O197" s="4"/>
      <c r="P197" s="4"/>
      <c r="Q197" s="4"/>
      <c r="R197" s="4"/>
      <c r="S197" s="4"/>
      <c r="T197" s="4"/>
      <c r="U197" s="4"/>
    </row>
    <row r="198" ht="15.75" customHeight="1">
      <c r="A198" s="4"/>
      <c r="B198" s="4"/>
      <c r="C198" s="4"/>
      <c r="D198" s="4"/>
      <c r="E198" s="4"/>
      <c r="F198" s="4"/>
      <c r="G198" s="4"/>
      <c r="H198" s="4"/>
      <c r="I198" s="4"/>
      <c r="J198" s="4"/>
      <c r="K198" s="4"/>
      <c r="L198" s="4"/>
      <c r="M198" s="4"/>
      <c r="N198" s="4"/>
      <c r="O198" s="4"/>
      <c r="P198" s="4"/>
      <c r="Q198" s="4"/>
      <c r="R198" s="4"/>
      <c r="S198" s="4"/>
      <c r="T198" s="4"/>
      <c r="U198" s="4"/>
    </row>
    <row r="199" ht="15.75" customHeight="1">
      <c r="A199" s="4"/>
      <c r="B199" s="4"/>
      <c r="C199" s="4"/>
      <c r="D199" s="4"/>
      <c r="E199" s="4"/>
      <c r="F199" s="4"/>
      <c r="G199" s="4"/>
      <c r="H199" s="4"/>
      <c r="I199" s="4"/>
      <c r="J199" s="4"/>
      <c r="K199" s="4"/>
      <c r="L199" s="4"/>
      <c r="M199" s="4"/>
      <c r="N199" s="4"/>
      <c r="O199" s="4"/>
      <c r="P199" s="4"/>
      <c r="Q199" s="4"/>
      <c r="R199" s="4"/>
      <c r="S199" s="4"/>
      <c r="T199" s="4"/>
      <c r="U199" s="4"/>
    </row>
    <row r="200" ht="15.75" customHeight="1">
      <c r="A200" s="4"/>
      <c r="B200" s="4"/>
      <c r="C200" s="4"/>
      <c r="D200" s="4"/>
      <c r="E200" s="4"/>
      <c r="F200" s="4"/>
      <c r="G200" s="4"/>
      <c r="H200" s="4"/>
      <c r="I200" s="4"/>
      <c r="J200" s="4"/>
      <c r="K200" s="4"/>
      <c r="L200" s="4"/>
      <c r="M200" s="4"/>
      <c r="N200" s="4"/>
      <c r="O200" s="4"/>
      <c r="P200" s="4"/>
      <c r="Q200" s="4"/>
      <c r="R200" s="4"/>
      <c r="S200" s="4"/>
      <c r="T200" s="4"/>
      <c r="U200" s="4"/>
    </row>
    <row r="201" ht="15.75" customHeight="1">
      <c r="A201" s="4"/>
      <c r="B201" s="4"/>
      <c r="C201" s="4"/>
      <c r="D201" s="4"/>
      <c r="E201" s="4"/>
      <c r="F201" s="4"/>
      <c r="G201" s="4"/>
      <c r="H201" s="4"/>
      <c r="I201" s="4"/>
      <c r="J201" s="4"/>
      <c r="K201" s="4"/>
      <c r="L201" s="4"/>
      <c r="M201" s="4"/>
      <c r="N201" s="4"/>
      <c r="O201" s="4"/>
      <c r="P201" s="4"/>
      <c r="Q201" s="4"/>
      <c r="R201" s="4"/>
      <c r="S201" s="4"/>
      <c r="T201" s="4"/>
      <c r="U201" s="4"/>
    </row>
    <row r="202" ht="15.75" customHeight="1">
      <c r="A202" s="4"/>
      <c r="B202" s="4"/>
      <c r="C202" s="4"/>
      <c r="D202" s="4"/>
      <c r="E202" s="4"/>
      <c r="F202" s="4"/>
      <c r="G202" s="4"/>
      <c r="H202" s="4"/>
      <c r="I202" s="4"/>
      <c r="J202" s="4"/>
      <c r="K202" s="4"/>
      <c r="L202" s="4"/>
      <c r="M202" s="4"/>
      <c r="N202" s="4"/>
      <c r="O202" s="4"/>
      <c r="P202" s="4"/>
      <c r="Q202" s="4"/>
      <c r="R202" s="4"/>
      <c r="S202" s="4"/>
      <c r="T202" s="4"/>
      <c r="U202" s="4"/>
    </row>
    <row r="203" ht="15.75" customHeight="1">
      <c r="A203" s="4"/>
      <c r="B203" s="4"/>
      <c r="C203" s="4"/>
      <c r="D203" s="4"/>
      <c r="E203" s="4"/>
      <c r="F203" s="4"/>
      <c r="G203" s="4"/>
      <c r="H203" s="4"/>
      <c r="I203" s="4"/>
      <c r="J203" s="4"/>
      <c r="K203" s="4"/>
      <c r="L203" s="4"/>
      <c r="M203" s="4"/>
      <c r="N203" s="4"/>
      <c r="O203" s="4"/>
      <c r="P203" s="4"/>
      <c r="Q203" s="4"/>
      <c r="R203" s="4"/>
      <c r="S203" s="4"/>
      <c r="T203" s="4"/>
      <c r="U203" s="4"/>
    </row>
    <row r="204" ht="15.75" customHeight="1">
      <c r="A204" s="4"/>
      <c r="B204" s="4"/>
      <c r="C204" s="4"/>
      <c r="D204" s="4"/>
      <c r="E204" s="4"/>
      <c r="F204" s="4"/>
      <c r="G204" s="4"/>
      <c r="H204" s="4"/>
      <c r="I204" s="4"/>
      <c r="J204" s="4"/>
      <c r="K204" s="4"/>
      <c r="L204" s="4"/>
      <c r="M204" s="4"/>
      <c r="N204" s="4"/>
      <c r="O204" s="4"/>
      <c r="P204" s="4"/>
      <c r="Q204" s="4"/>
      <c r="R204" s="4"/>
      <c r="S204" s="4"/>
      <c r="T204" s="4"/>
      <c r="U204" s="4"/>
    </row>
    <row r="205" ht="15.75" customHeight="1">
      <c r="A205" s="4"/>
      <c r="B205" s="4"/>
      <c r="C205" s="4"/>
      <c r="D205" s="4"/>
      <c r="E205" s="4"/>
      <c r="F205" s="4"/>
      <c r="G205" s="4"/>
      <c r="H205" s="4"/>
      <c r="I205" s="4"/>
      <c r="J205" s="4"/>
      <c r="K205" s="4"/>
      <c r="L205" s="4"/>
      <c r="M205" s="4"/>
      <c r="N205" s="4"/>
      <c r="O205" s="4"/>
      <c r="P205" s="4"/>
      <c r="Q205" s="4"/>
      <c r="R205" s="4"/>
      <c r="S205" s="4"/>
      <c r="T205" s="4"/>
      <c r="U205" s="4"/>
    </row>
    <row r="206" ht="15.75" customHeight="1">
      <c r="A206" s="4"/>
      <c r="B206" s="4"/>
      <c r="C206" s="4"/>
      <c r="D206" s="4"/>
      <c r="E206" s="4"/>
      <c r="F206" s="4"/>
      <c r="G206" s="4"/>
      <c r="H206" s="4"/>
      <c r="I206" s="4"/>
      <c r="J206" s="4"/>
      <c r="K206" s="4"/>
      <c r="L206" s="4"/>
      <c r="M206" s="4"/>
      <c r="N206" s="4"/>
      <c r="O206" s="4"/>
      <c r="P206" s="4"/>
      <c r="Q206" s="4"/>
      <c r="R206" s="4"/>
      <c r="S206" s="4"/>
      <c r="T206" s="4"/>
      <c r="U206" s="4"/>
    </row>
    <row r="207" ht="15.75" customHeight="1">
      <c r="A207" s="4"/>
      <c r="B207" s="4"/>
      <c r="C207" s="4"/>
      <c r="D207" s="4"/>
      <c r="E207" s="4"/>
      <c r="F207" s="4"/>
      <c r="G207" s="4"/>
      <c r="H207" s="4"/>
      <c r="I207" s="4"/>
      <c r="J207" s="4"/>
      <c r="K207" s="4"/>
      <c r="L207" s="4"/>
      <c r="M207" s="4"/>
      <c r="N207" s="4"/>
      <c r="O207" s="4"/>
      <c r="P207" s="4"/>
      <c r="Q207" s="4"/>
      <c r="R207" s="4"/>
      <c r="S207" s="4"/>
      <c r="T207" s="4"/>
      <c r="U207" s="4"/>
    </row>
    <row r="208" ht="15.75" customHeight="1">
      <c r="A208" s="4"/>
      <c r="B208" s="4"/>
      <c r="C208" s="4"/>
      <c r="D208" s="4"/>
      <c r="E208" s="4"/>
      <c r="F208" s="4"/>
      <c r="G208" s="4"/>
      <c r="H208" s="4"/>
      <c r="I208" s="4"/>
      <c r="J208" s="4"/>
      <c r="K208" s="4"/>
      <c r="L208" s="4"/>
      <c r="M208" s="4"/>
      <c r="N208" s="4"/>
      <c r="O208" s="4"/>
      <c r="P208" s="4"/>
      <c r="Q208" s="4"/>
      <c r="R208" s="4"/>
      <c r="S208" s="4"/>
      <c r="T208" s="4"/>
      <c r="U208" s="4"/>
    </row>
    <row r="209" ht="15.75" customHeight="1">
      <c r="A209" s="4"/>
      <c r="B209" s="4"/>
      <c r="C209" s="4"/>
      <c r="D209" s="4"/>
      <c r="E209" s="4"/>
      <c r="F209" s="4"/>
      <c r="G209" s="4"/>
      <c r="H209" s="4"/>
      <c r="I209" s="4"/>
      <c r="J209" s="4"/>
      <c r="K209" s="4"/>
      <c r="L209" s="4"/>
      <c r="M209" s="4"/>
      <c r="N209" s="4"/>
      <c r="O209" s="4"/>
      <c r="P209" s="4"/>
      <c r="Q209" s="4"/>
      <c r="R209" s="4"/>
      <c r="S209" s="4"/>
      <c r="T209" s="4"/>
      <c r="U209" s="4"/>
    </row>
    <row r="210" ht="15.75" customHeight="1">
      <c r="A210" s="4"/>
      <c r="B210" s="4"/>
      <c r="C210" s="4"/>
      <c r="D210" s="4"/>
      <c r="E210" s="4"/>
      <c r="F210" s="4"/>
      <c r="G210" s="4"/>
      <c r="H210" s="4"/>
      <c r="I210" s="4"/>
      <c r="J210" s="4"/>
      <c r="K210" s="4"/>
      <c r="L210" s="4"/>
      <c r="M210" s="4"/>
      <c r="N210" s="4"/>
      <c r="O210" s="4"/>
      <c r="P210" s="4"/>
      <c r="Q210" s="4"/>
      <c r="R210" s="4"/>
      <c r="S210" s="4"/>
      <c r="T210" s="4"/>
      <c r="U210" s="4"/>
    </row>
    <row r="211" ht="15.75" customHeight="1">
      <c r="A211" s="4"/>
      <c r="B211" s="4"/>
      <c r="C211" s="4"/>
      <c r="D211" s="4"/>
      <c r="E211" s="4"/>
      <c r="F211" s="4"/>
      <c r="G211" s="4"/>
      <c r="H211" s="4"/>
      <c r="I211" s="4"/>
      <c r="J211" s="4"/>
      <c r="K211" s="4"/>
      <c r="L211" s="4"/>
      <c r="M211" s="4"/>
      <c r="N211" s="4"/>
      <c r="O211" s="4"/>
      <c r="P211" s="4"/>
      <c r="Q211" s="4"/>
      <c r="R211" s="4"/>
      <c r="S211" s="4"/>
      <c r="T211" s="4"/>
      <c r="U211" s="4"/>
    </row>
    <row r="212" ht="15.75" customHeight="1">
      <c r="A212" s="4"/>
      <c r="B212" s="4"/>
      <c r="C212" s="4"/>
      <c r="D212" s="4"/>
      <c r="E212" s="4"/>
      <c r="F212" s="4"/>
      <c r="G212" s="4"/>
      <c r="H212" s="4"/>
      <c r="I212" s="4"/>
      <c r="J212" s="4"/>
      <c r="K212" s="4"/>
      <c r="L212" s="4"/>
      <c r="M212" s="4"/>
      <c r="N212" s="4"/>
      <c r="O212" s="4"/>
      <c r="P212" s="4"/>
      <c r="Q212" s="4"/>
      <c r="R212" s="4"/>
      <c r="S212" s="4"/>
      <c r="T212" s="4"/>
      <c r="U212" s="4"/>
    </row>
    <row r="213" ht="15.75" customHeight="1">
      <c r="A213" s="4"/>
      <c r="B213" s="4"/>
      <c r="C213" s="4"/>
      <c r="D213" s="4"/>
      <c r="E213" s="4"/>
      <c r="F213" s="4"/>
      <c r="G213" s="4"/>
      <c r="H213" s="4"/>
      <c r="I213" s="4"/>
      <c r="J213" s="4"/>
      <c r="K213" s="4"/>
      <c r="L213" s="4"/>
      <c r="M213" s="4"/>
      <c r="N213" s="4"/>
      <c r="O213" s="4"/>
      <c r="P213" s="4"/>
      <c r="Q213" s="4"/>
      <c r="R213" s="4"/>
      <c r="S213" s="4"/>
      <c r="T213" s="4"/>
      <c r="U213" s="4"/>
    </row>
    <row r="214" ht="15.75" customHeight="1">
      <c r="A214" s="4"/>
      <c r="B214" s="4"/>
      <c r="C214" s="4"/>
      <c r="D214" s="4"/>
      <c r="E214" s="4"/>
      <c r="F214" s="4"/>
      <c r="G214" s="4"/>
      <c r="H214" s="4"/>
      <c r="I214" s="4"/>
      <c r="J214" s="4"/>
      <c r="K214" s="4"/>
      <c r="L214" s="4"/>
      <c r="M214" s="4"/>
      <c r="N214" s="4"/>
      <c r="O214" s="4"/>
      <c r="P214" s="4"/>
      <c r="Q214" s="4"/>
      <c r="R214" s="4"/>
      <c r="S214" s="4"/>
      <c r="T214" s="4"/>
      <c r="U214" s="4"/>
    </row>
    <row r="215" ht="15.75" customHeight="1">
      <c r="A215" s="4"/>
      <c r="B215" s="4"/>
      <c r="C215" s="4"/>
      <c r="D215" s="4"/>
      <c r="E215" s="4"/>
      <c r="F215" s="4"/>
      <c r="G215" s="4"/>
      <c r="H215" s="4"/>
      <c r="I215" s="4"/>
      <c r="J215" s="4"/>
      <c r="K215" s="4"/>
      <c r="L215" s="4"/>
      <c r="M215" s="4"/>
      <c r="N215" s="4"/>
      <c r="O215" s="4"/>
      <c r="P215" s="4"/>
      <c r="Q215" s="4"/>
      <c r="R215" s="4"/>
      <c r="S215" s="4"/>
      <c r="T215" s="4"/>
      <c r="U215" s="4"/>
    </row>
    <row r="216" ht="15.75" customHeight="1">
      <c r="A216" s="4"/>
      <c r="B216" s="4"/>
      <c r="C216" s="4"/>
      <c r="D216" s="4"/>
      <c r="E216" s="4"/>
      <c r="F216" s="4"/>
      <c r="G216" s="4"/>
      <c r="H216" s="4"/>
      <c r="I216" s="4"/>
      <c r="J216" s="4"/>
      <c r="K216" s="4"/>
      <c r="L216" s="4"/>
      <c r="M216" s="4"/>
      <c r="N216" s="4"/>
      <c r="O216" s="4"/>
      <c r="P216" s="4"/>
      <c r="Q216" s="4"/>
      <c r="R216" s="4"/>
      <c r="S216" s="4"/>
      <c r="T216" s="4"/>
      <c r="U216" s="4"/>
    </row>
    <row r="217" ht="15.75" customHeight="1">
      <c r="A217" s="4"/>
      <c r="B217" s="4"/>
      <c r="C217" s="4"/>
      <c r="D217" s="4"/>
      <c r="E217" s="4"/>
      <c r="F217" s="4"/>
      <c r="G217" s="4"/>
      <c r="H217" s="4"/>
      <c r="I217" s="4"/>
      <c r="J217" s="4"/>
      <c r="K217" s="4"/>
      <c r="L217" s="4"/>
      <c r="M217" s="4"/>
      <c r="N217" s="4"/>
      <c r="O217" s="4"/>
      <c r="P217" s="4"/>
      <c r="Q217" s="4"/>
      <c r="R217" s="4"/>
      <c r="S217" s="4"/>
      <c r="T217" s="4"/>
      <c r="U217" s="4"/>
    </row>
    <row r="218" ht="15.75" customHeight="1">
      <c r="A218" s="4"/>
      <c r="B218" s="4"/>
      <c r="C218" s="4"/>
      <c r="D218" s="4"/>
      <c r="E218" s="4"/>
      <c r="F218" s="4"/>
      <c r="G218" s="4"/>
      <c r="H218" s="4"/>
      <c r="I218" s="4"/>
      <c r="J218" s="4"/>
      <c r="K218" s="4"/>
      <c r="L218" s="4"/>
      <c r="M218" s="4"/>
      <c r="N218" s="4"/>
      <c r="O218" s="4"/>
      <c r="P218" s="4"/>
      <c r="Q218" s="4"/>
      <c r="R218" s="4"/>
      <c r="S218" s="4"/>
      <c r="T218" s="4"/>
      <c r="U218" s="4"/>
    </row>
    <row r="219" ht="15.75" customHeight="1">
      <c r="A219" s="4"/>
      <c r="B219" s="4"/>
      <c r="C219" s="4"/>
      <c r="D219" s="4"/>
      <c r="E219" s="4"/>
      <c r="F219" s="4"/>
      <c r="G219" s="4"/>
      <c r="H219" s="4"/>
      <c r="I219" s="4"/>
      <c r="J219" s="4"/>
      <c r="K219" s="4"/>
      <c r="L219" s="4"/>
      <c r="M219" s="4"/>
      <c r="N219" s="4"/>
      <c r="O219" s="4"/>
      <c r="P219" s="4"/>
      <c r="Q219" s="4"/>
      <c r="R219" s="4"/>
      <c r="S219" s="4"/>
      <c r="T219" s="4"/>
      <c r="U219" s="4"/>
    </row>
    <row r="220" ht="15.75" customHeight="1">
      <c r="A220" s="4"/>
      <c r="B220" s="4"/>
      <c r="C220" s="4"/>
      <c r="D220" s="4"/>
      <c r="E220" s="4"/>
      <c r="F220" s="4"/>
      <c r="G220" s="4"/>
      <c r="H220" s="4"/>
      <c r="I220" s="4"/>
      <c r="J220" s="4"/>
      <c r="K220" s="4"/>
      <c r="L220" s="4"/>
      <c r="M220" s="4"/>
      <c r="N220" s="4"/>
      <c r="O220" s="4"/>
      <c r="P220" s="4"/>
      <c r="Q220" s="4"/>
      <c r="R220" s="4"/>
      <c r="S220" s="4"/>
      <c r="T220" s="4"/>
      <c r="U220" s="4"/>
    </row>
    <row r="221" ht="15.75" customHeight="1">
      <c r="A221" s="4"/>
      <c r="B221" s="4"/>
      <c r="C221" s="4"/>
      <c r="D221" s="4"/>
      <c r="E221" s="4"/>
      <c r="F221" s="4"/>
      <c r="G221" s="4"/>
      <c r="H221" s="4"/>
      <c r="I221" s="4"/>
      <c r="J221" s="4"/>
      <c r="K221" s="4"/>
      <c r="L221" s="4"/>
      <c r="M221" s="4"/>
      <c r="N221" s="4"/>
      <c r="O221" s="4"/>
      <c r="P221" s="4"/>
      <c r="Q221" s="4"/>
      <c r="R221" s="4"/>
      <c r="S221" s="4"/>
      <c r="T221" s="4"/>
      <c r="U221" s="4"/>
    </row>
    <row r="222" ht="15.75" customHeight="1">
      <c r="A222" s="4"/>
      <c r="B222" s="4"/>
      <c r="C222" s="4"/>
      <c r="D222" s="4"/>
      <c r="E222" s="4"/>
      <c r="F222" s="4"/>
      <c r="G222" s="4"/>
      <c r="H222" s="4"/>
      <c r="I222" s="4"/>
      <c r="J222" s="4"/>
      <c r="K222" s="4"/>
      <c r="L222" s="4"/>
      <c r="M222" s="4"/>
      <c r="N222" s="4"/>
      <c r="O222" s="4"/>
      <c r="P222" s="4"/>
      <c r="Q222" s="4"/>
      <c r="R222" s="4"/>
      <c r="S222" s="4"/>
      <c r="T222" s="4"/>
      <c r="U222" s="4"/>
    </row>
    <row r="223" ht="15.75" customHeight="1">
      <c r="A223" s="4"/>
      <c r="B223" s="4"/>
      <c r="C223" s="4"/>
      <c r="D223" s="4"/>
      <c r="E223" s="4"/>
      <c r="F223" s="4"/>
      <c r="G223" s="4"/>
      <c r="H223" s="4"/>
      <c r="I223" s="4"/>
      <c r="J223" s="4"/>
      <c r="K223" s="4"/>
      <c r="L223" s="4"/>
      <c r="M223" s="4"/>
      <c r="N223" s="4"/>
      <c r="O223" s="4"/>
      <c r="P223" s="4"/>
      <c r="Q223" s="4"/>
      <c r="R223" s="4"/>
      <c r="S223" s="4"/>
      <c r="T223" s="4"/>
      <c r="U223" s="4"/>
    </row>
    <row r="224" ht="15.75" customHeight="1">
      <c r="A224" s="4"/>
      <c r="B224" s="4"/>
      <c r="C224" s="4"/>
      <c r="D224" s="4"/>
      <c r="E224" s="4"/>
      <c r="F224" s="4"/>
      <c r="G224" s="4"/>
      <c r="H224" s="4"/>
      <c r="I224" s="4"/>
      <c r="J224" s="4"/>
      <c r="K224" s="4"/>
      <c r="L224" s="4"/>
      <c r="M224" s="4"/>
      <c r="N224" s="4"/>
      <c r="O224" s="4"/>
      <c r="P224" s="4"/>
      <c r="Q224" s="4"/>
      <c r="R224" s="4"/>
      <c r="S224" s="4"/>
      <c r="T224" s="4"/>
      <c r="U224" s="4"/>
    </row>
    <row r="225" ht="15.75" customHeight="1">
      <c r="A225" s="4"/>
      <c r="B225" s="4"/>
      <c r="C225" s="4"/>
      <c r="D225" s="4"/>
      <c r="E225" s="4"/>
      <c r="F225" s="4"/>
      <c r="G225" s="4"/>
      <c r="H225" s="4"/>
      <c r="I225" s="4"/>
      <c r="J225" s="4"/>
      <c r="K225" s="4"/>
      <c r="L225" s="4"/>
      <c r="M225" s="4"/>
      <c r="N225" s="4"/>
      <c r="O225" s="4"/>
      <c r="P225" s="4"/>
      <c r="Q225" s="4"/>
      <c r="R225" s="4"/>
      <c r="S225" s="4"/>
      <c r="T225" s="4"/>
      <c r="U225" s="4"/>
    </row>
    <row r="226" ht="15.75" customHeight="1">
      <c r="A226" s="4"/>
      <c r="B226" s="4"/>
      <c r="C226" s="4"/>
      <c r="D226" s="4"/>
      <c r="E226" s="4"/>
      <c r="F226" s="4"/>
      <c r="G226" s="4"/>
      <c r="H226" s="4"/>
      <c r="I226" s="4"/>
      <c r="J226" s="4"/>
      <c r="K226" s="4"/>
      <c r="L226" s="4"/>
      <c r="M226" s="4"/>
      <c r="N226" s="4"/>
      <c r="O226" s="4"/>
      <c r="P226" s="4"/>
      <c r="Q226" s="4"/>
      <c r="R226" s="4"/>
      <c r="S226" s="4"/>
      <c r="T226" s="4"/>
      <c r="U226" s="4"/>
    </row>
    <row r="227" ht="15.75" customHeight="1">
      <c r="A227" s="4"/>
      <c r="B227" s="4"/>
      <c r="C227" s="4"/>
      <c r="D227" s="4"/>
      <c r="E227" s="4"/>
      <c r="F227" s="4"/>
      <c r="G227" s="4"/>
      <c r="H227" s="4"/>
      <c r="I227" s="4"/>
      <c r="J227" s="4"/>
      <c r="K227" s="4"/>
      <c r="L227" s="4"/>
      <c r="M227" s="4"/>
      <c r="N227" s="4"/>
      <c r="O227" s="4"/>
      <c r="P227" s="4"/>
      <c r="Q227" s="4"/>
      <c r="R227" s="4"/>
      <c r="S227" s="4"/>
      <c r="T227" s="4"/>
      <c r="U227" s="4"/>
    </row>
    <row r="228" ht="15.75" customHeight="1">
      <c r="A228" s="4"/>
      <c r="B228" s="4"/>
      <c r="C228" s="4"/>
      <c r="D228" s="4"/>
      <c r="E228" s="4"/>
      <c r="F228" s="4"/>
      <c r="G228" s="4"/>
      <c r="H228" s="4"/>
      <c r="I228" s="4"/>
      <c r="J228" s="4"/>
      <c r="K228" s="4"/>
      <c r="L228" s="4"/>
      <c r="M228" s="4"/>
      <c r="N228" s="4"/>
      <c r="O228" s="4"/>
      <c r="P228" s="4"/>
      <c r="Q228" s="4"/>
      <c r="R228" s="4"/>
      <c r="S228" s="4"/>
      <c r="T228" s="4"/>
      <c r="U228" s="4"/>
    </row>
    <row r="229" ht="15.75" customHeight="1">
      <c r="A229" s="4"/>
      <c r="B229" s="4"/>
      <c r="C229" s="4"/>
      <c r="D229" s="4"/>
      <c r="E229" s="4"/>
      <c r="F229" s="4"/>
      <c r="G229" s="4"/>
      <c r="H229" s="4"/>
      <c r="I229" s="4"/>
      <c r="J229" s="4"/>
      <c r="K229" s="4"/>
      <c r="L229" s="4"/>
      <c r="M229" s="4"/>
      <c r="N229" s="4"/>
      <c r="O229" s="4"/>
      <c r="P229" s="4"/>
      <c r="Q229" s="4"/>
      <c r="R229" s="4"/>
      <c r="S229" s="4"/>
      <c r="T229" s="4"/>
      <c r="U229" s="4"/>
    </row>
    <row r="230" ht="15.75" customHeight="1">
      <c r="A230" s="4"/>
      <c r="B230" s="4"/>
      <c r="C230" s="4"/>
      <c r="D230" s="4"/>
      <c r="E230" s="4"/>
      <c r="F230" s="4"/>
      <c r="G230" s="4"/>
      <c r="H230" s="4"/>
      <c r="I230" s="4"/>
      <c r="J230" s="4"/>
      <c r="K230" s="4"/>
      <c r="L230" s="4"/>
      <c r="M230" s="4"/>
      <c r="N230" s="4"/>
      <c r="O230" s="4"/>
      <c r="P230" s="4"/>
      <c r="Q230" s="4"/>
      <c r="R230" s="4"/>
      <c r="S230" s="4"/>
      <c r="T230" s="4"/>
      <c r="U230" s="4"/>
    </row>
    <row r="231" ht="15.75" customHeight="1">
      <c r="A231" s="4"/>
      <c r="B231" s="4"/>
      <c r="C231" s="4"/>
      <c r="D231" s="4"/>
      <c r="E231" s="4"/>
      <c r="F231" s="4"/>
      <c r="G231" s="4"/>
      <c r="H231" s="4"/>
      <c r="I231" s="4"/>
      <c r="J231" s="4"/>
      <c r="K231" s="4"/>
      <c r="L231" s="4"/>
      <c r="M231" s="4"/>
      <c r="N231" s="4"/>
      <c r="O231" s="4"/>
      <c r="P231" s="4"/>
      <c r="Q231" s="4"/>
      <c r="R231" s="4"/>
      <c r="S231" s="4"/>
      <c r="T231" s="4"/>
      <c r="U231" s="4"/>
    </row>
    <row r="232" ht="15.75" customHeight="1">
      <c r="A232" s="4"/>
      <c r="B232" s="4"/>
      <c r="C232" s="4"/>
      <c r="D232" s="4"/>
      <c r="E232" s="4"/>
      <c r="F232" s="4"/>
      <c r="G232" s="4"/>
      <c r="H232" s="4"/>
      <c r="I232" s="4"/>
      <c r="J232" s="4"/>
      <c r="K232" s="4"/>
      <c r="L232" s="4"/>
      <c r="M232" s="4"/>
      <c r="N232" s="4"/>
      <c r="O232" s="4"/>
      <c r="P232" s="4"/>
      <c r="Q232" s="4"/>
      <c r="R232" s="4"/>
      <c r="S232" s="4"/>
      <c r="T232" s="4"/>
      <c r="U232" s="4"/>
    </row>
    <row r="233" ht="15.75" customHeight="1">
      <c r="A233" s="4"/>
      <c r="B233" s="4"/>
      <c r="C233" s="4"/>
      <c r="D233" s="4"/>
      <c r="E233" s="4"/>
      <c r="F233" s="4"/>
      <c r="G233" s="4"/>
      <c r="H233" s="4"/>
      <c r="I233" s="4"/>
      <c r="J233" s="4"/>
      <c r="K233" s="4"/>
      <c r="L233" s="4"/>
      <c r="M233" s="4"/>
      <c r="N233" s="4"/>
      <c r="O233" s="4"/>
      <c r="P233" s="4"/>
      <c r="Q233" s="4"/>
      <c r="R233" s="4"/>
      <c r="S233" s="4"/>
      <c r="T233" s="4"/>
      <c r="U233" s="4"/>
    </row>
    <row r="234" ht="15.75" customHeight="1">
      <c r="A234" s="4"/>
      <c r="B234" s="4"/>
      <c r="C234" s="4"/>
      <c r="D234" s="4"/>
      <c r="E234" s="4"/>
      <c r="F234" s="4"/>
      <c r="G234" s="4"/>
      <c r="H234" s="4"/>
      <c r="I234" s="4"/>
      <c r="J234" s="4"/>
      <c r="K234" s="4"/>
      <c r="L234" s="4"/>
      <c r="M234" s="4"/>
      <c r="N234" s="4"/>
      <c r="O234" s="4"/>
      <c r="P234" s="4"/>
      <c r="Q234" s="4"/>
      <c r="R234" s="4"/>
      <c r="S234" s="4"/>
      <c r="T234" s="4"/>
      <c r="U234" s="4"/>
    </row>
    <row r="235" ht="15.75" customHeight="1">
      <c r="A235" s="4"/>
      <c r="B235" s="4"/>
      <c r="C235" s="4"/>
      <c r="D235" s="4"/>
      <c r="E235" s="4"/>
      <c r="F235" s="4"/>
      <c r="G235" s="4"/>
      <c r="H235" s="4"/>
      <c r="I235" s="4"/>
      <c r="J235" s="4"/>
      <c r="K235" s="4"/>
      <c r="L235" s="4"/>
      <c r="M235" s="4"/>
      <c r="N235" s="4"/>
      <c r="O235" s="4"/>
      <c r="P235" s="4"/>
      <c r="Q235" s="4"/>
      <c r="R235" s="4"/>
      <c r="S235" s="4"/>
      <c r="T235" s="4"/>
      <c r="U235" s="4"/>
    </row>
    <row r="236" ht="15.75" customHeight="1">
      <c r="A236" s="4"/>
      <c r="B236" s="4"/>
      <c r="C236" s="4"/>
      <c r="D236" s="4"/>
      <c r="E236" s="4"/>
      <c r="F236" s="4"/>
      <c r="G236" s="4"/>
      <c r="H236" s="4"/>
      <c r="I236" s="4"/>
      <c r="J236" s="4"/>
      <c r="K236" s="4"/>
      <c r="L236" s="4"/>
      <c r="M236" s="4"/>
      <c r="N236" s="4"/>
      <c r="O236" s="4"/>
      <c r="P236" s="4"/>
      <c r="Q236" s="4"/>
      <c r="R236" s="4"/>
      <c r="S236" s="4"/>
      <c r="T236" s="4"/>
      <c r="U236" s="4"/>
    </row>
    <row r="237" ht="15.75" customHeight="1">
      <c r="A237" s="4"/>
      <c r="B237" s="4"/>
      <c r="C237" s="4"/>
      <c r="D237" s="4"/>
      <c r="E237" s="4"/>
      <c r="F237" s="4"/>
      <c r="G237" s="4"/>
      <c r="H237" s="4"/>
      <c r="I237" s="4"/>
      <c r="J237" s="4"/>
      <c r="K237" s="4"/>
      <c r="L237" s="4"/>
      <c r="M237" s="4"/>
      <c r="N237" s="4"/>
      <c r="O237" s="4"/>
      <c r="P237" s="4"/>
      <c r="Q237" s="4"/>
      <c r="R237" s="4"/>
      <c r="S237" s="4"/>
      <c r="T237" s="4"/>
      <c r="U237" s="4"/>
    </row>
    <row r="238" ht="15.75" customHeight="1">
      <c r="A238" s="4"/>
      <c r="B238" s="4"/>
      <c r="C238" s="4"/>
      <c r="D238" s="4"/>
      <c r="E238" s="4"/>
      <c r="F238" s="4"/>
      <c r="G238" s="4"/>
      <c r="H238" s="4"/>
      <c r="I238" s="4"/>
      <c r="J238" s="4"/>
      <c r="K238" s="4"/>
      <c r="L238" s="4"/>
      <c r="M238" s="4"/>
      <c r="N238" s="4"/>
      <c r="O238" s="4"/>
      <c r="P238" s="4"/>
      <c r="Q238" s="4"/>
      <c r="R238" s="4"/>
      <c r="S238" s="4"/>
      <c r="T238" s="4"/>
      <c r="U238" s="4"/>
    </row>
    <row r="239" ht="15.75" customHeight="1">
      <c r="A239" s="4"/>
      <c r="B239" s="4"/>
      <c r="C239" s="4"/>
      <c r="D239" s="4"/>
      <c r="E239" s="4"/>
      <c r="F239" s="4"/>
      <c r="G239" s="4"/>
      <c r="H239" s="4"/>
      <c r="I239" s="4"/>
      <c r="J239" s="4"/>
      <c r="K239" s="4"/>
      <c r="L239" s="4"/>
      <c r="M239" s="4"/>
      <c r="N239" s="4"/>
      <c r="O239" s="4"/>
      <c r="P239" s="4"/>
      <c r="Q239" s="4"/>
      <c r="R239" s="4"/>
      <c r="S239" s="4"/>
      <c r="T239" s="4"/>
      <c r="U239" s="4"/>
    </row>
    <row r="240" ht="15.75" customHeight="1">
      <c r="A240" s="4"/>
      <c r="B240" s="4"/>
      <c r="C240" s="4"/>
      <c r="D240" s="4"/>
      <c r="E240" s="4"/>
      <c r="F240" s="4"/>
      <c r="G240" s="4"/>
      <c r="H240" s="4"/>
      <c r="I240" s="4"/>
      <c r="J240" s="4"/>
      <c r="K240" s="4"/>
      <c r="L240" s="4"/>
      <c r="M240" s="4"/>
      <c r="N240" s="4"/>
      <c r="O240" s="4"/>
      <c r="P240" s="4"/>
      <c r="Q240" s="4"/>
      <c r="R240" s="4"/>
      <c r="S240" s="4"/>
      <c r="T240" s="4"/>
      <c r="U240" s="4"/>
    </row>
    <row r="241" ht="15.75" customHeight="1">
      <c r="A241" s="4"/>
      <c r="B241" s="4"/>
      <c r="C241" s="4"/>
      <c r="D241" s="4"/>
      <c r="E241" s="4"/>
      <c r="F241" s="4"/>
      <c r="G241" s="4"/>
      <c r="H241" s="4"/>
      <c r="I241" s="4"/>
      <c r="J241" s="4"/>
      <c r="K241" s="4"/>
      <c r="L241" s="4"/>
      <c r="M241" s="4"/>
      <c r="N241" s="4"/>
      <c r="O241" s="4"/>
      <c r="P241" s="4"/>
      <c r="Q241" s="4"/>
      <c r="R241" s="4"/>
      <c r="S241" s="4"/>
      <c r="T241" s="4"/>
      <c r="U241" s="4"/>
    </row>
    <row r="242" ht="15.75" customHeight="1">
      <c r="A242" s="4"/>
      <c r="B242" s="4"/>
      <c r="C242" s="4"/>
      <c r="D242" s="4"/>
      <c r="E242" s="4"/>
      <c r="F242" s="4"/>
      <c r="G242" s="4"/>
      <c r="H242" s="4"/>
      <c r="I242" s="4"/>
      <c r="J242" s="4"/>
      <c r="K242" s="4"/>
      <c r="L242" s="4"/>
      <c r="M242" s="4"/>
      <c r="N242" s="4"/>
      <c r="O242" s="4"/>
      <c r="P242" s="4"/>
      <c r="Q242" s="4"/>
      <c r="R242" s="4"/>
      <c r="S242" s="4"/>
      <c r="T242" s="4"/>
      <c r="U242" s="4"/>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2">
    <mergeCell ref="C6:E6"/>
    <mergeCell ref="C19:C20"/>
    <mergeCell ref="E19:E20"/>
    <mergeCell ref="C27:C28"/>
    <mergeCell ref="B2:S2"/>
    <mergeCell ref="C4:E4"/>
    <mergeCell ref="D13:R13"/>
    <mergeCell ref="D14:R14"/>
    <mergeCell ref="D15:R15"/>
    <mergeCell ref="D16:R16"/>
    <mergeCell ref="D17:R17"/>
    <mergeCell ref="N22:R22"/>
    <mergeCell ref="N23:R23"/>
    <mergeCell ref="F19:J20"/>
    <mergeCell ref="M19:M20"/>
    <mergeCell ref="N19:R20"/>
    <mergeCell ref="F21:J21"/>
    <mergeCell ref="N21:R21"/>
    <mergeCell ref="F22:J22"/>
    <mergeCell ref="F23:J23"/>
    <mergeCell ref="E33:R33"/>
    <mergeCell ref="E34:R34"/>
    <mergeCell ref="E35:R35"/>
    <mergeCell ref="G41:J41"/>
    <mergeCell ref="O41:R41"/>
    <mergeCell ref="F24:J24"/>
    <mergeCell ref="N24:R24"/>
    <mergeCell ref="F25:J25"/>
    <mergeCell ref="E27:R28"/>
    <mergeCell ref="E30:R30"/>
    <mergeCell ref="E31:R31"/>
    <mergeCell ref="E32:R32"/>
  </mergeCells>
  <printOptions horizontalCentered="1" verticalCentered="1"/>
  <pageMargins bottom="0.0784722222222222" footer="0.0" header="0.0" left="0.0" right="0.0" top="0.236111111111111"/>
  <pageSetup paperSize="9" orientation="portrait"/>
  <rowBreaks count="1" manualBreakCount="1">
    <brk id="43" man="1"/>
  </rowBrea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fitToPage="1"/>
  </sheetPr>
  <sheetViews>
    <sheetView showGridLines="0" workbookViewId="0"/>
  </sheetViews>
  <sheetFormatPr customHeight="1" defaultColWidth="12.63" defaultRowHeight="15.0"/>
  <cols>
    <col customWidth="1" min="1" max="1" width="1.88"/>
    <col customWidth="1" min="2" max="2" width="9.88"/>
    <col customWidth="1" min="3" max="3" width="3.25"/>
    <col customWidth="1" min="4" max="4" width="10.75"/>
    <col customWidth="1" min="5" max="5" width="12.38"/>
    <col customWidth="1" min="6" max="6" width="9.5"/>
    <col customWidth="1" min="7" max="7" width="13.88"/>
    <col customWidth="1" min="8" max="8" width="12.75"/>
    <col customWidth="1" min="9" max="9" width="9.0"/>
    <col customWidth="1" min="10" max="10" width="5.75"/>
    <col customWidth="1" min="11" max="11" width="3.25"/>
    <col customWidth="1" min="12" max="12" width="10.75"/>
    <col customWidth="1" min="13" max="13" width="7.63"/>
    <col customWidth="1" min="14" max="14" width="4.13"/>
    <col customWidth="1" min="15" max="15" width="9.5"/>
    <col customWidth="1" min="16" max="16" width="4.88"/>
    <col customWidth="1" min="17" max="17" width="9.63"/>
    <col customWidth="1" min="18" max="18" width="11.13"/>
    <col customWidth="1" min="19" max="19" width="13.25"/>
    <col customWidth="1" min="20" max="20" width="9.88"/>
    <col customWidth="1" min="21" max="21" width="2.13"/>
    <col customWidth="1" min="22" max="27" width="11.5"/>
  </cols>
  <sheetData>
    <row r="1" ht="15.75" customHeight="1">
      <c r="A1" s="4"/>
      <c r="B1" s="4"/>
      <c r="C1" s="4"/>
      <c r="D1" s="4"/>
      <c r="E1" s="4"/>
      <c r="F1" s="4"/>
      <c r="G1" s="4"/>
      <c r="H1" s="4"/>
      <c r="I1" s="4"/>
      <c r="J1" s="4"/>
      <c r="K1" s="4"/>
      <c r="L1" s="4"/>
      <c r="M1" s="4"/>
      <c r="N1" s="4"/>
      <c r="O1" s="4"/>
      <c r="P1" s="4"/>
      <c r="Q1" s="4"/>
      <c r="R1" s="4"/>
      <c r="S1" s="4"/>
      <c r="T1" s="4"/>
      <c r="U1" s="4"/>
      <c r="V1" s="4"/>
      <c r="W1" s="4"/>
      <c r="X1" s="4"/>
      <c r="Y1" s="4"/>
      <c r="Z1" s="4"/>
      <c r="AA1" s="4"/>
    </row>
    <row r="2" ht="30.0" customHeight="1">
      <c r="A2" s="4"/>
      <c r="B2" s="214"/>
      <c r="C2" s="216"/>
      <c r="D2" s="217"/>
      <c r="E2" s="216"/>
      <c r="F2" s="216"/>
      <c r="G2" s="216"/>
      <c r="H2" s="216"/>
      <c r="I2" s="216"/>
      <c r="J2" s="216"/>
      <c r="K2" s="216"/>
      <c r="L2" s="216"/>
      <c r="M2" s="216"/>
      <c r="N2" s="216"/>
      <c r="O2" s="216"/>
      <c r="P2" s="216"/>
      <c r="Q2" s="218" t="s">
        <v>98</v>
      </c>
      <c r="R2" s="220"/>
      <c r="S2" s="220"/>
      <c r="T2" s="221"/>
      <c r="U2" s="4" t="s">
        <v>3</v>
      </c>
      <c r="V2" s="4"/>
      <c r="W2" s="4"/>
      <c r="X2" s="4"/>
      <c r="Y2" s="4"/>
      <c r="Z2" s="4"/>
      <c r="AA2" s="4"/>
    </row>
    <row r="3" ht="30.0" customHeight="1">
      <c r="A3" s="4"/>
      <c r="B3" s="222"/>
      <c r="C3" s="223"/>
      <c r="D3" s="224"/>
      <c r="E3" s="223" t="s">
        <v>102</v>
      </c>
      <c r="P3" s="223"/>
      <c r="Q3" s="226" t="s">
        <v>103</v>
      </c>
      <c r="T3" s="227"/>
      <c r="U3" s="4"/>
      <c r="V3" s="4"/>
      <c r="W3" s="4"/>
      <c r="X3" s="4"/>
      <c r="Y3" s="4"/>
      <c r="Z3" s="4"/>
      <c r="AA3" s="4"/>
    </row>
    <row r="4" ht="30.0" customHeight="1">
      <c r="A4" s="4"/>
      <c r="B4" s="222"/>
      <c r="C4" s="223"/>
      <c r="D4" s="224"/>
      <c r="P4" s="223"/>
      <c r="Q4" s="226" t="s">
        <v>104</v>
      </c>
      <c r="T4" s="227"/>
      <c r="U4" s="4"/>
      <c r="V4" s="4"/>
      <c r="W4" s="4"/>
      <c r="X4" s="4"/>
      <c r="Y4" s="4"/>
      <c r="Z4" s="4"/>
      <c r="AA4" s="4"/>
    </row>
    <row r="5" ht="30.0" customHeight="1">
      <c r="A5" s="4"/>
      <c r="B5" s="231"/>
      <c r="C5" s="234"/>
      <c r="D5" s="237"/>
      <c r="E5" s="234"/>
      <c r="F5" s="234"/>
      <c r="G5" s="234"/>
      <c r="H5" s="234"/>
      <c r="I5" s="234"/>
      <c r="J5" s="234"/>
      <c r="K5" s="234"/>
      <c r="L5" s="234"/>
      <c r="M5" s="234"/>
      <c r="N5" s="234"/>
      <c r="O5" s="234"/>
      <c r="P5" s="234"/>
      <c r="Q5" s="238"/>
      <c r="R5" s="239"/>
      <c r="S5" s="239"/>
      <c r="T5" s="240"/>
      <c r="U5" s="4"/>
      <c r="V5" s="4"/>
      <c r="W5" s="4"/>
      <c r="X5" s="4"/>
      <c r="Y5" s="4"/>
      <c r="Z5" s="4"/>
      <c r="AA5" s="4"/>
    </row>
    <row r="6" ht="17.25" customHeight="1">
      <c r="A6" s="4"/>
      <c r="B6" s="15"/>
      <c r="C6" s="4"/>
      <c r="D6" s="4"/>
      <c r="E6" s="4"/>
      <c r="F6" s="4"/>
      <c r="G6" s="4"/>
      <c r="H6" s="4"/>
      <c r="I6" s="4"/>
      <c r="J6" s="4"/>
      <c r="K6" s="4"/>
      <c r="L6" s="4"/>
      <c r="M6" s="4"/>
      <c r="N6" s="4"/>
      <c r="O6" s="4"/>
      <c r="P6" s="4"/>
      <c r="Q6" s="4"/>
      <c r="R6" s="4"/>
      <c r="S6" s="4"/>
      <c r="T6" s="19"/>
      <c r="U6" s="4"/>
      <c r="V6" s="4"/>
      <c r="W6" s="4"/>
      <c r="X6" s="4"/>
      <c r="Y6" s="4"/>
      <c r="Z6" s="4"/>
      <c r="AA6" s="4"/>
    </row>
    <row r="7" ht="18.75" customHeight="1">
      <c r="A7" s="4"/>
      <c r="B7" s="242" t="s">
        <v>107</v>
      </c>
      <c r="D7" s="243"/>
      <c r="E7" s="244"/>
      <c r="F7" s="245"/>
      <c r="G7" s="246" t="s">
        <v>7</v>
      </c>
      <c r="H7" s="247"/>
      <c r="I7" s="248"/>
      <c r="J7" s="249" t="s">
        <v>10</v>
      </c>
      <c r="K7" s="243"/>
      <c r="L7" s="245"/>
      <c r="M7" s="246"/>
      <c r="N7" s="246" t="s">
        <v>12</v>
      </c>
      <c r="O7" s="243"/>
      <c r="P7" s="245"/>
      <c r="Q7" s="246" t="s">
        <v>17</v>
      </c>
      <c r="S7" s="247"/>
      <c r="T7" s="19"/>
      <c r="U7" s="4"/>
      <c r="V7" s="4"/>
      <c r="W7" s="4"/>
      <c r="X7" s="4"/>
      <c r="Y7" s="4"/>
      <c r="Z7" s="4"/>
      <c r="AA7" s="4"/>
    </row>
    <row r="8" ht="4.5" customHeight="1">
      <c r="A8" s="4"/>
      <c r="B8" s="42"/>
      <c r="C8" s="252"/>
      <c r="D8" s="45"/>
      <c r="E8" s="45"/>
      <c r="F8" s="45"/>
      <c r="G8" s="254"/>
      <c r="H8" s="255"/>
      <c r="I8" s="254"/>
      <c r="J8" s="254"/>
      <c r="K8" s="255"/>
      <c r="L8" s="255"/>
      <c r="M8" s="258"/>
      <c r="N8" s="258"/>
      <c r="O8" s="255"/>
      <c r="P8" s="255"/>
      <c r="R8" s="254"/>
      <c r="S8" s="259"/>
      <c r="T8" s="19"/>
      <c r="U8" s="4"/>
      <c r="V8" s="4"/>
      <c r="W8" s="4"/>
      <c r="X8" s="4"/>
      <c r="Y8" s="4"/>
      <c r="Z8" s="4"/>
      <c r="AA8" s="4"/>
    </row>
    <row r="9" ht="18.75" customHeight="1">
      <c r="A9" s="4"/>
      <c r="B9" s="242" t="s">
        <v>110</v>
      </c>
      <c r="D9" s="243"/>
      <c r="E9" s="244"/>
      <c r="F9" s="245"/>
      <c r="G9" s="246" t="s">
        <v>22</v>
      </c>
      <c r="H9" s="247"/>
      <c r="I9" s="248"/>
      <c r="J9" s="249" t="s">
        <v>23</v>
      </c>
      <c r="K9" s="243"/>
      <c r="L9" s="245"/>
      <c r="M9" s="246"/>
      <c r="N9" s="246" t="s">
        <v>12</v>
      </c>
      <c r="O9" s="243"/>
      <c r="P9" s="245"/>
      <c r="Q9" s="246" t="s">
        <v>17</v>
      </c>
      <c r="S9" s="247"/>
      <c r="T9" s="19"/>
      <c r="U9" s="4"/>
      <c r="V9" s="4"/>
      <c r="W9" s="4"/>
      <c r="X9" s="4"/>
      <c r="Y9" s="4"/>
      <c r="Z9" s="4"/>
      <c r="AA9" s="4"/>
    </row>
    <row r="10" ht="4.5" customHeight="1">
      <c r="A10" s="4"/>
      <c r="B10" s="42"/>
      <c r="C10" s="252"/>
      <c r="D10" s="261"/>
      <c r="E10" s="45"/>
      <c r="F10" s="45"/>
      <c r="G10" s="254"/>
      <c r="H10" s="255"/>
      <c r="I10" s="254"/>
      <c r="J10" s="254"/>
      <c r="K10" s="255"/>
      <c r="L10" s="255"/>
      <c r="M10" s="254"/>
      <c r="N10" s="254"/>
      <c r="O10" s="255"/>
      <c r="P10" s="255"/>
      <c r="R10" s="254"/>
      <c r="S10" s="259"/>
      <c r="T10" s="19"/>
      <c r="U10" s="4"/>
      <c r="V10" s="4"/>
      <c r="W10" s="4"/>
      <c r="X10" s="4"/>
      <c r="Y10" s="4"/>
      <c r="Z10" s="4"/>
      <c r="AA10" s="4"/>
    </row>
    <row r="11" ht="18.75" customHeight="1">
      <c r="A11" s="4"/>
      <c r="B11" s="242" t="s">
        <v>112</v>
      </c>
      <c r="D11" s="243"/>
      <c r="E11" s="245"/>
      <c r="F11" s="45"/>
      <c r="G11" s="246" t="s">
        <v>36</v>
      </c>
      <c r="H11" s="263"/>
      <c r="I11" s="264"/>
      <c r="J11" s="249" t="s">
        <v>37</v>
      </c>
      <c r="K11" s="265"/>
      <c r="L11" s="245"/>
      <c r="M11" s="249"/>
      <c r="N11" s="249" t="s">
        <v>12</v>
      </c>
      <c r="O11" s="265"/>
      <c r="P11" s="245"/>
      <c r="Q11" s="246" t="s">
        <v>17</v>
      </c>
      <c r="S11" s="267"/>
      <c r="T11" s="19"/>
      <c r="U11" s="4"/>
      <c r="V11" s="4"/>
      <c r="W11" s="4"/>
      <c r="X11" s="4"/>
      <c r="Y11" s="4"/>
      <c r="Z11" s="4"/>
      <c r="AA11" s="4"/>
    </row>
    <row r="12" ht="4.5" customHeight="1">
      <c r="A12" s="4"/>
      <c r="B12" s="94"/>
      <c r="C12" s="269"/>
      <c r="D12" s="33"/>
      <c r="E12" s="33"/>
      <c r="F12" s="33"/>
      <c r="G12" s="270"/>
      <c r="H12" s="270"/>
      <c r="I12" s="254"/>
      <c r="J12" s="270"/>
      <c r="K12" s="255"/>
      <c r="L12" s="270"/>
      <c r="M12" s="254"/>
      <c r="N12" s="254"/>
      <c r="O12" s="255"/>
      <c r="P12" s="255"/>
      <c r="R12" s="254"/>
      <c r="S12" s="271"/>
      <c r="T12" s="19"/>
      <c r="U12" s="4"/>
      <c r="V12" s="4"/>
      <c r="W12" s="4"/>
      <c r="X12" s="4"/>
      <c r="Y12" s="4"/>
      <c r="Z12" s="4"/>
      <c r="AA12" s="4"/>
    </row>
    <row r="13" ht="15.75" customHeight="1">
      <c r="A13" s="4"/>
      <c r="B13" s="272"/>
      <c r="C13" s="33"/>
      <c r="D13" s="33"/>
      <c r="E13" s="33"/>
      <c r="F13" s="33"/>
      <c r="G13" s="249" t="s">
        <v>47</v>
      </c>
      <c r="H13" s="263"/>
      <c r="I13" s="264"/>
      <c r="J13" s="249" t="s">
        <v>50</v>
      </c>
      <c r="K13" s="265"/>
      <c r="L13" s="245"/>
      <c r="M13" s="249"/>
      <c r="N13" s="249" t="s">
        <v>12</v>
      </c>
      <c r="O13" s="265"/>
      <c r="P13" s="245"/>
      <c r="Q13" s="246" t="s">
        <v>17</v>
      </c>
      <c r="S13" s="267"/>
      <c r="T13" s="19"/>
      <c r="U13" s="4"/>
      <c r="V13" s="4"/>
      <c r="W13" s="4"/>
      <c r="X13" s="4"/>
      <c r="Y13" s="4"/>
      <c r="Z13" s="4"/>
      <c r="AA13" s="4"/>
    </row>
    <row r="14" ht="4.5" customHeight="1">
      <c r="A14" s="4"/>
      <c r="B14" s="15"/>
      <c r="C14" s="4"/>
      <c r="D14" s="4"/>
      <c r="E14" s="4"/>
      <c r="F14" s="4"/>
      <c r="G14" s="4"/>
      <c r="H14" s="259"/>
      <c r="I14" s="4"/>
      <c r="J14" s="4"/>
      <c r="K14" s="259"/>
      <c r="L14" s="259"/>
      <c r="M14" s="4"/>
      <c r="N14" s="4"/>
      <c r="O14" s="259"/>
      <c r="P14" s="259"/>
      <c r="R14" s="4"/>
      <c r="S14" s="259"/>
      <c r="T14" s="19"/>
      <c r="U14" s="4"/>
      <c r="V14" s="4"/>
      <c r="W14" s="4"/>
      <c r="X14" s="4"/>
      <c r="Y14" s="4"/>
      <c r="Z14" s="4"/>
      <c r="AA14" s="4"/>
    </row>
    <row r="15" ht="18.75" customHeight="1">
      <c r="A15" s="4"/>
      <c r="B15" s="15"/>
      <c r="C15" s="274"/>
      <c r="E15" s="275"/>
      <c r="F15" s="275"/>
      <c r="G15" s="249" t="s">
        <v>114</v>
      </c>
      <c r="H15" s="263"/>
      <c r="I15" s="264"/>
      <c r="J15" s="249" t="s">
        <v>115</v>
      </c>
      <c r="K15" s="265"/>
      <c r="L15" s="245"/>
      <c r="M15" s="249"/>
      <c r="N15" s="249" t="s">
        <v>12</v>
      </c>
      <c r="O15" s="265"/>
      <c r="P15" s="245"/>
      <c r="Q15" s="246" t="s">
        <v>17</v>
      </c>
      <c r="S15" s="267"/>
      <c r="T15" s="19"/>
      <c r="U15" s="4"/>
      <c r="V15" s="4"/>
      <c r="W15" s="4"/>
      <c r="X15" s="4"/>
      <c r="Y15" s="4"/>
      <c r="Z15" s="4"/>
      <c r="AA15" s="4"/>
    </row>
    <row r="16" ht="4.5" customHeight="1">
      <c r="A16" s="4"/>
      <c r="B16" s="15"/>
      <c r="C16" s="274"/>
      <c r="E16" s="275"/>
      <c r="F16" s="275"/>
      <c r="G16" s="4"/>
      <c r="H16" s="259"/>
      <c r="I16" s="4"/>
      <c r="J16" s="4"/>
      <c r="K16" s="259"/>
      <c r="L16" s="259"/>
      <c r="M16" s="4"/>
      <c r="N16" s="4"/>
      <c r="O16" s="259"/>
      <c r="P16" s="259"/>
      <c r="R16" s="4"/>
      <c r="S16" s="259"/>
      <c r="T16" s="19"/>
      <c r="U16" s="4"/>
      <c r="V16" s="4"/>
      <c r="W16" s="4"/>
      <c r="X16" s="4"/>
      <c r="Y16" s="4"/>
      <c r="Z16" s="4"/>
      <c r="AA16" s="4"/>
    </row>
    <row r="17" ht="18.75" customHeight="1">
      <c r="A17" s="4"/>
      <c r="B17" s="15"/>
      <c r="C17" s="274"/>
      <c r="E17" s="275"/>
      <c r="F17" s="275"/>
      <c r="G17" s="249" t="s">
        <v>117</v>
      </c>
      <c r="H17" s="263"/>
      <c r="I17" s="264"/>
      <c r="J17" s="249" t="s">
        <v>118</v>
      </c>
      <c r="K17" s="265"/>
      <c r="L17" s="245"/>
      <c r="M17" s="249"/>
      <c r="N17" s="249" t="s">
        <v>12</v>
      </c>
      <c r="O17" s="265"/>
      <c r="P17" s="245"/>
      <c r="Q17" s="246" t="s">
        <v>17</v>
      </c>
      <c r="S17" s="267"/>
      <c r="T17" s="19"/>
      <c r="U17" s="4"/>
      <c r="V17" s="4"/>
      <c r="W17" s="4"/>
      <c r="X17" s="4"/>
      <c r="Y17" s="4"/>
      <c r="Z17" s="4"/>
      <c r="AA17" s="4"/>
    </row>
    <row r="18" ht="4.5" customHeight="1">
      <c r="A18" s="4"/>
      <c r="B18" s="15"/>
      <c r="C18" s="274"/>
      <c r="E18" s="275"/>
      <c r="F18" s="275"/>
      <c r="G18" s="4"/>
      <c r="H18" s="4"/>
      <c r="I18" s="4"/>
      <c r="J18" s="4"/>
      <c r="K18" s="4"/>
      <c r="L18" s="4"/>
      <c r="M18" s="4"/>
      <c r="N18" s="4"/>
      <c r="O18" s="4"/>
      <c r="P18" s="4"/>
      <c r="Q18" s="4"/>
      <c r="R18" s="4"/>
      <c r="S18" s="4"/>
      <c r="T18" s="19"/>
      <c r="U18" s="4"/>
      <c r="V18" s="4"/>
      <c r="W18" s="4"/>
      <c r="X18" s="4"/>
      <c r="Y18" s="4"/>
      <c r="Z18" s="4"/>
      <c r="AA18" s="4"/>
    </row>
    <row r="19" ht="35.25" customHeight="1">
      <c r="A19" s="4"/>
      <c r="B19" s="15"/>
      <c r="C19" s="274" t="s">
        <v>58</v>
      </c>
      <c r="E19" s="275"/>
      <c r="F19" s="275"/>
      <c r="G19" s="4"/>
      <c r="H19" s="4"/>
      <c r="I19" s="4"/>
      <c r="J19" s="4"/>
      <c r="K19" s="4"/>
      <c r="L19" s="4"/>
      <c r="M19" s="4"/>
      <c r="N19" s="4"/>
      <c r="O19" s="4"/>
      <c r="P19" s="4"/>
      <c r="Q19" s="4"/>
      <c r="R19" s="4"/>
      <c r="S19" s="108"/>
      <c r="T19" s="19"/>
      <c r="U19" s="4"/>
      <c r="V19" s="4"/>
      <c r="W19" s="4"/>
      <c r="X19" s="4"/>
      <c r="Y19" s="4"/>
      <c r="Z19" s="4"/>
      <c r="AA19" s="4"/>
    </row>
    <row r="20" ht="60.0" customHeight="1">
      <c r="A20" s="4"/>
      <c r="B20" s="15"/>
      <c r="C20" s="289"/>
      <c r="D20" s="88"/>
      <c r="E20" s="112"/>
      <c r="F20" s="87"/>
      <c r="G20" s="87"/>
      <c r="H20" s="87"/>
      <c r="I20" s="87"/>
      <c r="J20" s="87"/>
      <c r="K20" s="87"/>
      <c r="L20" s="87"/>
      <c r="M20" s="87"/>
      <c r="N20" s="87"/>
      <c r="O20" s="87"/>
      <c r="P20" s="87"/>
      <c r="Q20" s="87"/>
      <c r="R20" s="87"/>
      <c r="S20" s="88"/>
      <c r="T20" s="113"/>
      <c r="U20" s="4"/>
      <c r="V20" s="4"/>
      <c r="W20" s="4"/>
      <c r="X20" s="4"/>
      <c r="Y20" s="4"/>
      <c r="Z20" s="4"/>
      <c r="AA20" s="4"/>
    </row>
    <row r="21" ht="60.0" customHeight="1">
      <c r="A21" s="4"/>
      <c r="B21" s="15"/>
      <c r="C21" s="289"/>
      <c r="D21" s="88"/>
      <c r="E21" s="112"/>
      <c r="F21" s="87"/>
      <c r="G21" s="87"/>
      <c r="H21" s="87"/>
      <c r="I21" s="87"/>
      <c r="J21" s="87"/>
      <c r="K21" s="87"/>
      <c r="L21" s="87"/>
      <c r="M21" s="87"/>
      <c r="N21" s="87"/>
      <c r="O21" s="87"/>
      <c r="P21" s="87"/>
      <c r="Q21" s="87"/>
      <c r="R21" s="87"/>
      <c r="S21" s="88"/>
      <c r="T21" s="113"/>
      <c r="U21" s="4"/>
      <c r="V21" s="4"/>
      <c r="W21" s="4"/>
      <c r="X21" s="4"/>
      <c r="Y21" s="4"/>
      <c r="Z21" s="4"/>
      <c r="AA21" s="4"/>
    </row>
    <row r="22" ht="60.0" customHeight="1">
      <c r="A22" s="4"/>
      <c r="B22" s="15"/>
      <c r="C22" s="289"/>
      <c r="D22" s="88"/>
      <c r="E22" s="112"/>
      <c r="F22" s="87"/>
      <c r="G22" s="87"/>
      <c r="H22" s="87"/>
      <c r="I22" s="87"/>
      <c r="J22" s="87"/>
      <c r="K22" s="87"/>
      <c r="L22" s="87"/>
      <c r="M22" s="87"/>
      <c r="N22" s="87"/>
      <c r="O22" s="87"/>
      <c r="P22" s="87"/>
      <c r="Q22" s="87"/>
      <c r="R22" s="87"/>
      <c r="S22" s="88"/>
      <c r="T22" s="113"/>
      <c r="U22" s="4"/>
      <c r="V22" s="4"/>
      <c r="W22" s="4"/>
      <c r="X22" s="4"/>
      <c r="Y22" s="4"/>
      <c r="Z22" s="4"/>
      <c r="AA22" s="4"/>
    </row>
    <row r="23" ht="60.0" customHeight="1">
      <c r="A23" s="4"/>
      <c r="B23" s="15"/>
      <c r="C23" s="289"/>
      <c r="D23" s="88"/>
      <c r="E23" s="112"/>
      <c r="F23" s="87"/>
      <c r="G23" s="87"/>
      <c r="H23" s="87"/>
      <c r="I23" s="87"/>
      <c r="J23" s="87"/>
      <c r="K23" s="87"/>
      <c r="L23" s="87"/>
      <c r="M23" s="87"/>
      <c r="N23" s="87"/>
      <c r="O23" s="87"/>
      <c r="P23" s="87"/>
      <c r="Q23" s="87"/>
      <c r="R23" s="87"/>
      <c r="S23" s="88"/>
      <c r="T23" s="117"/>
      <c r="U23" s="4"/>
      <c r="V23" s="4"/>
      <c r="W23" s="4"/>
      <c r="X23" s="4"/>
      <c r="Y23" s="4"/>
      <c r="Z23" s="4"/>
      <c r="AA23" s="4"/>
    </row>
    <row r="24" ht="60.0" customHeight="1">
      <c r="A24" s="4"/>
      <c r="B24" s="15"/>
      <c r="C24" s="289"/>
      <c r="D24" s="88"/>
      <c r="E24" s="112"/>
      <c r="F24" s="87"/>
      <c r="G24" s="87"/>
      <c r="H24" s="87"/>
      <c r="I24" s="87"/>
      <c r="J24" s="87"/>
      <c r="K24" s="87"/>
      <c r="L24" s="87"/>
      <c r="M24" s="87"/>
      <c r="N24" s="87"/>
      <c r="O24" s="87"/>
      <c r="P24" s="87"/>
      <c r="Q24" s="87"/>
      <c r="R24" s="87"/>
      <c r="S24" s="88"/>
      <c r="T24" s="117"/>
      <c r="U24" s="4"/>
      <c r="V24" s="4"/>
      <c r="W24" s="4"/>
      <c r="X24" s="4"/>
      <c r="Y24" s="4"/>
      <c r="Z24" s="4"/>
      <c r="AA24" s="4"/>
    </row>
    <row r="25" ht="60.0" customHeight="1">
      <c r="A25" s="4"/>
      <c r="B25" s="15"/>
      <c r="C25" s="289"/>
      <c r="D25" s="88"/>
      <c r="E25" s="112"/>
      <c r="F25" s="87"/>
      <c r="G25" s="87"/>
      <c r="H25" s="87"/>
      <c r="I25" s="87"/>
      <c r="J25" s="87"/>
      <c r="K25" s="87"/>
      <c r="L25" s="87"/>
      <c r="M25" s="87"/>
      <c r="N25" s="87"/>
      <c r="O25" s="87"/>
      <c r="P25" s="87"/>
      <c r="Q25" s="87"/>
      <c r="R25" s="87"/>
      <c r="S25" s="88"/>
      <c r="T25" s="117"/>
      <c r="U25" s="4"/>
      <c r="V25" s="4"/>
      <c r="W25" s="4"/>
      <c r="X25" s="4"/>
      <c r="Y25" s="4"/>
      <c r="Z25" s="4"/>
      <c r="AA25" s="4"/>
    </row>
    <row r="26" ht="60.0" customHeight="1">
      <c r="A26" s="4"/>
      <c r="B26" s="15"/>
      <c r="C26" s="289"/>
      <c r="D26" s="88"/>
      <c r="E26" s="112"/>
      <c r="F26" s="87"/>
      <c r="G26" s="87"/>
      <c r="H26" s="87"/>
      <c r="I26" s="87"/>
      <c r="J26" s="87"/>
      <c r="K26" s="87"/>
      <c r="L26" s="87"/>
      <c r="M26" s="87"/>
      <c r="N26" s="87"/>
      <c r="O26" s="87"/>
      <c r="P26" s="87"/>
      <c r="Q26" s="87"/>
      <c r="R26" s="87"/>
      <c r="S26" s="88"/>
      <c r="T26" s="117"/>
      <c r="U26" s="4"/>
      <c r="V26" s="4"/>
      <c r="W26" s="4"/>
      <c r="X26" s="4"/>
      <c r="Y26" s="4"/>
      <c r="Z26" s="4"/>
      <c r="AA26" s="4"/>
    </row>
    <row r="27" ht="19.5" customHeight="1">
      <c r="A27" s="4"/>
      <c r="B27" s="15"/>
      <c r="C27" s="4"/>
      <c r="D27" s="4"/>
      <c r="E27" s="4"/>
      <c r="F27" s="4"/>
      <c r="G27" s="4"/>
      <c r="H27" s="4"/>
      <c r="I27" s="4"/>
      <c r="J27" s="4"/>
      <c r="K27" s="4"/>
      <c r="L27" s="4"/>
      <c r="M27" s="4"/>
      <c r="N27" s="4"/>
      <c r="O27" s="4"/>
      <c r="P27" s="4"/>
      <c r="Q27" s="4"/>
      <c r="R27" s="4"/>
      <c r="S27" s="230"/>
      <c r="T27" s="19"/>
      <c r="U27" s="4"/>
      <c r="V27" s="4"/>
      <c r="W27" s="4"/>
      <c r="X27" s="4"/>
      <c r="Y27" s="4"/>
      <c r="Z27" s="4"/>
      <c r="AA27" s="4"/>
    </row>
    <row r="28" ht="15.75" customHeight="1">
      <c r="A28" s="4"/>
      <c r="B28" s="15"/>
      <c r="C28" s="4"/>
      <c r="E28" s="316" t="s">
        <v>73</v>
      </c>
      <c r="F28" s="317" t="s">
        <v>74</v>
      </c>
      <c r="G28" s="318" t="s">
        <v>75</v>
      </c>
      <c r="H28" s="126"/>
      <c r="I28" s="126"/>
      <c r="J28" s="126"/>
      <c r="K28" s="319"/>
      <c r="L28" s="320"/>
      <c r="M28" s="321" t="s">
        <v>73</v>
      </c>
      <c r="N28" s="127"/>
      <c r="O28" s="317" t="s">
        <v>74</v>
      </c>
      <c r="P28" s="318" t="s">
        <v>75</v>
      </c>
      <c r="Q28" s="126"/>
      <c r="R28" s="126"/>
      <c r="S28" s="127"/>
      <c r="T28" s="128"/>
      <c r="U28" s="4"/>
      <c r="V28" s="4"/>
      <c r="W28" s="4"/>
      <c r="X28" s="4"/>
      <c r="Y28" s="4"/>
      <c r="Z28" s="4"/>
      <c r="AA28" s="4"/>
    </row>
    <row r="29" ht="15.75" customHeight="1">
      <c r="A29" s="4"/>
      <c r="B29" s="15"/>
      <c r="E29" s="322" t="s">
        <v>76</v>
      </c>
      <c r="F29" s="130"/>
      <c r="G29" s="132"/>
      <c r="H29" s="133"/>
      <c r="I29" s="133"/>
      <c r="J29" s="133"/>
      <c r="K29" s="132"/>
      <c r="L29" s="134"/>
      <c r="M29" s="324" t="s">
        <v>76</v>
      </c>
      <c r="N29" s="134"/>
      <c r="O29" s="130"/>
      <c r="P29" s="132"/>
      <c r="Q29" s="133"/>
      <c r="R29" s="133"/>
      <c r="S29" s="134"/>
      <c r="T29" s="128"/>
      <c r="U29" s="4"/>
      <c r="V29" s="4"/>
      <c r="W29" s="4"/>
      <c r="X29" s="4"/>
      <c r="Y29" s="4"/>
      <c r="Z29" s="4"/>
      <c r="AA29" s="4"/>
    </row>
    <row r="30" ht="42.75" customHeight="1">
      <c r="A30" s="4"/>
      <c r="B30" s="15"/>
      <c r="C30" s="107" t="s">
        <v>7</v>
      </c>
      <c r="D30" s="88"/>
      <c r="E30" s="327"/>
      <c r="F30" s="328"/>
      <c r="G30" s="331"/>
      <c r="H30" s="87"/>
      <c r="I30" s="87"/>
      <c r="J30" s="87"/>
      <c r="K30" s="334" t="s">
        <v>47</v>
      </c>
      <c r="L30" s="134"/>
      <c r="M30" s="337"/>
      <c r="N30" s="88"/>
      <c r="O30" s="328"/>
      <c r="P30" s="338"/>
      <c r="Q30" s="87"/>
      <c r="R30" s="87"/>
      <c r="S30" s="88"/>
      <c r="T30" s="128"/>
      <c r="U30" s="4"/>
      <c r="V30" s="4"/>
      <c r="W30" s="4"/>
      <c r="X30" s="4"/>
      <c r="Y30" s="4"/>
      <c r="Z30" s="4"/>
      <c r="AA30" s="4"/>
    </row>
    <row r="31" ht="42.75" customHeight="1">
      <c r="A31" s="4"/>
      <c r="B31" s="15"/>
      <c r="C31" s="107" t="s">
        <v>10</v>
      </c>
      <c r="D31" s="88"/>
      <c r="E31" s="327" t="str">
        <f>K7</f>
        <v/>
      </c>
      <c r="F31" s="328"/>
      <c r="G31" s="331"/>
      <c r="H31" s="87"/>
      <c r="I31" s="87"/>
      <c r="J31" s="87"/>
      <c r="K31" s="107" t="s">
        <v>50</v>
      </c>
      <c r="L31" s="88"/>
      <c r="M31" s="337"/>
      <c r="N31" s="88"/>
      <c r="O31" s="328"/>
      <c r="P31" s="338"/>
      <c r="Q31" s="87"/>
      <c r="R31" s="87"/>
      <c r="S31" s="88"/>
      <c r="T31" s="128"/>
      <c r="U31" s="4"/>
      <c r="V31" s="4"/>
      <c r="W31" s="4"/>
      <c r="X31" s="4"/>
      <c r="Y31" s="4"/>
      <c r="Z31" s="4"/>
      <c r="AA31" s="4"/>
    </row>
    <row r="32" ht="42.75" customHeight="1">
      <c r="A32" s="4"/>
      <c r="B32" s="15"/>
      <c r="C32" s="107" t="s">
        <v>22</v>
      </c>
      <c r="D32" s="88"/>
      <c r="E32" s="328" t="str">
        <f>H9</f>
        <v/>
      </c>
      <c r="F32" s="328"/>
      <c r="G32" s="331"/>
      <c r="H32" s="87"/>
      <c r="I32" s="87"/>
      <c r="J32" s="87"/>
      <c r="K32" s="107" t="s">
        <v>114</v>
      </c>
      <c r="L32" s="88"/>
      <c r="M32" s="338" t="str">
        <f>H13</f>
        <v/>
      </c>
      <c r="N32" s="88"/>
      <c r="O32" s="328"/>
      <c r="P32" s="338"/>
      <c r="Q32" s="87"/>
      <c r="R32" s="87"/>
      <c r="S32" s="88"/>
      <c r="T32" s="128"/>
      <c r="U32" s="4"/>
      <c r="V32" s="4"/>
      <c r="W32" s="4"/>
      <c r="X32" s="4"/>
      <c r="Y32" s="4"/>
      <c r="Z32" s="4"/>
      <c r="AA32" s="4"/>
    </row>
    <row r="33" ht="42.75" customHeight="1">
      <c r="A33" s="4"/>
      <c r="B33" s="15"/>
      <c r="C33" s="107" t="s">
        <v>23</v>
      </c>
      <c r="D33" s="88"/>
      <c r="E33" s="327" t="str">
        <f>K9</f>
        <v/>
      </c>
      <c r="F33" s="328"/>
      <c r="G33" s="331"/>
      <c r="H33" s="87"/>
      <c r="I33" s="87"/>
      <c r="J33" s="87"/>
      <c r="K33" s="107" t="s">
        <v>115</v>
      </c>
      <c r="L33" s="88"/>
      <c r="M33" s="337" t="str">
        <f>K13</f>
        <v/>
      </c>
      <c r="N33" s="88"/>
      <c r="O33" s="328"/>
      <c r="P33" s="338"/>
      <c r="Q33" s="87"/>
      <c r="R33" s="87"/>
      <c r="S33" s="88"/>
      <c r="T33" s="128"/>
      <c r="U33" s="4"/>
      <c r="V33" s="4"/>
      <c r="W33" s="4"/>
      <c r="X33" s="4"/>
      <c r="Y33" s="4"/>
      <c r="Z33" s="4"/>
      <c r="AA33" s="4"/>
    </row>
    <row r="34" ht="42.75" customHeight="1">
      <c r="A34" s="4"/>
      <c r="B34" s="15"/>
      <c r="C34" s="107" t="s">
        <v>36</v>
      </c>
      <c r="D34" s="88"/>
      <c r="E34" s="328" t="str">
        <f>H11</f>
        <v/>
      </c>
      <c r="F34" s="328"/>
      <c r="G34" s="331"/>
      <c r="H34" s="87"/>
      <c r="I34" s="87"/>
      <c r="J34" s="87"/>
      <c r="K34" s="107" t="s">
        <v>117</v>
      </c>
      <c r="L34" s="88"/>
      <c r="M34" s="338" t="str">
        <f>H15</f>
        <v/>
      </c>
      <c r="N34" s="88"/>
      <c r="O34" s="328"/>
      <c r="P34" s="338"/>
      <c r="Q34" s="87"/>
      <c r="R34" s="87"/>
      <c r="S34" s="88"/>
      <c r="T34" s="128"/>
      <c r="U34" s="4"/>
      <c r="V34" s="4"/>
      <c r="W34" s="4"/>
      <c r="X34" s="4"/>
      <c r="Y34" s="4"/>
      <c r="Z34" s="4"/>
      <c r="AA34" s="4"/>
    </row>
    <row r="35" ht="42.75" customHeight="1">
      <c r="A35" s="4"/>
      <c r="B35" s="15"/>
      <c r="C35" s="107" t="s">
        <v>37</v>
      </c>
      <c r="D35" s="88"/>
      <c r="E35" s="327" t="str">
        <f>K11</f>
        <v/>
      </c>
      <c r="F35" s="328"/>
      <c r="G35" s="331"/>
      <c r="H35" s="87"/>
      <c r="I35" s="87"/>
      <c r="J35" s="87"/>
      <c r="K35" s="107" t="s">
        <v>118</v>
      </c>
      <c r="L35" s="88"/>
      <c r="M35" s="337" t="str">
        <f>K15</f>
        <v/>
      </c>
      <c r="N35" s="88"/>
      <c r="O35" s="328"/>
      <c r="P35" s="338"/>
      <c r="Q35" s="87"/>
      <c r="R35" s="87"/>
      <c r="S35" s="88"/>
      <c r="T35" s="128"/>
      <c r="U35" s="4"/>
      <c r="V35" s="4"/>
      <c r="W35" s="4"/>
      <c r="X35" s="4"/>
      <c r="Y35" s="4"/>
      <c r="Z35" s="4"/>
      <c r="AA35" s="4"/>
    </row>
    <row r="36" ht="15.75" customHeight="1">
      <c r="A36" s="4"/>
      <c r="B36" s="15"/>
      <c r="C36" s="4"/>
      <c r="D36" s="259"/>
      <c r="E36" s="259"/>
      <c r="F36" s="286"/>
      <c r="G36" s="259"/>
      <c r="H36" s="259"/>
      <c r="I36" s="259"/>
      <c r="J36" s="259"/>
      <c r="K36" s="259"/>
      <c r="L36" s="259"/>
      <c r="M36" s="259"/>
      <c r="N36" s="259"/>
      <c r="O36" s="259"/>
      <c r="P36" s="259"/>
      <c r="Q36" s="259"/>
      <c r="R36" s="259"/>
      <c r="S36" s="288"/>
      <c r="T36" s="128"/>
      <c r="U36" s="4"/>
      <c r="V36" s="4"/>
      <c r="W36" s="4"/>
      <c r="X36" s="4"/>
      <c r="Y36" s="4"/>
      <c r="Z36" s="4"/>
      <c r="AA36" s="4"/>
    </row>
    <row r="37" ht="15.75" customHeight="1">
      <c r="A37" s="4"/>
      <c r="B37" s="15"/>
      <c r="C37" s="359" t="s">
        <v>73</v>
      </c>
      <c r="D37" s="127"/>
      <c r="E37" s="318" t="s">
        <v>119</v>
      </c>
      <c r="F37" s="126"/>
      <c r="G37" s="126"/>
      <c r="H37" s="126"/>
      <c r="I37" s="126"/>
      <c r="J37" s="126"/>
      <c r="K37" s="126"/>
      <c r="L37" s="126"/>
      <c r="M37" s="126"/>
      <c r="N37" s="126"/>
      <c r="O37" s="126"/>
      <c r="P37" s="126"/>
      <c r="Q37" s="126"/>
      <c r="R37" s="126"/>
      <c r="S37" s="127"/>
      <c r="T37" s="128"/>
      <c r="U37" s="4"/>
      <c r="V37" s="4"/>
      <c r="W37" s="4"/>
      <c r="X37" s="4"/>
      <c r="Y37" s="4"/>
      <c r="Z37" s="4"/>
      <c r="AA37" s="4"/>
    </row>
    <row r="38" ht="15.75" customHeight="1">
      <c r="A38" s="4"/>
      <c r="B38" s="15"/>
      <c r="C38" s="360" t="s">
        <v>76</v>
      </c>
      <c r="D38" s="134"/>
      <c r="E38" s="132"/>
      <c r="F38" s="133"/>
      <c r="G38" s="133"/>
      <c r="H38" s="133"/>
      <c r="I38" s="133"/>
      <c r="J38" s="133"/>
      <c r="K38" s="133"/>
      <c r="L38" s="133"/>
      <c r="M38" s="133"/>
      <c r="N38" s="133"/>
      <c r="O38" s="133"/>
      <c r="P38" s="133"/>
      <c r="Q38" s="133"/>
      <c r="R38" s="133"/>
      <c r="S38" s="134"/>
      <c r="T38" s="128"/>
      <c r="U38" s="4"/>
      <c r="V38" s="4"/>
      <c r="W38" s="4"/>
      <c r="X38" s="4"/>
      <c r="Y38" s="4"/>
      <c r="Z38" s="4"/>
      <c r="AA38" s="4"/>
    </row>
    <row r="39" ht="138.75" customHeight="1">
      <c r="A39" s="4"/>
      <c r="B39" s="15"/>
      <c r="C39" s="361"/>
      <c r="D39" s="88"/>
      <c r="E39" s="361"/>
      <c r="F39" s="87"/>
      <c r="G39" s="87"/>
      <c r="H39" s="87"/>
      <c r="I39" s="87"/>
      <c r="J39" s="87"/>
      <c r="K39" s="87"/>
      <c r="L39" s="87"/>
      <c r="M39" s="87"/>
      <c r="N39" s="87"/>
      <c r="O39" s="87"/>
      <c r="P39" s="87"/>
      <c r="Q39" s="87"/>
      <c r="R39" s="87"/>
      <c r="S39" s="88"/>
      <c r="T39" s="362"/>
      <c r="U39" s="4"/>
      <c r="V39" s="4"/>
      <c r="W39" s="4"/>
      <c r="X39" s="4"/>
      <c r="Y39" s="4"/>
      <c r="Z39" s="4"/>
      <c r="AA39" s="4"/>
    </row>
    <row r="40" ht="138.75" customHeight="1">
      <c r="A40" s="4"/>
      <c r="B40" s="15"/>
      <c r="C40" s="361"/>
      <c r="D40" s="88"/>
      <c r="E40" s="363"/>
      <c r="F40" s="133"/>
      <c r="G40" s="133"/>
      <c r="H40" s="133"/>
      <c r="I40" s="133"/>
      <c r="J40" s="133"/>
      <c r="K40" s="133"/>
      <c r="L40" s="133"/>
      <c r="M40" s="133"/>
      <c r="N40" s="133"/>
      <c r="O40" s="133"/>
      <c r="P40" s="133"/>
      <c r="Q40" s="133"/>
      <c r="R40" s="133"/>
      <c r="S40" s="134"/>
      <c r="T40" s="299"/>
      <c r="U40" s="4"/>
      <c r="V40" s="4"/>
      <c r="W40" s="4"/>
      <c r="X40" s="4"/>
      <c r="Y40" s="4"/>
      <c r="Z40" s="4"/>
      <c r="AA40" s="4"/>
    </row>
    <row r="41" ht="138.75" customHeight="1">
      <c r="A41" s="4"/>
      <c r="B41" s="15"/>
      <c r="C41" s="361"/>
      <c r="D41" s="88"/>
      <c r="E41" s="363"/>
      <c r="F41" s="133"/>
      <c r="G41" s="133"/>
      <c r="H41" s="133"/>
      <c r="I41" s="133"/>
      <c r="J41" s="133"/>
      <c r="K41" s="133"/>
      <c r="L41" s="133"/>
      <c r="M41" s="133"/>
      <c r="N41" s="133"/>
      <c r="O41" s="133"/>
      <c r="P41" s="133"/>
      <c r="Q41" s="133"/>
      <c r="R41" s="133"/>
      <c r="S41" s="134"/>
      <c r="T41" s="362"/>
      <c r="U41" s="4"/>
      <c r="V41" s="4"/>
      <c r="W41" s="4"/>
      <c r="X41" s="4"/>
      <c r="Y41" s="4"/>
      <c r="Z41" s="4"/>
      <c r="AA41" s="4"/>
    </row>
    <row r="42" ht="138.75" customHeight="1">
      <c r="A42" s="4"/>
      <c r="B42" s="15"/>
      <c r="C42" s="361"/>
      <c r="D42" s="88"/>
      <c r="E42" s="363"/>
      <c r="F42" s="133"/>
      <c r="G42" s="133"/>
      <c r="H42" s="133"/>
      <c r="I42" s="133"/>
      <c r="J42" s="133"/>
      <c r="K42" s="133"/>
      <c r="L42" s="133"/>
      <c r="M42" s="133"/>
      <c r="N42" s="133"/>
      <c r="O42" s="133"/>
      <c r="P42" s="133"/>
      <c r="Q42" s="133"/>
      <c r="R42" s="133"/>
      <c r="S42" s="134"/>
      <c r="T42" s="362"/>
      <c r="U42" s="4"/>
      <c r="V42" s="4"/>
      <c r="W42" s="4"/>
      <c r="X42" s="4"/>
      <c r="Y42" s="4"/>
      <c r="Z42" s="4"/>
      <c r="AA42" s="4"/>
    </row>
    <row r="43" ht="154.5" customHeight="1">
      <c r="A43" s="4"/>
      <c r="B43" s="15"/>
      <c r="C43" s="361"/>
      <c r="D43" s="88"/>
      <c r="E43" s="363"/>
      <c r="F43" s="133"/>
      <c r="G43" s="133"/>
      <c r="H43" s="133"/>
      <c r="I43" s="133"/>
      <c r="J43" s="133"/>
      <c r="K43" s="133"/>
      <c r="L43" s="133"/>
      <c r="M43" s="133"/>
      <c r="N43" s="133"/>
      <c r="O43" s="133"/>
      <c r="P43" s="133"/>
      <c r="Q43" s="133"/>
      <c r="R43" s="133"/>
      <c r="S43" s="134"/>
      <c r="T43" s="362"/>
      <c r="U43" s="4"/>
      <c r="V43" s="4"/>
      <c r="W43" s="4"/>
      <c r="X43" s="4"/>
      <c r="Y43" s="4"/>
      <c r="Z43" s="4"/>
      <c r="AA43" s="4"/>
    </row>
    <row r="44" ht="154.5" customHeight="1">
      <c r="A44" s="4"/>
      <c r="B44" s="15"/>
      <c r="C44" s="361"/>
      <c r="D44" s="88"/>
      <c r="E44" s="363"/>
      <c r="F44" s="133"/>
      <c r="G44" s="133"/>
      <c r="H44" s="133"/>
      <c r="I44" s="133"/>
      <c r="J44" s="133"/>
      <c r="K44" s="133"/>
      <c r="L44" s="133"/>
      <c r="M44" s="133"/>
      <c r="N44" s="133"/>
      <c r="O44" s="133"/>
      <c r="P44" s="133"/>
      <c r="Q44" s="133"/>
      <c r="R44" s="133"/>
      <c r="S44" s="134"/>
      <c r="T44" s="362"/>
      <c r="U44" s="4"/>
      <c r="V44" s="4"/>
      <c r="W44" s="4"/>
      <c r="X44" s="4"/>
      <c r="Y44" s="4"/>
      <c r="Z44" s="4"/>
      <c r="AA44" s="4"/>
    </row>
    <row r="45" ht="154.5" customHeight="1">
      <c r="A45" s="4"/>
      <c r="B45" s="15"/>
      <c r="C45" s="361"/>
      <c r="D45" s="88"/>
      <c r="E45" s="363"/>
      <c r="F45" s="133"/>
      <c r="G45" s="133"/>
      <c r="H45" s="133"/>
      <c r="I45" s="133"/>
      <c r="J45" s="133"/>
      <c r="K45" s="133"/>
      <c r="L45" s="133"/>
      <c r="M45" s="133"/>
      <c r="N45" s="133"/>
      <c r="O45" s="133"/>
      <c r="P45" s="133"/>
      <c r="Q45" s="133"/>
      <c r="R45" s="133"/>
      <c r="S45" s="134"/>
      <c r="T45" s="362"/>
      <c r="U45" s="4"/>
      <c r="V45" s="4"/>
      <c r="W45" s="4"/>
      <c r="X45" s="4"/>
      <c r="Y45" s="4"/>
      <c r="Z45" s="4"/>
      <c r="AA45" s="4"/>
    </row>
    <row r="46" ht="15.75" customHeight="1">
      <c r="A46" s="4"/>
      <c r="B46" s="15"/>
      <c r="C46" s="4"/>
      <c r="D46" s="33"/>
      <c r="E46" s="284" t="s">
        <v>125</v>
      </c>
      <c r="K46" s="33"/>
      <c r="L46" s="33"/>
      <c r="M46" s="33"/>
      <c r="N46" s="33"/>
      <c r="O46" s="284" t="s">
        <v>126</v>
      </c>
      <c r="R46" s="33"/>
      <c r="S46" s="33"/>
      <c r="T46" s="19"/>
      <c r="U46" s="4"/>
      <c r="V46" s="4"/>
      <c r="W46" s="4"/>
      <c r="X46" s="4"/>
      <c r="Y46" s="4"/>
      <c r="Z46" s="4"/>
      <c r="AA46" s="4"/>
    </row>
    <row r="47" ht="15.75" customHeight="1">
      <c r="A47" s="4"/>
      <c r="B47" s="15"/>
      <c r="C47" s="4"/>
      <c r="D47" s="33"/>
      <c r="E47" s="284" t="s">
        <v>127</v>
      </c>
      <c r="K47" s="33"/>
      <c r="L47" s="33"/>
      <c r="M47" s="33"/>
      <c r="N47" s="33"/>
      <c r="O47" s="284" t="s">
        <v>127</v>
      </c>
      <c r="R47" s="33"/>
      <c r="S47" s="33"/>
      <c r="T47" s="19"/>
      <c r="U47" s="4"/>
      <c r="V47" s="4"/>
      <c r="W47" s="4"/>
      <c r="X47" s="4"/>
      <c r="Y47" s="4"/>
      <c r="Z47" s="4"/>
      <c r="AA47" s="4"/>
    </row>
    <row r="48" ht="27.75" customHeight="1">
      <c r="A48" s="4"/>
      <c r="B48" s="15"/>
      <c r="C48" s="4"/>
      <c r="D48" s="33"/>
      <c r="E48" s="33"/>
      <c r="F48" s="33"/>
      <c r="G48" s="33"/>
      <c r="K48" s="33"/>
      <c r="L48" s="33"/>
      <c r="M48" s="33"/>
      <c r="N48" s="33"/>
      <c r="O48" s="33"/>
      <c r="P48" s="33"/>
      <c r="Q48" s="33"/>
      <c r="R48" s="33"/>
      <c r="S48" s="33"/>
      <c r="T48" s="19"/>
      <c r="U48" s="4"/>
      <c r="V48" s="4"/>
      <c r="W48" s="4"/>
      <c r="X48" s="4"/>
      <c r="Y48" s="4"/>
      <c r="Z48" s="4"/>
      <c r="AA48" s="4"/>
    </row>
    <row r="49" ht="27.75" customHeight="1">
      <c r="A49" s="4"/>
      <c r="B49" s="15"/>
      <c r="C49" s="4"/>
      <c r="D49" s="33"/>
      <c r="E49" s="33"/>
      <c r="F49" s="33"/>
      <c r="G49" s="33"/>
      <c r="K49" s="33"/>
      <c r="L49" s="33"/>
      <c r="M49" s="33"/>
      <c r="N49" s="33"/>
      <c r="O49" s="33"/>
      <c r="P49" s="33"/>
      <c r="Q49" s="33"/>
      <c r="R49" s="33"/>
      <c r="S49" s="33"/>
      <c r="T49" s="19"/>
      <c r="U49" s="4"/>
      <c r="V49" s="4"/>
      <c r="W49" s="4"/>
      <c r="X49" s="4"/>
      <c r="Y49" s="4"/>
      <c r="Z49" s="4"/>
      <c r="AA49" s="4"/>
    </row>
    <row r="50" ht="15.75" customHeight="1">
      <c r="A50" s="4"/>
      <c r="B50" s="15"/>
      <c r="C50" s="4"/>
      <c r="D50" s="33"/>
      <c r="E50" s="284" t="s">
        <v>137</v>
      </c>
      <c r="K50" s="33"/>
      <c r="L50" s="33"/>
      <c r="M50" s="33"/>
      <c r="N50" s="33"/>
      <c r="O50" s="284" t="s">
        <v>137</v>
      </c>
      <c r="R50" s="323"/>
      <c r="T50" s="19"/>
      <c r="U50" s="4"/>
      <c r="V50" s="4"/>
      <c r="W50" s="4"/>
      <c r="X50" s="4"/>
      <c r="Y50" s="4"/>
      <c r="Z50" s="4"/>
      <c r="AA50" s="4"/>
    </row>
    <row r="51" ht="15.75" customHeight="1">
      <c r="A51" s="4"/>
      <c r="B51" s="15"/>
      <c r="C51" s="4"/>
      <c r="D51" s="33"/>
      <c r="K51" s="33"/>
      <c r="L51" s="33"/>
      <c r="M51" s="33"/>
      <c r="N51" s="33"/>
      <c r="O51" s="284"/>
      <c r="R51" s="33"/>
      <c r="S51" s="33"/>
      <c r="T51" s="19"/>
      <c r="U51" s="4"/>
      <c r="V51" s="4"/>
      <c r="W51" s="4"/>
      <c r="X51" s="4"/>
      <c r="Y51" s="4"/>
      <c r="Z51" s="4"/>
      <c r="AA51" s="4"/>
    </row>
    <row r="52" ht="15.75" customHeight="1">
      <c r="A52" s="4"/>
      <c r="B52" s="15"/>
      <c r="C52" s="364">
        <v>45992.0</v>
      </c>
      <c r="F52" s="4"/>
      <c r="G52" s="4"/>
      <c r="H52" s="4"/>
      <c r="I52" s="4"/>
      <c r="J52" s="4"/>
      <c r="K52" s="4"/>
      <c r="L52" s="4"/>
      <c r="M52" s="4"/>
      <c r="N52" s="4"/>
      <c r="O52" s="4"/>
      <c r="P52" s="4"/>
      <c r="Q52" s="4"/>
      <c r="R52" s="259" t="s">
        <v>138</v>
      </c>
      <c r="T52" s="227"/>
      <c r="U52" s="4"/>
      <c r="V52" s="4"/>
      <c r="W52" s="4"/>
      <c r="X52" s="4"/>
      <c r="Y52" s="4"/>
      <c r="Z52" s="4"/>
      <c r="AA52" s="4"/>
    </row>
    <row r="53" ht="15.75" customHeight="1">
      <c r="A53" s="4"/>
      <c r="B53" s="329"/>
      <c r="C53" s="365"/>
      <c r="D53" s="365"/>
      <c r="E53" s="365"/>
      <c r="F53" s="330"/>
      <c r="G53" s="330"/>
      <c r="H53" s="330"/>
      <c r="I53" s="330"/>
      <c r="J53" s="330"/>
      <c r="K53" s="330"/>
      <c r="L53" s="330"/>
      <c r="M53" s="330"/>
      <c r="N53" s="330"/>
      <c r="O53" s="330"/>
      <c r="P53" s="330"/>
      <c r="Q53" s="330"/>
      <c r="R53" s="365"/>
      <c r="S53" s="365"/>
      <c r="T53" s="366"/>
      <c r="U53" s="4"/>
      <c r="V53" s="4"/>
      <c r="W53" s="4"/>
      <c r="X53" s="4"/>
      <c r="Y53" s="4"/>
      <c r="Z53" s="4"/>
      <c r="AA53" s="4"/>
    </row>
    <row r="54" ht="15.75" customHeight="1">
      <c r="A54" s="4"/>
      <c r="B54" s="4"/>
      <c r="C54" s="364"/>
      <c r="D54" s="364"/>
      <c r="E54" s="364"/>
      <c r="F54" s="4"/>
      <c r="G54" s="4"/>
      <c r="H54" s="4"/>
      <c r="I54" s="4"/>
      <c r="J54" s="4"/>
      <c r="K54" s="4"/>
      <c r="L54" s="4"/>
      <c r="M54" s="4"/>
      <c r="N54" s="4"/>
      <c r="O54" s="4"/>
      <c r="P54" s="4"/>
      <c r="Q54" s="4"/>
      <c r="R54" s="259"/>
      <c r="S54" s="259"/>
      <c r="T54" s="259"/>
      <c r="U54" s="4"/>
      <c r="V54" s="4"/>
      <c r="W54" s="4"/>
      <c r="X54" s="4"/>
      <c r="Y54" s="4"/>
      <c r="Z54" s="4"/>
      <c r="AA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sheetData>
  <mergeCells count="107">
    <mergeCell ref="G30:J30"/>
    <mergeCell ref="K30:L30"/>
    <mergeCell ref="M30:N30"/>
    <mergeCell ref="P30:S30"/>
    <mergeCell ref="F28:F29"/>
    <mergeCell ref="G28:J29"/>
    <mergeCell ref="K28:L29"/>
    <mergeCell ref="M28:N28"/>
    <mergeCell ref="O28:O29"/>
    <mergeCell ref="P28:S29"/>
    <mergeCell ref="M29:N29"/>
    <mergeCell ref="C30:D30"/>
    <mergeCell ref="G31:J31"/>
    <mergeCell ref="K31:L31"/>
    <mergeCell ref="M31:N31"/>
    <mergeCell ref="P31:S31"/>
    <mergeCell ref="G32:J32"/>
    <mergeCell ref="P32:S32"/>
    <mergeCell ref="K32:L32"/>
    <mergeCell ref="M32:N32"/>
    <mergeCell ref="G33:J33"/>
    <mergeCell ref="K33:L33"/>
    <mergeCell ref="M33:N33"/>
    <mergeCell ref="P33:S33"/>
    <mergeCell ref="G34:J34"/>
    <mergeCell ref="P34:S34"/>
    <mergeCell ref="K34:L34"/>
    <mergeCell ref="M34:N34"/>
    <mergeCell ref="G35:J35"/>
    <mergeCell ref="K35:L35"/>
    <mergeCell ref="M35:N35"/>
    <mergeCell ref="P35:S35"/>
    <mergeCell ref="E37:S38"/>
    <mergeCell ref="C40:D40"/>
    <mergeCell ref="C41:D41"/>
    <mergeCell ref="C42:D42"/>
    <mergeCell ref="C43:D43"/>
    <mergeCell ref="C44:D44"/>
    <mergeCell ref="C45:D45"/>
    <mergeCell ref="C52:E52"/>
    <mergeCell ref="C31:D31"/>
    <mergeCell ref="C33:D33"/>
    <mergeCell ref="C34:D34"/>
    <mergeCell ref="C35:D35"/>
    <mergeCell ref="C37:D37"/>
    <mergeCell ref="C38:D38"/>
    <mergeCell ref="C39:D39"/>
    <mergeCell ref="E39:S39"/>
    <mergeCell ref="E40:S40"/>
    <mergeCell ref="E41:S41"/>
    <mergeCell ref="E42:S42"/>
    <mergeCell ref="E43:S43"/>
    <mergeCell ref="E44:S44"/>
    <mergeCell ref="E45:S45"/>
    <mergeCell ref="R50:S50"/>
    <mergeCell ref="R52:T52"/>
    <mergeCell ref="E46:G46"/>
    <mergeCell ref="O46:Q46"/>
    <mergeCell ref="E47:G47"/>
    <mergeCell ref="O47:Q47"/>
    <mergeCell ref="E50:G50"/>
    <mergeCell ref="O50:Q50"/>
    <mergeCell ref="O51:Q51"/>
    <mergeCell ref="O7:P7"/>
    <mergeCell ref="Q7:R7"/>
    <mergeCell ref="Q2:T2"/>
    <mergeCell ref="E3:O4"/>
    <mergeCell ref="Q3:T3"/>
    <mergeCell ref="Q4:T4"/>
    <mergeCell ref="B7:C7"/>
    <mergeCell ref="D7:F7"/>
    <mergeCell ref="K7:L7"/>
    <mergeCell ref="B9:C9"/>
    <mergeCell ref="D9:F9"/>
    <mergeCell ref="K9:L9"/>
    <mergeCell ref="O9:P9"/>
    <mergeCell ref="Q9:R9"/>
    <mergeCell ref="B11:C11"/>
    <mergeCell ref="D11:E11"/>
    <mergeCell ref="Q11:R11"/>
    <mergeCell ref="K11:L11"/>
    <mergeCell ref="O11:P11"/>
    <mergeCell ref="K13:L13"/>
    <mergeCell ref="O13:P13"/>
    <mergeCell ref="Q13:R13"/>
    <mergeCell ref="O15:P15"/>
    <mergeCell ref="Q15:R15"/>
    <mergeCell ref="E22:S22"/>
    <mergeCell ref="E23:S23"/>
    <mergeCell ref="E24:S24"/>
    <mergeCell ref="E25:S25"/>
    <mergeCell ref="E26:S26"/>
    <mergeCell ref="K15:L15"/>
    <mergeCell ref="K17:L17"/>
    <mergeCell ref="O17:P17"/>
    <mergeCell ref="Q17:R17"/>
    <mergeCell ref="C20:D20"/>
    <mergeCell ref="E20:S20"/>
    <mergeCell ref="E21:S21"/>
    <mergeCell ref="C21:D21"/>
    <mergeCell ref="C22:D22"/>
    <mergeCell ref="C23:D23"/>
    <mergeCell ref="C24:D24"/>
    <mergeCell ref="C25:D25"/>
    <mergeCell ref="C26:D26"/>
    <mergeCell ref="C28:D29"/>
    <mergeCell ref="C32:D32"/>
  </mergeCells>
  <printOptions horizontalCentered="1" verticalCentered="1"/>
  <pageMargins bottom="0.0" footer="0.0" header="0.0" left="0.25" right="0.25" top="0.0"/>
  <pageSetup fitToHeight="0" paperSize="9" orientation="portrait"/>
  <headerFooter>
    <oddFooter>&amp;CPage &amp;P of</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workbookViewId="0"/>
  </sheetViews>
  <sheetFormatPr customHeight="1" defaultColWidth="12.63" defaultRowHeight="15.0"/>
  <cols>
    <col customWidth="1" min="1" max="1" width="3.5"/>
    <col customWidth="1" min="2" max="2" width="3.0"/>
    <col customWidth="1" min="3" max="3" width="8.0"/>
    <col customWidth="1" min="4" max="4" width="1.63"/>
    <col customWidth="1" min="5" max="5" width="4.5"/>
    <col customWidth="1" min="6" max="6" width="5.75"/>
    <col customWidth="1" min="7" max="7" width="8.25"/>
    <col customWidth="1" min="8" max="8" width="2.38"/>
    <col customWidth="1" min="9" max="10" width="2.13"/>
    <col customWidth="1" min="11" max="11" width="2.0"/>
    <col customWidth="1" min="12" max="12" width="4.5"/>
    <col customWidth="1" min="13" max="13" width="4.63"/>
    <col customWidth="1" min="14" max="14" width="5.25"/>
    <col customWidth="1" min="15" max="15" width="3.0"/>
    <col customWidth="1" min="16" max="16" width="8.0"/>
    <col customWidth="1" min="17" max="17" width="1.63"/>
    <col customWidth="1" min="18" max="18" width="4.5"/>
    <col customWidth="1" min="19" max="19" width="7.13"/>
    <col customWidth="1" min="20" max="20" width="8.25"/>
    <col customWidth="1" min="21" max="21" width="2.38"/>
    <col customWidth="1" min="22" max="23" width="2.13"/>
    <col customWidth="1" min="24" max="24" width="2.0"/>
    <col customWidth="1" min="25" max="25" width="5.13"/>
    <col customWidth="1" min="26" max="26" width="4.63"/>
    <col customWidth="1" min="27" max="27" width="5.5"/>
    <col customWidth="1" min="28" max="28" width="3.0"/>
    <col customWidth="1" min="29" max="29" width="8.0"/>
    <col customWidth="1" min="30" max="30" width="1.63"/>
    <col customWidth="1" min="31" max="32" width="4.5"/>
    <col customWidth="1" min="33" max="33" width="8.25"/>
    <col customWidth="1" min="34" max="34" width="2.38"/>
    <col customWidth="1" min="35" max="36" width="2.13"/>
    <col customWidth="1" min="37" max="37" width="2.0"/>
    <col customWidth="1" min="38" max="38" width="5.5"/>
    <col customWidth="1" min="39" max="39" width="4.63"/>
    <col customWidth="1" min="40" max="40" width="3.5"/>
    <col customWidth="1" min="41" max="41" width="3.0"/>
    <col customWidth="1" min="42" max="42" width="8.0"/>
    <col customWidth="1" min="43" max="43" width="1.63"/>
    <col customWidth="1" min="44" max="45" width="4.5"/>
    <col customWidth="1" min="46" max="46" width="8.25"/>
    <col customWidth="1" min="47" max="47" width="2.38"/>
    <col customWidth="1" min="48" max="49" width="2.13"/>
    <col customWidth="1" min="50" max="50" width="2.0"/>
    <col customWidth="1" min="51" max="51" width="4.5"/>
    <col customWidth="1" min="52" max="52" width="4.63"/>
    <col customWidth="1" min="53" max="53" width="2.0"/>
    <col customWidth="1" min="54" max="54" width="10.13"/>
    <col customWidth="1" min="55" max="57" width="8.0"/>
    <col customWidth="1" min="58" max="58" width="10.0"/>
    <col customWidth="1" min="59" max="62" width="8.0"/>
  </cols>
  <sheetData>
    <row r="2">
      <c r="A2" s="8" t="str">
        <f>BB3</f>
        <v>PKAZJ</v>
      </c>
      <c r="B2" s="9"/>
      <c r="C2" s="9"/>
      <c r="D2" s="9"/>
      <c r="E2" s="9"/>
      <c r="F2" s="13"/>
      <c r="N2" s="367"/>
      <c r="AA2" s="367"/>
      <c r="AN2" s="367"/>
      <c r="BB2" s="2">
        <f>TODAY()</f>
        <v>46278</v>
      </c>
      <c r="BH2" s="5" t="s">
        <v>0</v>
      </c>
      <c r="BI2" s="6"/>
    </row>
    <row r="3">
      <c r="A3" s="30" t="s">
        <v>4</v>
      </c>
      <c r="B3" s="32"/>
      <c r="C3" s="32"/>
      <c r="D3" s="32"/>
      <c r="E3" s="32"/>
      <c r="F3" s="32"/>
      <c r="G3" s="32"/>
      <c r="H3" s="32"/>
      <c r="I3" s="32"/>
      <c r="J3" s="32"/>
      <c r="K3" s="32"/>
      <c r="L3" s="32"/>
      <c r="M3" s="35"/>
      <c r="N3" s="30" t="s">
        <v>4</v>
      </c>
      <c r="O3" s="32"/>
      <c r="P3" s="32"/>
      <c r="Q3" s="32"/>
      <c r="R3" s="32"/>
      <c r="S3" s="32"/>
      <c r="T3" s="32"/>
      <c r="U3" s="32"/>
      <c r="V3" s="32"/>
      <c r="W3" s="32"/>
      <c r="X3" s="32"/>
      <c r="Y3" s="32"/>
      <c r="Z3" s="35"/>
      <c r="AA3" s="30" t="s">
        <v>4</v>
      </c>
      <c r="AB3" s="32"/>
      <c r="AC3" s="32"/>
      <c r="AD3" s="32"/>
      <c r="AE3" s="32"/>
      <c r="AF3" s="32"/>
      <c r="AG3" s="32"/>
      <c r="AH3" s="32"/>
      <c r="AI3" s="32"/>
      <c r="AJ3" s="32"/>
      <c r="AK3" s="32"/>
      <c r="AL3" s="32"/>
      <c r="AM3" s="35"/>
      <c r="AN3" s="30" t="s">
        <v>4</v>
      </c>
      <c r="AO3" s="32"/>
      <c r="AP3" s="32"/>
      <c r="AQ3" s="32"/>
      <c r="AR3" s="32"/>
      <c r="AS3" s="32"/>
      <c r="AT3" s="32"/>
      <c r="AU3" s="32"/>
      <c r="AV3" s="32"/>
      <c r="AW3" s="32"/>
      <c r="AX3" s="32"/>
      <c r="AY3" s="32"/>
      <c r="AZ3" s="35"/>
      <c r="BB3" s="37" t="s">
        <v>139</v>
      </c>
      <c r="BC3" s="368"/>
      <c r="BD3" s="368"/>
      <c r="BE3" s="368"/>
      <c r="BF3" s="368"/>
      <c r="BG3" s="368"/>
      <c r="BH3" s="41">
        <f>BE4-BJ3</f>
        <v>0.9861111111</v>
      </c>
      <c r="BI3" s="12"/>
      <c r="BJ3" s="44">
        <v>0.25</v>
      </c>
    </row>
    <row r="4">
      <c r="A4" s="46"/>
      <c r="B4" s="48" t="s">
        <v>19</v>
      </c>
      <c r="C4" s="49"/>
      <c r="D4" s="49"/>
      <c r="E4" s="49"/>
      <c r="F4" s="49"/>
      <c r="G4" s="51"/>
      <c r="H4" s="51"/>
      <c r="I4" s="51"/>
      <c r="J4" s="54">
        <v>1.0</v>
      </c>
      <c r="K4" s="9"/>
      <c r="L4" s="13"/>
      <c r="M4" s="55"/>
      <c r="N4" s="46"/>
      <c r="O4" s="48" t="s">
        <v>19</v>
      </c>
      <c r="P4" s="49"/>
      <c r="Q4" s="49"/>
      <c r="R4" s="49"/>
      <c r="S4" s="49"/>
      <c r="T4" s="51"/>
      <c r="U4" s="51"/>
      <c r="V4" s="51"/>
      <c r="W4" s="54">
        <v>2.0</v>
      </c>
      <c r="X4" s="9"/>
      <c r="Y4" s="13"/>
      <c r="Z4" s="55"/>
      <c r="AA4" s="46"/>
      <c r="AB4" s="57" t="s">
        <v>19</v>
      </c>
      <c r="AC4" s="49"/>
      <c r="AD4" s="49"/>
      <c r="AE4" s="49"/>
      <c r="AF4" s="49"/>
      <c r="AG4" s="59"/>
      <c r="AH4" s="59"/>
      <c r="AI4" s="59"/>
      <c r="AJ4" s="60">
        <v>3.0</v>
      </c>
      <c r="AK4" s="9"/>
      <c r="AL4" s="13"/>
      <c r="AM4" s="61"/>
      <c r="AN4" s="56"/>
      <c r="AO4" s="57" t="s">
        <v>19</v>
      </c>
      <c r="AP4" s="49"/>
      <c r="AQ4" s="49"/>
      <c r="AR4" s="49"/>
      <c r="AS4" s="49"/>
      <c r="AT4" s="59"/>
      <c r="AU4" s="59"/>
      <c r="AV4" s="59"/>
      <c r="AW4" s="60">
        <v>4.0</v>
      </c>
      <c r="AX4" s="9"/>
      <c r="AY4" s="13"/>
      <c r="AZ4" s="55"/>
      <c r="BB4" s="65" t="s">
        <v>140</v>
      </c>
      <c r="BC4" s="65" t="s">
        <v>13</v>
      </c>
      <c r="BD4" s="65" t="s">
        <v>141</v>
      </c>
      <c r="BE4" s="369">
        <v>1.23611111111111</v>
      </c>
      <c r="BF4" s="369">
        <v>0.336805555555556</v>
      </c>
      <c r="BG4" s="368"/>
      <c r="BH4" s="368"/>
      <c r="BI4" s="368"/>
      <c r="BJ4" s="368"/>
    </row>
    <row r="5">
      <c r="A5" s="46"/>
      <c r="B5" s="68"/>
      <c r="C5" s="68"/>
      <c r="D5" s="69"/>
      <c r="E5" s="70"/>
      <c r="F5" s="70"/>
      <c r="G5" s="70"/>
      <c r="H5" s="70"/>
      <c r="I5" s="70"/>
      <c r="J5" s="69"/>
      <c r="K5" s="69"/>
      <c r="L5" s="73"/>
      <c r="M5" s="55"/>
      <c r="N5" s="46"/>
      <c r="O5" s="68"/>
      <c r="P5" s="68"/>
      <c r="Q5" s="69"/>
      <c r="R5" s="70"/>
      <c r="S5" s="70"/>
      <c r="T5" s="70"/>
      <c r="U5" s="70"/>
      <c r="V5" s="70"/>
      <c r="W5" s="69"/>
      <c r="X5" s="69"/>
      <c r="Y5" s="73"/>
      <c r="Z5" s="55"/>
      <c r="AA5" s="46"/>
      <c r="AB5" s="76"/>
      <c r="AC5" s="76"/>
      <c r="AD5" s="77"/>
      <c r="AE5" s="79"/>
      <c r="AF5" s="79"/>
      <c r="AG5" s="79"/>
      <c r="AH5" s="79"/>
      <c r="AI5" s="79"/>
      <c r="AJ5" s="77"/>
      <c r="AK5" s="77"/>
      <c r="AL5" s="81"/>
      <c r="AM5" s="61"/>
      <c r="AN5" s="56"/>
      <c r="AO5" s="76"/>
      <c r="AP5" s="76"/>
      <c r="AQ5" s="77"/>
      <c r="AR5" s="79"/>
      <c r="AS5" s="79"/>
      <c r="AT5" s="79"/>
      <c r="AU5" s="79"/>
      <c r="AV5" s="79"/>
      <c r="AW5" s="77"/>
      <c r="AX5" s="77"/>
      <c r="AY5" s="81"/>
      <c r="AZ5" s="55"/>
      <c r="BB5" s="65" t="s">
        <v>142</v>
      </c>
      <c r="BC5" s="65" t="str">
        <f>BD4</f>
        <v>LBJ</v>
      </c>
      <c r="BD5" s="65" t="s">
        <v>13</v>
      </c>
      <c r="BE5" s="369">
        <v>0.357638888888889</v>
      </c>
      <c r="BF5" s="369">
        <v>0.454861111111111</v>
      </c>
      <c r="BG5" s="368"/>
      <c r="BH5" s="368"/>
      <c r="BI5" s="368"/>
      <c r="BJ5" s="368"/>
    </row>
    <row r="6" ht="18.0" customHeight="1">
      <c r="A6" s="46"/>
      <c r="B6" s="85" t="s">
        <v>42</v>
      </c>
      <c r="C6" s="87"/>
      <c r="D6" s="88"/>
      <c r="E6" s="91" t="str">
        <f>BB4</f>
        <v>AWQ 860</v>
      </c>
      <c r="F6" s="88"/>
      <c r="G6" s="93" t="s">
        <v>43</v>
      </c>
      <c r="H6" s="91"/>
      <c r="I6" s="87"/>
      <c r="J6" s="87"/>
      <c r="K6" s="87"/>
      <c r="L6" s="88"/>
      <c r="M6" s="55"/>
      <c r="N6" s="46"/>
      <c r="O6" s="85" t="s">
        <v>42</v>
      </c>
      <c r="P6" s="87"/>
      <c r="Q6" s="88"/>
      <c r="R6" s="91" t="str">
        <f>BB5</f>
        <v>AWQ 861</v>
      </c>
      <c r="S6" s="88"/>
      <c r="T6" s="93" t="s">
        <v>43</v>
      </c>
      <c r="U6" s="370"/>
      <c r="V6" s="87"/>
      <c r="W6" s="87"/>
      <c r="X6" s="87"/>
      <c r="Y6" s="88"/>
      <c r="Z6" s="55"/>
      <c r="AA6" s="46"/>
      <c r="AB6" s="97" t="s">
        <v>42</v>
      </c>
      <c r="AC6" s="87"/>
      <c r="AD6" s="88"/>
      <c r="AE6" s="371" t="str">
        <f>BB6</f>
        <v>AWQ 7532</v>
      </c>
      <c r="AF6" s="88"/>
      <c r="AG6" s="100" t="s">
        <v>43</v>
      </c>
      <c r="AH6" s="371"/>
      <c r="AI6" s="87"/>
      <c r="AJ6" s="87"/>
      <c r="AK6" s="87"/>
      <c r="AL6" s="88"/>
      <c r="AM6" s="61"/>
      <c r="AN6" s="56"/>
      <c r="AO6" s="97" t="s">
        <v>42</v>
      </c>
      <c r="AP6" s="87"/>
      <c r="AQ6" s="88"/>
      <c r="AR6" s="371" t="str">
        <f>BB7</f>
        <v>AWQ 7531</v>
      </c>
      <c r="AS6" s="88"/>
      <c r="AT6" s="100" t="s">
        <v>43</v>
      </c>
      <c r="AU6" s="371"/>
      <c r="AV6" s="87"/>
      <c r="AW6" s="87"/>
      <c r="AX6" s="87"/>
      <c r="AY6" s="88"/>
      <c r="AZ6" s="55"/>
      <c r="BB6" s="105" t="s">
        <v>143</v>
      </c>
      <c r="BC6" s="105" t="s">
        <v>13</v>
      </c>
      <c r="BD6" s="105" t="s">
        <v>144</v>
      </c>
      <c r="BE6" s="106">
        <v>0.138888888888889</v>
      </c>
      <c r="BF6" s="106">
        <v>0.215277777777778</v>
      </c>
      <c r="BG6" s="368"/>
      <c r="BH6" s="368"/>
      <c r="BI6" s="368"/>
      <c r="BJ6" s="368"/>
    </row>
    <row r="7" ht="18.0" customHeight="1">
      <c r="A7" s="46"/>
      <c r="B7" s="85" t="s">
        <v>57</v>
      </c>
      <c r="C7" s="87"/>
      <c r="D7" s="88"/>
      <c r="E7" s="107" t="str">
        <f>BB3</f>
        <v>PKAZJ</v>
      </c>
      <c r="F7" s="88"/>
      <c r="G7" s="93" t="s">
        <v>59</v>
      </c>
      <c r="H7" s="109">
        <f>BE4</f>
        <v>1.236111111</v>
      </c>
      <c r="I7" s="87"/>
      <c r="J7" s="87"/>
      <c r="K7" s="87"/>
      <c r="L7" s="88"/>
      <c r="M7" s="110"/>
      <c r="N7" s="46"/>
      <c r="O7" s="85" t="s">
        <v>57</v>
      </c>
      <c r="P7" s="87"/>
      <c r="Q7" s="88"/>
      <c r="R7" s="107" t="str">
        <f>E7</f>
        <v>PKAZJ</v>
      </c>
      <c r="S7" s="88"/>
      <c r="T7" s="93" t="s">
        <v>59</v>
      </c>
      <c r="U7" s="109">
        <f>BE5</f>
        <v>0.3576388889</v>
      </c>
      <c r="V7" s="87"/>
      <c r="W7" s="87"/>
      <c r="X7" s="87"/>
      <c r="Y7" s="88"/>
      <c r="Z7" s="110"/>
      <c r="AA7" s="46"/>
      <c r="AB7" s="97" t="s">
        <v>57</v>
      </c>
      <c r="AC7" s="87"/>
      <c r="AD7" s="88"/>
      <c r="AE7" s="372" t="str">
        <f>R7</f>
        <v>PKAZJ</v>
      </c>
      <c r="AF7" s="88"/>
      <c r="AG7" s="100" t="s">
        <v>59</v>
      </c>
      <c r="AH7" s="373">
        <f>BE6</f>
        <v>0.1388888889</v>
      </c>
      <c r="AI7" s="87"/>
      <c r="AJ7" s="87"/>
      <c r="AK7" s="87"/>
      <c r="AL7" s="88"/>
      <c r="AM7" s="116"/>
      <c r="AN7" s="56"/>
      <c r="AO7" s="97" t="s">
        <v>57</v>
      </c>
      <c r="AP7" s="87"/>
      <c r="AQ7" s="88"/>
      <c r="AR7" s="374" t="str">
        <f>AE7</f>
        <v>PKAZJ</v>
      </c>
      <c r="AS7" s="88"/>
      <c r="AT7" s="100" t="s">
        <v>59</v>
      </c>
      <c r="AU7" s="373">
        <f>BE7</f>
        <v>0.2326388889</v>
      </c>
      <c r="AV7" s="87"/>
      <c r="AW7" s="87"/>
      <c r="AX7" s="87"/>
      <c r="AY7" s="88"/>
      <c r="AZ7" s="110"/>
      <c r="BB7" s="105" t="s">
        <v>145</v>
      </c>
      <c r="BC7" s="105" t="str">
        <f>BD6</f>
        <v>DPS</v>
      </c>
      <c r="BD7" s="105" t="s">
        <v>13</v>
      </c>
      <c r="BE7" s="106">
        <v>0.232638888888889</v>
      </c>
      <c r="BF7" s="106">
        <v>0.309027777777778</v>
      </c>
      <c r="BG7" s="368"/>
      <c r="BH7" s="368"/>
      <c r="BI7" s="368"/>
      <c r="BJ7" s="368"/>
    </row>
    <row r="8" ht="18.0" customHeight="1">
      <c r="A8" s="46"/>
      <c r="B8" s="85" t="s">
        <v>65</v>
      </c>
      <c r="C8" s="87"/>
      <c r="D8" s="88"/>
      <c r="E8" s="91" t="str">
        <f>BC4</f>
        <v>CGK</v>
      </c>
      <c r="F8" s="88"/>
      <c r="G8" s="93" t="s">
        <v>67</v>
      </c>
      <c r="H8" s="118">
        <f>BD11</f>
        <v>1062</v>
      </c>
      <c r="I8" s="87"/>
      <c r="J8" s="87"/>
      <c r="K8" s="87"/>
      <c r="L8" s="88"/>
      <c r="M8" s="110"/>
      <c r="N8" s="46"/>
      <c r="O8" s="85" t="s">
        <v>65</v>
      </c>
      <c r="P8" s="87"/>
      <c r="Q8" s="88"/>
      <c r="R8" s="91" t="str">
        <f>BC5</f>
        <v>LBJ</v>
      </c>
      <c r="S8" s="88"/>
      <c r="T8" s="93" t="s">
        <v>67</v>
      </c>
      <c r="U8" s="118">
        <f>BD12</f>
        <v>182</v>
      </c>
      <c r="V8" s="87"/>
      <c r="W8" s="87"/>
      <c r="X8" s="87"/>
      <c r="Y8" s="88"/>
      <c r="Z8" s="110"/>
      <c r="AA8" s="46"/>
      <c r="AB8" s="97" t="s">
        <v>65</v>
      </c>
      <c r="AC8" s="87"/>
      <c r="AD8" s="88"/>
      <c r="AE8" s="371" t="str">
        <f>BC6</f>
        <v>CGK</v>
      </c>
      <c r="AF8" s="88"/>
      <c r="AG8" s="100" t="s">
        <v>67</v>
      </c>
      <c r="AH8" s="375" t="str">
        <f>BD13</f>
        <v/>
      </c>
      <c r="AI8" s="87"/>
      <c r="AJ8" s="87"/>
      <c r="AK8" s="87"/>
      <c r="AL8" s="88"/>
      <c r="AM8" s="116"/>
      <c r="AN8" s="56"/>
      <c r="AO8" s="97" t="s">
        <v>65</v>
      </c>
      <c r="AP8" s="87"/>
      <c r="AQ8" s="88"/>
      <c r="AR8" s="371" t="str">
        <f>BC7</f>
        <v>DPS</v>
      </c>
      <c r="AS8" s="88"/>
      <c r="AT8" s="100" t="s">
        <v>67</v>
      </c>
      <c r="AU8" s="375" t="str">
        <f>BD14</f>
        <v/>
      </c>
      <c r="AV8" s="87"/>
      <c r="AW8" s="87"/>
      <c r="AX8" s="87"/>
      <c r="AY8" s="88"/>
      <c r="AZ8" s="110"/>
      <c r="BB8" s="368"/>
      <c r="BC8" s="368"/>
      <c r="BD8" s="368"/>
      <c r="BE8" s="368"/>
      <c r="BF8" s="368"/>
      <c r="BG8" s="368"/>
      <c r="BH8" s="368"/>
      <c r="BI8" s="368"/>
      <c r="BJ8" s="368"/>
    </row>
    <row r="9" ht="18.0" customHeight="1">
      <c r="A9" s="46"/>
      <c r="B9" s="85" t="s">
        <v>71</v>
      </c>
      <c r="C9" s="87"/>
      <c r="D9" s="88"/>
      <c r="E9" s="122">
        <f>BB2</f>
        <v>46278</v>
      </c>
      <c r="F9" s="88"/>
      <c r="G9" s="93" t="s">
        <v>72</v>
      </c>
      <c r="H9" s="118" t="str">
        <f>BB11</f>
        <v/>
      </c>
      <c r="I9" s="87"/>
      <c r="J9" s="87"/>
      <c r="K9" s="87"/>
      <c r="L9" s="88"/>
      <c r="M9" s="110"/>
      <c r="N9" s="46"/>
      <c r="O9" s="85" t="s">
        <v>71</v>
      </c>
      <c r="P9" s="87"/>
      <c r="Q9" s="88"/>
      <c r="R9" s="122">
        <f>E9</f>
        <v>46278</v>
      </c>
      <c r="S9" s="88"/>
      <c r="T9" s="93" t="s">
        <v>72</v>
      </c>
      <c r="U9" s="118" t="str">
        <f>BB12</f>
        <v/>
      </c>
      <c r="V9" s="87"/>
      <c r="W9" s="87"/>
      <c r="X9" s="87"/>
      <c r="Y9" s="88"/>
      <c r="Z9" s="110"/>
      <c r="AA9" s="46"/>
      <c r="AB9" s="97" t="s">
        <v>71</v>
      </c>
      <c r="AC9" s="87"/>
      <c r="AD9" s="88"/>
      <c r="AE9" s="376">
        <f>R9</f>
        <v>46278</v>
      </c>
      <c r="AF9" s="88"/>
      <c r="AG9" s="100" t="s">
        <v>72</v>
      </c>
      <c r="AH9" s="375" t="str">
        <f>BB13</f>
        <v/>
      </c>
      <c r="AI9" s="87"/>
      <c r="AJ9" s="87"/>
      <c r="AK9" s="87"/>
      <c r="AL9" s="88"/>
      <c r="AM9" s="116"/>
      <c r="AN9" s="56"/>
      <c r="AO9" s="97" t="s">
        <v>71</v>
      </c>
      <c r="AP9" s="87"/>
      <c r="AQ9" s="88"/>
      <c r="AR9" s="376">
        <f>AE9</f>
        <v>46278</v>
      </c>
      <c r="AS9" s="88"/>
      <c r="AT9" s="100" t="s">
        <v>72</v>
      </c>
      <c r="AU9" s="375" t="str">
        <f>BB14</f>
        <v/>
      </c>
      <c r="AV9" s="87"/>
      <c r="AW9" s="87"/>
      <c r="AX9" s="87"/>
      <c r="AY9" s="88"/>
      <c r="AZ9" s="110"/>
      <c r="BB9" s="368"/>
      <c r="BC9" s="368"/>
      <c r="BD9" s="368"/>
      <c r="BE9" s="368"/>
      <c r="BF9" s="368"/>
      <c r="BG9" s="368"/>
      <c r="BH9" s="368"/>
      <c r="BI9" s="368"/>
      <c r="BJ9" s="368"/>
    </row>
    <row r="10" ht="23.25" customHeight="1">
      <c r="A10" s="46"/>
      <c r="B10" s="136"/>
      <c r="C10" s="136"/>
      <c r="D10" s="137"/>
      <c r="E10" s="137"/>
      <c r="F10" s="138"/>
      <c r="G10" s="138"/>
      <c r="H10" s="139"/>
      <c r="I10" s="138"/>
      <c r="J10" s="138"/>
      <c r="K10" s="138"/>
      <c r="L10" s="138"/>
      <c r="M10" s="142"/>
      <c r="N10" s="46"/>
      <c r="O10" s="136"/>
      <c r="P10" s="136"/>
      <c r="Q10" s="137"/>
      <c r="R10" s="137"/>
      <c r="S10" s="138"/>
      <c r="T10" s="138"/>
      <c r="U10" s="139"/>
      <c r="V10" s="138"/>
      <c r="W10" s="138"/>
      <c r="X10" s="138"/>
      <c r="Y10" s="138"/>
      <c r="Z10" s="142"/>
      <c r="AA10" s="46"/>
      <c r="AB10" s="144"/>
      <c r="AC10" s="144"/>
      <c r="AD10" s="145"/>
      <c r="AE10" s="145"/>
      <c r="AF10" s="146"/>
      <c r="AG10" s="146"/>
      <c r="AH10" s="147"/>
      <c r="AI10" s="146"/>
      <c r="AJ10" s="146"/>
      <c r="AK10" s="146"/>
      <c r="AL10" s="146"/>
      <c r="AM10" s="148"/>
      <c r="AN10" s="56"/>
      <c r="AO10" s="144"/>
      <c r="AP10" s="144"/>
      <c r="AQ10" s="145"/>
      <c r="AR10" s="145"/>
      <c r="AS10" s="146"/>
      <c r="AT10" s="146"/>
      <c r="AU10" s="147"/>
      <c r="AV10" s="146"/>
      <c r="AW10" s="146"/>
      <c r="AX10" s="146"/>
      <c r="AY10" s="146"/>
      <c r="AZ10" s="142"/>
      <c r="BB10" s="149" t="s">
        <v>146</v>
      </c>
      <c r="BC10" s="149" t="s">
        <v>29</v>
      </c>
      <c r="BD10" s="149" t="s">
        <v>147</v>
      </c>
      <c r="BE10" s="149" t="s">
        <v>31</v>
      </c>
      <c r="BF10" s="149" t="s">
        <v>32</v>
      </c>
      <c r="BG10" s="149" t="s">
        <v>79</v>
      </c>
      <c r="BH10" s="149" t="s">
        <v>33</v>
      </c>
      <c r="BI10" s="149" t="s">
        <v>34</v>
      </c>
      <c r="BJ10" s="149" t="s">
        <v>35</v>
      </c>
    </row>
    <row r="11" ht="17.25" customHeight="1">
      <c r="A11" s="46"/>
      <c r="B11" s="151" t="s">
        <v>81</v>
      </c>
      <c r="C11" s="151"/>
      <c r="D11" s="151"/>
      <c r="E11" s="151"/>
      <c r="F11" s="151"/>
      <c r="G11" s="153">
        <v>66000.0</v>
      </c>
      <c r="H11" s="87"/>
      <c r="I11" s="87"/>
      <c r="J11" s="87"/>
      <c r="K11" s="87"/>
      <c r="L11" s="88"/>
      <c r="M11" s="154"/>
      <c r="N11" s="46"/>
      <c r="O11" s="151" t="s">
        <v>81</v>
      </c>
      <c r="P11" s="151"/>
      <c r="Q11" s="151"/>
      <c r="R11" s="156"/>
      <c r="S11" s="156"/>
      <c r="T11" s="153">
        <v>66000.0</v>
      </c>
      <c r="U11" s="87"/>
      <c r="V11" s="87"/>
      <c r="W11" s="87"/>
      <c r="X11" s="87"/>
      <c r="Y11" s="88"/>
      <c r="Z11" s="154"/>
      <c r="AA11" s="46"/>
      <c r="AB11" s="157" t="s">
        <v>81</v>
      </c>
      <c r="AC11" s="157"/>
      <c r="AD11" s="157"/>
      <c r="AE11" s="157"/>
      <c r="AF11" s="157"/>
      <c r="AG11" s="377">
        <v>66000.0</v>
      </c>
      <c r="AH11" s="87"/>
      <c r="AI11" s="87"/>
      <c r="AJ11" s="87"/>
      <c r="AK11" s="87"/>
      <c r="AL11" s="88"/>
      <c r="AM11" s="161"/>
      <c r="AN11" s="56"/>
      <c r="AO11" s="157" t="s">
        <v>81</v>
      </c>
      <c r="AP11" s="157"/>
      <c r="AQ11" s="157"/>
      <c r="AR11" s="157"/>
      <c r="AS11" s="157"/>
      <c r="AT11" s="377">
        <v>66000.0</v>
      </c>
      <c r="AU11" s="87"/>
      <c r="AV11" s="87"/>
      <c r="AW11" s="87"/>
      <c r="AX11" s="87"/>
      <c r="AY11" s="88"/>
      <c r="AZ11" s="154"/>
      <c r="BB11" s="179"/>
      <c r="BC11" s="179">
        <v>1062.0</v>
      </c>
      <c r="BD11" s="179">
        <v>1062.0</v>
      </c>
      <c r="BE11" s="179">
        <v>1500.0</v>
      </c>
      <c r="BF11" s="179">
        <f>72+36</f>
        <v>108</v>
      </c>
      <c r="BG11" s="179"/>
      <c r="BH11" s="179" t="s">
        <v>148</v>
      </c>
      <c r="BI11" s="378">
        <v>2000.0</v>
      </c>
      <c r="BJ11" s="179">
        <v>95.2</v>
      </c>
    </row>
    <row r="12" ht="17.25" customHeight="1">
      <c r="A12" s="46"/>
      <c r="B12" s="151" t="s">
        <v>86</v>
      </c>
      <c r="C12" s="151"/>
      <c r="D12" s="151"/>
      <c r="E12" s="151"/>
      <c r="F12" s="151"/>
      <c r="G12" s="172">
        <f>H8</f>
        <v>1062</v>
      </c>
      <c r="H12" s="87"/>
      <c r="I12" s="87"/>
      <c r="J12" s="87"/>
      <c r="K12" s="87"/>
      <c r="L12" s="88"/>
      <c r="M12" s="110"/>
      <c r="N12" s="46"/>
      <c r="O12" s="151" t="s">
        <v>86</v>
      </c>
      <c r="P12" s="151"/>
      <c r="Q12" s="151"/>
      <c r="R12" s="156"/>
      <c r="S12" s="156"/>
      <c r="T12" s="172">
        <f>U8</f>
        <v>182</v>
      </c>
      <c r="U12" s="87"/>
      <c r="V12" s="87"/>
      <c r="W12" s="87"/>
      <c r="X12" s="87"/>
      <c r="Y12" s="88"/>
      <c r="Z12" s="110"/>
      <c r="AA12" s="46"/>
      <c r="AB12" s="157" t="s">
        <v>86</v>
      </c>
      <c r="AC12" s="157"/>
      <c r="AD12" s="157"/>
      <c r="AE12" s="157"/>
      <c r="AF12" s="157"/>
      <c r="AG12" s="379" t="str">
        <f>AH8</f>
        <v/>
      </c>
      <c r="AH12" s="87"/>
      <c r="AI12" s="87"/>
      <c r="AJ12" s="87"/>
      <c r="AK12" s="87"/>
      <c r="AL12" s="88"/>
      <c r="AM12" s="116"/>
      <c r="AN12" s="56"/>
      <c r="AO12" s="157" t="s">
        <v>86</v>
      </c>
      <c r="AP12" s="157"/>
      <c r="AQ12" s="157"/>
      <c r="AR12" s="157"/>
      <c r="AS12" s="157"/>
      <c r="AT12" s="379" t="str">
        <f>AU8</f>
        <v/>
      </c>
      <c r="AU12" s="87"/>
      <c r="AV12" s="87"/>
      <c r="AW12" s="87"/>
      <c r="AX12" s="87"/>
      <c r="AY12" s="88"/>
      <c r="AZ12" s="110"/>
      <c r="BB12" s="380"/>
      <c r="BC12" s="380">
        <v>182.0</v>
      </c>
      <c r="BD12" s="380">
        <v>182.0</v>
      </c>
      <c r="BE12" s="380">
        <v>1000.0</v>
      </c>
      <c r="BF12" s="380">
        <f>72+108</f>
        <v>180</v>
      </c>
      <c r="BG12" s="380"/>
      <c r="BH12" s="380" t="s">
        <v>69</v>
      </c>
      <c r="BI12" s="380">
        <v>0.0</v>
      </c>
      <c r="BJ12" s="381">
        <v>0.0</v>
      </c>
    </row>
    <row r="13" ht="17.25" customHeight="1">
      <c r="A13" s="46"/>
      <c r="B13" s="151" t="s">
        <v>87</v>
      </c>
      <c r="C13" s="151"/>
      <c r="D13" s="151"/>
      <c r="E13" s="151"/>
      <c r="F13" s="180" t="s">
        <v>88</v>
      </c>
      <c r="G13" s="181">
        <f>G11+G12</f>
        <v>67062</v>
      </c>
      <c r="H13" s="87"/>
      <c r="I13" s="87"/>
      <c r="J13" s="87"/>
      <c r="K13" s="87"/>
      <c r="L13" s="88"/>
      <c r="M13" s="110"/>
      <c r="N13" s="46"/>
      <c r="O13" s="151" t="s">
        <v>87</v>
      </c>
      <c r="P13" s="151"/>
      <c r="Q13" s="151"/>
      <c r="R13" s="156"/>
      <c r="S13" s="183" t="s">
        <v>88</v>
      </c>
      <c r="T13" s="181">
        <f>T11+T12</f>
        <v>66182</v>
      </c>
      <c r="U13" s="87"/>
      <c r="V13" s="87"/>
      <c r="W13" s="87"/>
      <c r="X13" s="87"/>
      <c r="Y13" s="88"/>
      <c r="Z13" s="110"/>
      <c r="AA13" s="46"/>
      <c r="AB13" s="157" t="s">
        <v>87</v>
      </c>
      <c r="AC13" s="157"/>
      <c r="AD13" s="157"/>
      <c r="AE13" s="157"/>
      <c r="AF13" s="382" t="s">
        <v>88</v>
      </c>
      <c r="AG13" s="383">
        <f>AG11+AG12</f>
        <v>66000</v>
      </c>
      <c r="AH13" s="87"/>
      <c r="AI13" s="87"/>
      <c r="AJ13" s="87"/>
      <c r="AK13" s="87"/>
      <c r="AL13" s="88"/>
      <c r="AM13" s="116"/>
      <c r="AN13" s="56"/>
      <c r="AO13" s="157" t="s">
        <v>87</v>
      </c>
      <c r="AP13" s="157"/>
      <c r="AQ13" s="157"/>
      <c r="AR13" s="157"/>
      <c r="AS13" s="382" t="s">
        <v>88</v>
      </c>
      <c r="AT13" s="383">
        <f>AT11+AT12</f>
        <v>66000</v>
      </c>
      <c r="AU13" s="87"/>
      <c r="AV13" s="87"/>
      <c r="AW13" s="87"/>
      <c r="AX13" s="87"/>
      <c r="AY13" s="88"/>
      <c r="AZ13" s="110"/>
      <c r="BB13" s="193"/>
      <c r="BC13" s="193"/>
      <c r="BD13" s="193"/>
      <c r="BE13" s="193"/>
      <c r="BF13" s="193"/>
      <c r="BG13" s="193"/>
      <c r="BH13" s="193"/>
      <c r="BI13" s="193"/>
      <c r="BJ13" s="193"/>
    </row>
    <row r="14">
      <c r="A14" s="46"/>
      <c r="B14" s="151"/>
      <c r="C14" s="151"/>
      <c r="D14" s="151"/>
      <c r="E14" s="151"/>
      <c r="F14" s="151"/>
      <c r="G14" s="151"/>
      <c r="H14" s="151"/>
      <c r="I14" s="151"/>
      <c r="J14" s="151"/>
      <c r="K14" s="151"/>
      <c r="L14" s="151"/>
      <c r="M14" s="55"/>
      <c r="N14" s="46"/>
      <c r="O14" s="151"/>
      <c r="P14" s="151"/>
      <c r="Q14" s="151"/>
      <c r="R14" s="156"/>
      <c r="S14" s="156"/>
      <c r="T14" s="156"/>
      <c r="U14" s="156"/>
      <c r="V14" s="156"/>
      <c r="W14" s="156"/>
      <c r="X14" s="156"/>
      <c r="Y14" s="156"/>
      <c r="Z14" s="55"/>
      <c r="AA14" s="46"/>
      <c r="AB14" s="157"/>
      <c r="AC14" s="157"/>
      <c r="AD14" s="157"/>
      <c r="AE14" s="157"/>
      <c r="AF14" s="157"/>
      <c r="AG14" s="157"/>
      <c r="AH14" s="157"/>
      <c r="AI14" s="157"/>
      <c r="AJ14" s="157"/>
      <c r="AK14" s="157"/>
      <c r="AL14" s="157"/>
      <c r="AM14" s="61"/>
      <c r="AN14" s="56"/>
      <c r="AO14" s="157"/>
      <c r="AP14" s="157"/>
      <c r="AQ14" s="157"/>
      <c r="AR14" s="157"/>
      <c r="AS14" s="157"/>
      <c r="AT14" s="157"/>
      <c r="AU14" s="157"/>
      <c r="AV14" s="157"/>
      <c r="AW14" s="157"/>
      <c r="AX14" s="157"/>
      <c r="AY14" s="157"/>
      <c r="AZ14" s="55"/>
      <c r="BB14" s="193"/>
      <c r="BC14" s="193"/>
      <c r="BD14" s="193"/>
      <c r="BE14" s="193"/>
      <c r="BF14" s="193"/>
      <c r="BG14" s="193"/>
      <c r="BH14" s="193"/>
      <c r="BI14" s="193"/>
      <c r="BJ14" s="384"/>
    </row>
    <row r="15" ht="18.0" customHeight="1">
      <c r="A15" s="46"/>
      <c r="B15" s="195" t="s">
        <v>90</v>
      </c>
      <c r="C15" s="196"/>
      <c r="D15" s="196"/>
      <c r="E15" s="196"/>
      <c r="F15" s="196"/>
      <c r="G15" s="196"/>
      <c r="H15" s="197"/>
      <c r="I15" s="199" t="s">
        <v>91</v>
      </c>
      <c r="J15" s="87"/>
      <c r="K15" s="87"/>
      <c r="L15" s="88"/>
      <c r="M15" s="55"/>
      <c r="N15" s="46"/>
      <c r="O15" s="195" t="s">
        <v>90</v>
      </c>
      <c r="P15" s="196"/>
      <c r="Q15" s="196"/>
      <c r="R15" s="201"/>
      <c r="S15" s="201"/>
      <c r="T15" s="201"/>
      <c r="U15" s="202"/>
      <c r="V15" s="204" t="s">
        <v>91</v>
      </c>
      <c r="W15" s="87"/>
      <c r="X15" s="87"/>
      <c r="Y15" s="88"/>
      <c r="Z15" s="55"/>
      <c r="AA15" s="46"/>
      <c r="AB15" s="205" t="s">
        <v>90</v>
      </c>
      <c r="AC15" s="206"/>
      <c r="AD15" s="206"/>
      <c r="AE15" s="206"/>
      <c r="AF15" s="206"/>
      <c r="AG15" s="206"/>
      <c r="AH15" s="385"/>
      <c r="AI15" s="386" t="s">
        <v>91</v>
      </c>
      <c r="AJ15" s="87"/>
      <c r="AK15" s="87"/>
      <c r="AL15" s="88"/>
      <c r="AM15" s="61"/>
      <c r="AN15" s="56"/>
      <c r="AO15" s="205" t="s">
        <v>90</v>
      </c>
      <c r="AP15" s="206"/>
      <c r="AQ15" s="206"/>
      <c r="AR15" s="206"/>
      <c r="AS15" s="206"/>
      <c r="AT15" s="206"/>
      <c r="AU15" s="385"/>
      <c r="AV15" s="386" t="s">
        <v>91</v>
      </c>
      <c r="AW15" s="87"/>
      <c r="AX15" s="87"/>
      <c r="AY15" s="88"/>
      <c r="AZ15" s="55"/>
      <c r="BB15" s="368"/>
      <c r="BC15" s="368"/>
      <c r="BD15" s="368"/>
      <c r="BE15" s="368"/>
      <c r="BF15" s="368"/>
      <c r="BG15" s="368"/>
      <c r="BH15" s="368"/>
      <c r="BI15" s="368"/>
      <c r="BJ15" s="368"/>
    </row>
    <row r="16" ht="18.0" customHeight="1">
      <c r="A16" s="46"/>
      <c r="B16" s="211" t="s">
        <v>92</v>
      </c>
      <c r="C16" s="212"/>
      <c r="D16" s="212"/>
      <c r="E16" s="199" t="s">
        <v>93</v>
      </c>
      <c r="F16" s="87"/>
      <c r="G16" s="87"/>
      <c r="H16" s="88"/>
      <c r="I16" s="199" t="s">
        <v>94</v>
      </c>
      <c r="J16" s="87"/>
      <c r="K16" s="87"/>
      <c r="L16" s="88"/>
      <c r="M16" s="55"/>
      <c r="N16" s="46"/>
      <c r="O16" s="211" t="s">
        <v>92</v>
      </c>
      <c r="P16" s="212"/>
      <c r="Q16" s="212"/>
      <c r="R16" s="204" t="s">
        <v>93</v>
      </c>
      <c r="S16" s="87"/>
      <c r="T16" s="87"/>
      <c r="U16" s="88"/>
      <c r="V16" s="204" t="s">
        <v>94</v>
      </c>
      <c r="W16" s="87"/>
      <c r="X16" s="87"/>
      <c r="Y16" s="88"/>
      <c r="Z16" s="55"/>
      <c r="AA16" s="46"/>
      <c r="AB16" s="213" t="s">
        <v>92</v>
      </c>
      <c r="AC16" s="215"/>
      <c r="AD16" s="215"/>
      <c r="AE16" s="386" t="s">
        <v>93</v>
      </c>
      <c r="AF16" s="87"/>
      <c r="AG16" s="87"/>
      <c r="AH16" s="88"/>
      <c r="AI16" s="386" t="s">
        <v>94</v>
      </c>
      <c r="AJ16" s="87"/>
      <c r="AK16" s="87"/>
      <c r="AL16" s="88"/>
      <c r="AM16" s="61"/>
      <c r="AN16" s="56"/>
      <c r="AO16" s="213" t="s">
        <v>92</v>
      </c>
      <c r="AP16" s="215"/>
      <c r="AQ16" s="215"/>
      <c r="AR16" s="386" t="s">
        <v>93</v>
      </c>
      <c r="AS16" s="87"/>
      <c r="AT16" s="87"/>
      <c r="AU16" s="88"/>
      <c r="AV16" s="386" t="s">
        <v>94</v>
      </c>
      <c r="AW16" s="87"/>
      <c r="AX16" s="87"/>
      <c r="AY16" s="88"/>
      <c r="AZ16" s="55"/>
      <c r="BB16" s="368"/>
      <c r="BC16" s="368"/>
      <c r="BD16" s="368"/>
      <c r="BE16" s="368"/>
      <c r="BF16" s="368"/>
      <c r="BG16" s="368"/>
      <c r="BH16" s="368"/>
      <c r="BI16" s="368"/>
      <c r="BJ16" s="368"/>
    </row>
    <row r="17" ht="18.0" customHeight="1">
      <c r="A17" s="46"/>
      <c r="B17" s="195" t="s">
        <v>87</v>
      </c>
      <c r="C17" s="196"/>
      <c r="D17" s="196"/>
      <c r="E17" s="197"/>
      <c r="F17" s="180" t="s">
        <v>99</v>
      </c>
      <c r="G17" s="219">
        <v>73500.0</v>
      </c>
      <c r="H17" s="87"/>
      <c r="I17" s="87"/>
      <c r="J17" s="87"/>
      <c r="K17" s="87"/>
      <c r="L17" s="88"/>
      <c r="M17" s="55"/>
      <c r="N17" s="46"/>
      <c r="O17" s="195" t="s">
        <v>87</v>
      </c>
      <c r="P17" s="196"/>
      <c r="Q17" s="196"/>
      <c r="R17" s="202"/>
      <c r="S17" s="183" t="s">
        <v>99</v>
      </c>
      <c r="T17" s="219">
        <f>G17</f>
        <v>73500</v>
      </c>
      <c r="U17" s="87"/>
      <c r="V17" s="87"/>
      <c r="W17" s="87"/>
      <c r="X17" s="87"/>
      <c r="Y17" s="88"/>
      <c r="Z17" s="55"/>
      <c r="AA17" s="46"/>
      <c r="AB17" s="205" t="s">
        <v>87</v>
      </c>
      <c r="AC17" s="206"/>
      <c r="AD17" s="206"/>
      <c r="AE17" s="385"/>
      <c r="AF17" s="382" t="s">
        <v>99</v>
      </c>
      <c r="AG17" s="387">
        <f>T17</f>
        <v>73500</v>
      </c>
      <c r="AH17" s="87"/>
      <c r="AI17" s="87"/>
      <c r="AJ17" s="87"/>
      <c r="AK17" s="87"/>
      <c r="AL17" s="88"/>
      <c r="AM17" s="61"/>
      <c r="AN17" s="56"/>
      <c r="AO17" s="205" t="s">
        <v>87</v>
      </c>
      <c r="AP17" s="206"/>
      <c r="AQ17" s="206"/>
      <c r="AR17" s="385"/>
      <c r="AS17" s="382" t="s">
        <v>99</v>
      </c>
      <c r="AT17" s="387">
        <f>AG17</f>
        <v>73500</v>
      </c>
      <c r="AU17" s="87"/>
      <c r="AV17" s="87"/>
      <c r="AW17" s="87"/>
      <c r="AX17" s="87"/>
      <c r="AY17" s="88"/>
      <c r="AZ17" s="55"/>
      <c r="BB17" s="228" t="s">
        <v>44</v>
      </c>
      <c r="BC17" s="229" t="s">
        <v>149</v>
      </c>
      <c r="BD17" s="368"/>
      <c r="BE17" s="368"/>
      <c r="BF17" s="368"/>
      <c r="BG17" s="368"/>
      <c r="BH17" s="368"/>
      <c r="BI17" s="368"/>
      <c r="BJ17" s="368"/>
    </row>
    <row r="18">
      <c r="A18" s="46"/>
      <c r="B18" s="151"/>
      <c r="C18" s="151"/>
      <c r="D18" s="151"/>
      <c r="E18" s="151"/>
      <c r="F18" s="151"/>
      <c r="G18" s="232"/>
      <c r="H18" s="232"/>
      <c r="I18" s="232"/>
      <c r="J18" s="232"/>
      <c r="K18" s="232"/>
      <c r="L18" s="232"/>
      <c r="M18" s="55"/>
      <c r="N18" s="46"/>
      <c r="O18" s="151"/>
      <c r="P18" s="151"/>
      <c r="Q18" s="151"/>
      <c r="R18" s="156"/>
      <c r="S18" s="156"/>
      <c r="T18" s="232"/>
      <c r="U18" s="232"/>
      <c r="V18" s="232"/>
      <c r="W18" s="232"/>
      <c r="X18" s="232"/>
      <c r="Y18" s="232"/>
      <c r="Z18" s="55"/>
      <c r="AA18" s="46"/>
      <c r="AB18" s="157"/>
      <c r="AC18" s="157"/>
      <c r="AD18" s="157"/>
      <c r="AE18" s="157"/>
      <c r="AF18" s="157"/>
      <c r="AG18" s="388"/>
      <c r="AH18" s="388"/>
      <c r="AI18" s="388"/>
      <c r="AJ18" s="388"/>
      <c r="AK18" s="388"/>
      <c r="AL18" s="388"/>
      <c r="AM18" s="61"/>
      <c r="AN18" s="56"/>
      <c r="AO18" s="157"/>
      <c r="AP18" s="157"/>
      <c r="AQ18" s="157"/>
      <c r="AR18" s="157"/>
      <c r="AS18" s="157"/>
      <c r="AT18" s="388"/>
      <c r="AU18" s="388"/>
      <c r="AV18" s="388"/>
      <c r="AW18" s="388"/>
      <c r="AX18" s="388"/>
      <c r="AY18" s="388"/>
      <c r="AZ18" s="55"/>
      <c r="BB18" s="368"/>
      <c r="BC18" s="368"/>
      <c r="BD18" s="368"/>
      <c r="BE18" s="368"/>
      <c r="BF18" s="368"/>
      <c r="BG18" s="368"/>
      <c r="BH18" s="368"/>
      <c r="BI18" s="368"/>
      <c r="BJ18" s="368"/>
    </row>
    <row r="19" ht="18.0" customHeight="1">
      <c r="A19" s="46"/>
      <c r="B19" s="195" t="s">
        <v>109</v>
      </c>
      <c r="C19" s="196"/>
      <c r="D19" s="196"/>
      <c r="E19" s="196"/>
      <c r="F19" s="197"/>
      <c r="G19" s="260">
        <f>G17</f>
        <v>73500</v>
      </c>
      <c r="H19" s="87"/>
      <c r="I19" s="87"/>
      <c r="J19" s="87"/>
      <c r="K19" s="87"/>
      <c r="L19" s="88"/>
      <c r="M19" s="110"/>
      <c r="N19" s="46"/>
      <c r="O19" s="195" t="s">
        <v>109</v>
      </c>
      <c r="P19" s="196"/>
      <c r="Q19" s="196"/>
      <c r="R19" s="201"/>
      <c r="S19" s="202"/>
      <c r="T19" s="260">
        <f>T17</f>
        <v>73500</v>
      </c>
      <c r="U19" s="87"/>
      <c r="V19" s="87"/>
      <c r="W19" s="87"/>
      <c r="X19" s="87"/>
      <c r="Y19" s="88"/>
      <c r="Z19" s="110"/>
      <c r="AA19" s="46"/>
      <c r="AB19" s="205" t="s">
        <v>109</v>
      </c>
      <c r="AC19" s="206"/>
      <c r="AD19" s="206"/>
      <c r="AE19" s="206"/>
      <c r="AF19" s="385"/>
      <c r="AG19" s="389">
        <f>AG13</f>
        <v>66000</v>
      </c>
      <c r="AH19" s="87"/>
      <c r="AI19" s="87"/>
      <c r="AJ19" s="87"/>
      <c r="AK19" s="87"/>
      <c r="AL19" s="88"/>
      <c r="AM19" s="116"/>
      <c r="AN19" s="56"/>
      <c r="AO19" s="205" t="s">
        <v>109</v>
      </c>
      <c r="AP19" s="206"/>
      <c r="AQ19" s="206"/>
      <c r="AR19" s="206"/>
      <c r="AS19" s="385"/>
      <c r="AT19" s="389">
        <f>AT13</f>
        <v>66000</v>
      </c>
      <c r="AU19" s="87"/>
      <c r="AV19" s="87"/>
      <c r="AW19" s="87"/>
      <c r="AX19" s="87"/>
      <c r="AY19" s="88"/>
      <c r="AZ19" s="110"/>
      <c r="BB19" s="228" t="s">
        <v>46</v>
      </c>
      <c r="BC19" s="228">
        <v>71080.0</v>
      </c>
      <c r="BD19" s="368"/>
      <c r="BE19" s="368"/>
      <c r="BF19" s="368"/>
      <c r="BG19" s="368"/>
      <c r="BH19" s="368"/>
      <c r="BI19" s="368"/>
      <c r="BJ19" s="368"/>
    </row>
    <row r="20" ht="18.0" customHeight="1">
      <c r="A20" s="46"/>
      <c r="B20" s="195" t="s">
        <v>113</v>
      </c>
      <c r="C20" s="196"/>
      <c r="D20" s="196"/>
      <c r="E20" s="196"/>
      <c r="F20" s="197"/>
      <c r="G20" s="268" t="str">
        <f>BG11</f>
        <v/>
      </c>
      <c r="H20" s="87"/>
      <c r="I20" s="87"/>
      <c r="J20" s="87"/>
      <c r="K20" s="87"/>
      <c r="L20" s="88"/>
      <c r="M20" s="110"/>
      <c r="N20" s="46"/>
      <c r="O20" s="195" t="s">
        <v>113</v>
      </c>
      <c r="P20" s="196"/>
      <c r="Q20" s="196"/>
      <c r="R20" s="201"/>
      <c r="S20" s="202"/>
      <c r="T20" s="268" t="str">
        <f>BG12</f>
        <v/>
      </c>
      <c r="U20" s="87"/>
      <c r="V20" s="87"/>
      <c r="W20" s="87"/>
      <c r="X20" s="87"/>
      <c r="Y20" s="88"/>
      <c r="Z20" s="110"/>
      <c r="AA20" s="46"/>
      <c r="AB20" s="205" t="s">
        <v>113</v>
      </c>
      <c r="AC20" s="206"/>
      <c r="AD20" s="206"/>
      <c r="AE20" s="206"/>
      <c r="AF20" s="385"/>
      <c r="AG20" s="390" t="str">
        <f>BG13</f>
        <v/>
      </c>
      <c r="AH20" s="87"/>
      <c r="AI20" s="87"/>
      <c r="AJ20" s="87"/>
      <c r="AK20" s="87"/>
      <c r="AL20" s="88"/>
      <c r="AM20" s="116"/>
      <c r="AN20" s="56"/>
      <c r="AO20" s="205" t="s">
        <v>113</v>
      </c>
      <c r="AP20" s="206"/>
      <c r="AQ20" s="206"/>
      <c r="AR20" s="206"/>
      <c r="AS20" s="385"/>
      <c r="AT20" s="390" t="str">
        <f>BG14</f>
        <v/>
      </c>
      <c r="AU20" s="87"/>
      <c r="AV20" s="87"/>
      <c r="AW20" s="87"/>
      <c r="AX20" s="87"/>
      <c r="AY20" s="88"/>
      <c r="AZ20" s="110"/>
      <c r="BB20" s="228" t="s">
        <v>48</v>
      </c>
      <c r="BC20" s="228">
        <v>71082.0</v>
      </c>
      <c r="BD20" s="368"/>
      <c r="BE20" s="368"/>
      <c r="BF20" s="368"/>
      <c r="BG20" s="368"/>
      <c r="BH20" s="368"/>
      <c r="BI20" s="368"/>
      <c r="BJ20" s="368"/>
    </row>
    <row r="21" ht="18.0" customHeight="1">
      <c r="A21" s="46"/>
      <c r="B21" s="195" t="s">
        <v>116</v>
      </c>
      <c r="C21" s="196"/>
      <c r="D21" s="196"/>
      <c r="E21" s="196"/>
      <c r="F21" s="197"/>
      <c r="G21" s="181">
        <f>G19-G20</f>
        <v>73500</v>
      </c>
      <c r="H21" s="87"/>
      <c r="I21" s="87"/>
      <c r="J21" s="87"/>
      <c r="K21" s="87"/>
      <c r="L21" s="88"/>
      <c r="M21" s="110"/>
      <c r="N21" s="46"/>
      <c r="O21" s="195" t="s">
        <v>116</v>
      </c>
      <c r="P21" s="196"/>
      <c r="Q21" s="196"/>
      <c r="R21" s="201"/>
      <c r="S21" s="202"/>
      <c r="T21" s="181">
        <f>T19-T20</f>
        <v>73500</v>
      </c>
      <c r="U21" s="87"/>
      <c r="V21" s="87"/>
      <c r="W21" s="87"/>
      <c r="X21" s="87"/>
      <c r="Y21" s="88"/>
      <c r="Z21" s="110"/>
      <c r="AA21" s="46"/>
      <c r="AB21" s="205" t="s">
        <v>116</v>
      </c>
      <c r="AC21" s="206"/>
      <c r="AD21" s="206"/>
      <c r="AE21" s="206"/>
      <c r="AF21" s="385"/>
      <c r="AG21" s="383">
        <f>AG19-AG20</f>
        <v>66000</v>
      </c>
      <c r="AH21" s="87"/>
      <c r="AI21" s="87"/>
      <c r="AJ21" s="87"/>
      <c r="AK21" s="87"/>
      <c r="AL21" s="88"/>
      <c r="AM21" s="116"/>
      <c r="AN21" s="56"/>
      <c r="AO21" s="205" t="s">
        <v>116</v>
      </c>
      <c r="AP21" s="206"/>
      <c r="AQ21" s="206"/>
      <c r="AR21" s="206"/>
      <c r="AS21" s="385"/>
      <c r="AT21" s="383">
        <f>AT19-AT20</f>
        <v>66000</v>
      </c>
      <c r="AU21" s="87"/>
      <c r="AV21" s="87"/>
      <c r="AW21" s="87"/>
      <c r="AX21" s="87"/>
      <c r="AY21" s="88"/>
      <c r="AZ21" s="110"/>
      <c r="BB21" s="291" t="s">
        <v>51</v>
      </c>
      <c r="BC21" s="292"/>
      <c r="BD21" s="368"/>
      <c r="BE21" s="368"/>
      <c r="BF21" s="368"/>
      <c r="BG21" s="368"/>
      <c r="BH21" s="368"/>
      <c r="BI21" s="368"/>
      <c r="BJ21" s="368"/>
    </row>
    <row r="22" ht="18.0" customHeight="1">
      <c r="A22" s="46"/>
      <c r="B22" s="195" t="s">
        <v>120</v>
      </c>
      <c r="C22" s="196"/>
      <c r="D22" s="196"/>
      <c r="E22" s="196"/>
      <c r="F22" s="197"/>
      <c r="G22" s="172">
        <f>BE11</f>
        <v>1500</v>
      </c>
      <c r="H22" s="87"/>
      <c r="I22" s="87"/>
      <c r="J22" s="87"/>
      <c r="K22" s="87"/>
      <c r="L22" s="88"/>
      <c r="M22" s="110"/>
      <c r="N22" s="46"/>
      <c r="O22" s="195" t="s">
        <v>120</v>
      </c>
      <c r="P22" s="196"/>
      <c r="Q22" s="196"/>
      <c r="R22" s="201"/>
      <c r="S22" s="202"/>
      <c r="T22" s="172">
        <f>BE12</f>
        <v>1000</v>
      </c>
      <c r="U22" s="87"/>
      <c r="V22" s="87"/>
      <c r="W22" s="87"/>
      <c r="X22" s="87"/>
      <c r="Y22" s="88"/>
      <c r="Z22" s="110"/>
      <c r="AA22" s="46"/>
      <c r="AB22" s="205" t="s">
        <v>120</v>
      </c>
      <c r="AC22" s="206"/>
      <c r="AD22" s="206"/>
      <c r="AE22" s="206"/>
      <c r="AF22" s="385"/>
      <c r="AG22" s="379" t="str">
        <f>BE13</f>
        <v/>
      </c>
      <c r="AH22" s="87"/>
      <c r="AI22" s="87"/>
      <c r="AJ22" s="87"/>
      <c r="AK22" s="87"/>
      <c r="AL22" s="88"/>
      <c r="AM22" s="116"/>
      <c r="AN22" s="56"/>
      <c r="AO22" s="205" t="s">
        <v>120</v>
      </c>
      <c r="AP22" s="206"/>
      <c r="AQ22" s="206"/>
      <c r="AR22" s="206"/>
      <c r="AS22" s="385"/>
      <c r="AT22" s="379" t="str">
        <f>BE14</f>
        <v/>
      </c>
      <c r="AU22" s="87"/>
      <c r="AV22" s="87"/>
      <c r="AW22" s="87"/>
      <c r="AX22" s="87"/>
      <c r="AY22" s="88"/>
      <c r="AZ22" s="110"/>
      <c r="BB22" s="291" t="s">
        <v>52</v>
      </c>
      <c r="BC22" s="291"/>
      <c r="BD22" s="368"/>
      <c r="BE22" s="368"/>
      <c r="BF22" s="368"/>
      <c r="BG22" s="368"/>
      <c r="BH22" s="368"/>
      <c r="BI22" s="368"/>
      <c r="BJ22" s="368"/>
    </row>
    <row r="23" ht="18.0" customHeight="1">
      <c r="A23" s="46"/>
      <c r="B23" s="195" t="s">
        <v>121</v>
      </c>
      <c r="C23" s="196"/>
      <c r="D23" s="196"/>
      <c r="E23" s="196"/>
      <c r="F23" s="197"/>
      <c r="G23" s="303">
        <f>G21-G22</f>
        <v>72000</v>
      </c>
      <c r="H23" s="87"/>
      <c r="I23" s="87"/>
      <c r="J23" s="87"/>
      <c r="K23" s="87"/>
      <c r="L23" s="88"/>
      <c r="M23" s="110"/>
      <c r="N23" s="46"/>
      <c r="O23" s="195" t="s">
        <v>121</v>
      </c>
      <c r="P23" s="196"/>
      <c r="Q23" s="196"/>
      <c r="R23" s="201"/>
      <c r="S23" s="202"/>
      <c r="T23" s="303">
        <f>T21-T22</f>
        <v>72500</v>
      </c>
      <c r="U23" s="87"/>
      <c r="V23" s="87"/>
      <c r="W23" s="87"/>
      <c r="X23" s="87"/>
      <c r="Y23" s="88"/>
      <c r="Z23" s="110"/>
      <c r="AA23" s="46"/>
      <c r="AB23" s="205" t="s">
        <v>121</v>
      </c>
      <c r="AC23" s="206"/>
      <c r="AD23" s="206"/>
      <c r="AE23" s="206"/>
      <c r="AF23" s="385"/>
      <c r="AG23" s="396">
        <f>AG21-AG22</f>
        <v>66000</v>
      </c>
      <c r="AH23" s="87"/>
      <c r="AI23" s="87"/>
      <c r="AJ23" s="87"/>
      <c r="AK23" s="87"/>
      <c r="AL23" s="88"/>
      <c r="AM23" s="116"/>
      <c r="AN23" s="56"/>
      <c r="AO23" s="205" t="s">
        <v>121</v>
      </c>
      <c r="AP23" s="206"/>
      <c r="AQ23" s="206"/>
      <c r="AR23" s="206"/>
      <c r="AS23" s="385"/>
      <c r="AT23" s="396">
        <f>AT21-AT22</f>
        <v>66000</v>
      </c>
      <c r="AU23" s="87"/>
      <c r="AV23" s="87"/>
      <c r="AW23" s="87"/>
      <c r="AX23" s="87"/>
      <c r="AY23" s="88"/>
      <c r="AZ23" s="110"/>
      <c r="BB23" s="368"/>
      <c r="BC23" s="368"/>
      <c r="BD23" s="368"/>
      <c r="BE23" s="368"/>
      <c r="BF23" s="368"/>
      <c r="BG23" s="368"/>
      <c r="BH23" s="368"/>
      <c r="BI23" s="368"/>
      <c r="BJ23" s="368"/>
    </row>
    <row r="24" ht="18.0" customHeight="1">
      <c r="A24" s="46"/>
      <c r="B24" s="151"/>
      <c r="C24" s="151"/>
      <c r="D24" s="151"/>
      <c r="E24" s="151"/>
      <c r="F24" s="151"/>
      <c r="G24" s="232"/>
      <c r="H24" s="232"/>
      <c r="I24" s="232"/>
      <c r="J24" s="232"/>
      <c r="K24" s="232"/>
      <c r="L24" s="232"/>
      <c r="M24" s="55"/>
      <c r="N24" s="46"/>
      <c r="O24" s="151"/>
      <c r="P24" s="151"/>
      <c r="Q24" s="151"/>
      <c r="R24" s="156"/>
      <c r="S24" s="156"/>
      <c r="T24" s="232"/>
      <c r="U24" s="232"/>
      <c r="V24" s="232"/>
      <c r="W24" s="232"/>
      <c r="X24" s="232"/>
      <c r="Y24" s="232"/>
      <c r="Z24" s="55"/>
      <c r="AA24" s="46"/>
      <c r="AB24" s="157"/>
      <c r="AC24" s="157"/>
      <c r="AD24" s="157"/>
      <c r="AE24" s="157"/>
      <c r="AF24" s="157"/>
      <c r="AG24" s="388"/>
      <c r="AH24" s="388"/>
      <c r="AI24" s="388"/>
      <c r="AJ24" s="388"/>
      <c r="AK24" s="388"/>
      <c r="AL24" s="388"/>
      <c r="AM24" s="61"/>
      <c r="AN24" s="56"/>
      <c r="AO24" s="157"/>
      <c r="AP24" s="157"/>
      <c r="AQ24" s="157"/>
      <c r="AR24" s="157"/>
      <c r="AS24" s="157"/>
      <c r="AT24" s="388"/>
      <c r="AU24" s="388"/>
      <c r="AV24" s="388"/>
      <c r="AW24" s="388"/>
      <c r="AX24" s="388"/>
      <c r="AY24" s="388"/>
      <c r="AZ24" s="55"/>
      <c r="BB24" s="1" t="s">
        <v>54</v>
      </c>
      <c r="BC24" s="1" t="s">
        <v>55</v>
      </c>
    </row>
    <row r="25" ht="18.0" customHeight="1">
      <c r="A25" s="46"/>
      <c r="B25" s="195" t="s">
        <v>123</v>
      </c>
      <c r="C25" s="196"/>
      <c r="D25" s="196"/>
      <c r="E25" s="196"/>
      <c r="F25" s="197"/>
      <c r="G25" s="314"/>
      <c r="H25" s="87"/>
      <c r="I25" s="87"/>
      <c r="J25" s="87"/>
      <c r="K25" s="87"/>
      <c r="L25" s="88"/>
      <c r="M25" s="55"/>
      <c r="N25" s="46"/>
      <c r="O25" s="195" t="s">
        <v>123</v>
      </c>
      <c r="P25" s="196"/>
      <c r="Q25" s="196"/>
      <c r="R25" s="201"/>
      <c r="S25" s="202"/>
      <c r="T25" s="314"/>
      <c r="U25" s="87"/>
      <c r="V25" s="87"/>
      <c r="W25" s="87"/>
      <c r="X25" s="87"/>
      <c r="Y25" s="88"/>
      <c r="Z25" s="55"/>
      <c r="AA25" s="46"/>
      <c r="AB25" s="205" t="s">
        <v>123</v>
      </c>
      <c r="AC25" s="206"/>
      <c r="AD25" s="206"/>
      <c r="AE25" s="206"/>
      <c r="AF25" s="385"/>
      <c r="AG25" s="397"/>
      <c r="AH25" s="87"/>
      <c r="AI25" s="87"/>
      <c r="AJ25" s="87"/>
      <c r="AK25" s="87"/>
      <c r="AL25" s="88"/>
      <c r="AM25" s="61"/>
      <c r="AN25" s="56"/>
      <c r="AO25" s="205" t="s">
        <v>123</v>
      </c>
      <c r="AP25" s="206"/>
      <c r="AQ25" s="206"/>
      <c r="AR25" s="206"/>
      <c r="AS25" s="385"/>
      <c r="AT25" s="397"/>
      <c r="AU25" s="87"/>
      <c r="AV25" s="87"/>
      <c r="AW25" s="87"/>
      <c r="AX25" s="87"/>
      <c r="AY25" s="88"/>
      <c r="AZ25" s="55"/>
    </row>
    <row r="26" ht="18.0" customHeight="1">
      <c r="A26" s="46"/>
      <c r="B26" s="195" t="s">
        <v>124</v>
      </c>
      <c r="C26" s="196"/>
      <c r="D26" s="196"/>
      <c r="E26" s="196"/>
      <c r="F26" s="197"/>
      <c r="G26" s="172">
        <f>BF11</f>
        <v>108</v>
      </c>
      <c r="H26" s="87"/>
      <c r="I26" s="87"/>
      <c r="J26" s="87"/>
      <c r="K26" s="87"/>
      <c r="L26" s="88"/>
      <c r="M26" s="110"/>
      <c r="N26" s="46"/>
      <c r="O26" s="195" t="s">
        <v>124</v>
      </c>
      <c r="P26" s="196"/>
      <c r="Q26" s="196"/>
      <c r="R26" s="201"/>
      <c r="S26" s="202"/>
      <c r="T26" s="172">
        <f>BF12</f>
        <v>180</v>
      </c>
      <c r="U26" s="87"/>
      <c r="V26" s="87"/>
      <c r="W26" s="87"/>
      <c r="X26" s="87"/>
      <c r="Y26" s="88"/>
      <c r="Z26" s="110"/>
      <c r="AA26" s="46"/>
      <c r="AB26" s="205" t="s">
        <v>124</v>
      </c>
      <c r="AC26" s="206"/>
      <c r="AD26" s="206"/>
      <c r="AE26" s="206"/>
      <c r="AF26" s="385"/>
      <c r="AG26" s="379" t="str">
        <f>BF13</f>
        <v/>
      </c>
      <c r="AH26" s="87"/>
      <c r="AI26" s="87"/>
      <c r="AJ26" s="87"/>
      <c r="AK26" s="87"/>
      <c r="AL26" s="88"/>
      <c r="AM26" s="116"/>
      <c r="AN26" s="56"/>
      <c r="AO26" s="205" t="s">
        <v>124</v>
      </c>
      <c r="AP26" s="206"/>
      <c r="AQ26" s="206"/>
      <c r="AR26" s="206"/>
      <c r="AS26" s="385"/>
      <c r="AT26" s="379" t="str">
        <f>BF14</f>
        <v/>
      </c>
      <c r="AU26" s="87"/>
      <c r="AV26" s="87"/>
      <c r="AW26" s="87"/>
      <c r="AX26" s="87"/>
      <c r="AY26" s="88"/>
      <c r="AZ26" s="110"/>
    </row>
    <row r="27" ht="18.0" customHeight="1">
      <c r="A27" s="46"/>
      <c r="B27" s="195" t="s">
        <v>128</v>
      </c>
      <c r="C27" s="196"/>
      <c r="D27" s="196"/>
      <c r="E27" s="196"/>
      <c r="F27" s="197"/>
      <c r="G27" s="314"/>
      <c r="H27" s="87"/>
      <c r="I27" s="87"/>
      <c r="J27" s="87"/>
      <c r="K27" s="87"/>
      <c r="L27" s="88"/>
      <c r="M27" s="55"/>
      <c r="N27" s="46"/>
      <c r="O27" s="195" t="s">
        <v>128</v>
      </c>
      <c r="P27" s="196"/>
      <c r="Q27" s="196"/>
      <c r="R27" s="201"/>
      <c r="S27" s="202"/>
      <c r="T27" s="314"/>
      <c r="U27" s="87"/>
      <c r="V27" s="87"/>
      <c r="W27" s="87"/>
      <c r="X27" s="87"/>
      <c r="Y27" s="88"/>
      <c r="Z27" s="55"/>
      <c r="AA27" s="46"/>
      <c r="AB27" s="205" t="s">
        <v>128</v>
      </c>
      <c r="AC27" s="206"/>
      <c r="AD27" s="206"/>
      <c r="AE27" s="206"/>
      <c r="AF27" s="385"/>
      <c r="AG27" s="397"/>
      <c r="AH27" s="87"/>
      <c r="AI27" s="87"/>
      <c r="AJ27" s="87"/>
      <c r="AK27" s="87"/>
      <c r="AL27" s="88"/>
      <c r="AM27" s="61"/>
      <c r="AN27" s="56"/>
      <c r="AO27" s="205" t="s">
        <v>128</v>
      </c>
      <c r="AP27" s="206"/>
      <c r="AQ27" s="206"/>
      <c r="AR27" s="206"/>
      <c r="AS27" s="385"/>
      <c r="AT27" s="397"/>
      <c r="AU27" s="87"/>
      <c r="AV27" s="87"/>
      <c r="AW27" s="87"/>
      <c r="AX27" s="87"/>
      <c r="AY27" s="88"/>
      <c r="AZ27" s="55"/>
    </row>
    <row r="28" ht="15.75" customHeight="1">
      <c r="A28" s="46"/>
      <c r="B28" s="136"/>
      <c r="C28" s="136"/>
      <c r="D28" s="151"/>
      <c r="E28" s="151"/>
      <c r="F28" s="151"/>
      <c r="G28" s="151"/>
      <c r="H28" s="151"/>
      <c r="I28" s="151"/>
      <c r="J28" s="151"/>
      <c r="K28" s="151"/>
      <c r="L28" s="151"/>
      <c r="M28" s="55"/>
      <c r="N28" s="46"/>
      <c r="O28" s="136"/>
      <c r="P28" s="136"/>
      <c r="Q28" s="151"/>
      <c r="R28" s="151"/>
      <c r="S28" s="151"/>
      <c r="T28" s="151"/>
      <c r="U28" s="151"/>
      <c r="V28" s="151"/>
      <c r="W28" s="151"/>
      <c r="X28" s="151"/>
      <c r="Y28" s="151"/>
      <c r="Z28" s="55"/>
      <c r="AA28" s="46"/>
      <c r="AB28" s="144"/>
      <c r="AC28" s="144"/>
      <c r="AD28" s="157"/>
      <c r="AE28" s="157"/>
      <c r="AF28" s="157"/>
      <c r="AG28" s="157"/>
      <c r="AH28" s="157"/>
      <c r="AI28" s="157"/>
      <c r="AJ28" s="157"/>
      <c r="AK28" s="157"/>
      <c r="AL28" s="157"/>
      <c r="AM28" s="61"/>
      <c r="AN28" s="56"/>
      <c r="AO28" s="144"/>
      <c r="AP28" s="144"/>
      <c r="AQ28" s="157"/>
      <c r="AR28" s="157"/>
      <c r="AS28" s="157"/>
      <c r="AT28" s="157"/>
      <c r="AU28" s="157"/>
      <c r="AV28" s="157"/>
      <c r="AW28" s="157"/>
      <c r="AX28" s="157"/>
      <c r="AY28" s="157"/>
      <c r="AZ28" s="55"/>
    </row>
    <row r="29" ht="15.75" customHeight="1">
      <c r="A29" s="46"/>
      <c r="B29" s="136"/>
      <c r="C29" s="136"/>
      <c r="D29" s="151"/>
      <c r="E29" s="151"/>
      <c r="F29" s="151"/>
      <c r="G29" s="151"/>
      <c r="H29" s="151"/>
      <c r="I29" s="151"/>
      <c r="J29" s="151"/>
      <c r="K29" s="151"/>
      <c r="L29" s="151"/>
      <c r="M29" s="55"/>
      <c r="N29" s="46"/>
      <c r="O29" s="136"/>
      <c r="P29" s="136"/>
      <c r="Q29" s="151"/>
      <c r="R29" s="151"/>
      <c r="S29" s="151"/>
      <c r="T29" s="151"/>
      <c r="U29" s="151"/>
      <c r="V29" s="151"/>
      <c r="W29" s="151"/>
      <c r="X29" s="151"/>
      <c r="Y29" s="151"/>
      <c r="Z29" s="55"/>
      <c r="AA29" s="46"/>
      <c r="AB29" s="144"/>
      <c r="AC29" s="144"/>
      <c r="AD29" s="157"/>
      <c r="AE29" s="157"/>
      <c r="AF29" s="157"/>
      <c r="AG29" s="157"/>
      <c r="AH29" s="157"/>
      <c r="AI29" s="157"/>
      <c r="AJ29" s="157"/>
      <c r="AK29" s="157"/>
      <c r="AL29" s="157"/>
      <c r="AM29" s="61"/>
      <c r="AN29" s="56"/>
      <c r="AO29" s="144"/>
      <c r="AP29" s="144"/>
      <c r="AQ29" s="157"/>
      <c r="AR29" s="157"/>
      <c r="AS29" s="157"/>
      <c r="AT29" s="157"/>
      <c r="AU29" s="157"/>
      <c r="AV29" s="157"/>
      <c r="AW29" s="157"/>
      <c r="AX29" s="157"/>
      <c r="AY29" s="157"/>
      <c r="AZ29" s="55"/>
    </row>
    <row r="30" ht="15.75" customHeight="1">
      <c r="A30" s="46"/>
      <c r="B30" s="136" t="s">
        <v>132</v>
      </c>
      <c r="C30" s="136"/>
      <c r="D30" s="151"/>
      <c r="E30" s="340" t="str">
        <f>BC17</f>
        <v>CAPT. AFNER SYAFRIL</v>
      </c>
      <c r="F30" s="49"/>
      <c r="G30" s="49"/>
      <c r="H30" s="49"/>
      <c r="I30" s="49"/>
      <c r="J30" s="49"/>
      <c r="K30" s="49"/>
      <c r="L30" s="49"/>
      <c r="M30" s="55"/>
      <c r="N30" s="46"/>
      <c r="O30" s="136" t="s">
        <v>132</v>
      </c>
      <c r="P30" s="136"/>
      <c r="Q30" s="151"/>
      <c r="R30" s="341" t="str">
        <f>E30</f>
        <v>CAPT. AFNER SYAFRIL</v>
      </c>
      <c r="S30" s="341"/>
      <c r="T30" s="341"/>
      <c r="U30" s="341"/>
      <c r="V30" s="341"/>
      <c r="W30" s="341"/>
      <c r="X30" s="341"/>
      <c r="Y30" s="151"/>
      <c r="Z30" s="55"/>
      <c r="AA30" s="46"/>
      <c r="AB30" s="144" t="s">
        <v>132</v>
      </c>
      <c r="AC30" s="144"/>
      <c r="AD30" s="157"/>
      <c r="AE30" s="401" t="str">
        <f>R30</f>
        <v>CAPT. AFNER SYAFRIL</v>
      </c>
      <c r="AF30" s="49"/>
      <c r="AG30" s="49"/>
      <c r="AH30" s="49"/>
      <c r="AI30" s="49"/>
      <c r="AJ30" s="49"/>
      <c r="AK30" s="49"/>
      <c r="AL30" s="157"/>
      <c r="AM30" s="61"/>
      <c r="AN30" s="56"/>
      <c r="AO30" s="144" t="s">
        <v>132</v>
      </c>
      <c r="AP30" s="144"/>
      <c r="AQ30" s="157"/>
      <c r="AR30" s="401" t="str">
        <f>AE30</f>
        <v>CAPT. AFNER SYAFRIL</v>
      </c>
      <c r="AS30" s="49"/>
      <c r="AT30" s="49"/>
      <c r="AU30" s="49"/>
      <c r="AV30" s="49"/>
      <c r="AW30" s="49"/>
      <c r="AX30" s="49"/>
      <c r="AY30" s="157"/>
      <c r="AZ30" s="55"/>
    </row>
    <row r="31" ht="59.25" customHeight="1">
      <c r="A31" s="46"/>
      <c r="B31" s="136"/>
      <c r="C31" s="136"/>
      <c r="D31" s="345" t="s">
        <v>133</v>
      </c>
      <c r="E31" s="49"/>
      <c r="F31" s="49"/>
      <c r="G31" s="49"/>
      <c r="H31" s="49"/>
      <c r="I31" s="49"/>
      <c r="J31" s="151"/>
      <c r="K31" s="151"/>
      <c r="L31" s="151"/>
      <c r="M31" s="55"/>
      <c r="N31" s="46"/>
      <c r="O31" s="136"/>
      <c r="P31" s="136"/>
      <c r="Q31" s="345" t="s">
        <v>133</v>
      </c>
      <c r="R31" s="49"/>
      <c r="S31" s="49"/>
      <c r="T31" s="49"/>
      <c r="U31" s="49"/>
      <c r="V31" s="49"/>
      <c r="W31" s="151"/>
      <c r="X31" s="151"/>
      <c r="Y31" s="151"/>
      <c r="Z31" s="55"/>
      <c r="AA31" s="46"/>
      <c r="AB31" s="144"/>
      <c r="AC31" s="144"/>
      <c r="AD31" s="346" t="s">
        <v>133</v>
      </c>
      <c r="AE31" s="49"/>
      <c r="AF31" s="49"/>
      <c r="AG31" s="49"/>
      <c r="AH31" s="49"/>
      <c r="AI31" s="49"/>
      <c r="AJ31" s="157"/>
      <c r="AK31" s="157"/>
      <c r="AL31" s="157"/>
      <c r="AM31" s="61"/>
      <c r="AN31" s="56"/>
      <c r="AO31" s="144"/>
      <c r="AP31" s="144"/>
      <c r="AQ31" s="346" t="s">
        <v>133</v>
      </c>
      <c r="AR31" s="49"/>
      <c r="AS31" s="49"/>
      <c r="AT31" s="49"/>
      <c r="AU31" s="49"/>
      <c r="AV31" s="49"/>
      <c r="AW31" s="157"/>
      <c r="AX31" s="157"/>
      <c r="AY31" s="157"/>
      <c r="AZ31" s="55"/>
    </row>
    <row r="32" ht="15.75" customHeight="1">
      <c r="A32" s="56"/>
      <c r="B32" s="136"/>
      <c r="C32" s="136"/>
      <c r="D32" s="151"/>
      <c r="E32" s="151"/>
      <c r="F32" s="151"/>
      <c r="G32" s="151"/>
      <c r="H32" s="151"/>
      <c r="I32" s="151"/>
      <c r="J32" s="151"/>
      <c r="K32" s="151"/>
      <c r="L32" s="151"/>
      <c r="M32" s="55"/>
      <c r="N32" s="46"/>
      <c r="O32" s="136"/>
      <c r="P32" s="136"/>
      <c r="Q32" s="151"/>
      <c r="R32" s="151"/>
      <c r="S32" s="151"/>
      <c r="T32" s="151"/>
      <c r="U32" s="151"/>
      <c r="V32" s="151"/>
      <c r="W32" s="151"/>
      <c r="X32" s="151"/>
      <c r="Y32" s="151"/>
      <c r="Z32" s="55"/>
      <c r="AA32" s="46"/>
      <c r="AB32" s="144"/>
      <c r="AC32" s="144"/>
      <c r="AD32" s="157"/>
      <c r="AE32" s="157"/>
      <c r="AF32" s="157"/>
      <c r="AG32" s="157"/>
      <c r="AH32" s="157"/>
      <c r="AI32" s="157"/>
      <c r="AJ32" s="157"/>
      <c r="AK32" s="157"/>
      <c r="AL32" s="157"/>
      <c r="AM32" s="61"/>
      <c r="AN32" s="56"/>
      <c r="AO32" s="144"/>
      <c r="AP32" s="144"/>
      <c r="AQ32" s="157"/>
      <c r="AR32" s="157"/>
      <c r="AS32" s="157"/>
      <c r="AT32" s="157"/>
      <c r="AU32" s="157"/>
      <c r="AV32" s="157"/>
      <c r="AW32" s="157"/>
      <c r="AX32" s="157"/>
      <c r="AY32" s="157"/>
      <c r="AZ32" s="55"/>
    </row>
    <row r="33" ht="15.75" customHeight="1">
      <c r="A33" s="56"/>
      <c r="B33" s="136"/>
      <c r="C33" s="136"/>
      <c r="D33" s="151"/>
      <c r="E33" s="151"/>
      <c r="F33" s="151"/>
      <c r="G33" s="151"/>
      <c r="H33" s="151"/>
      <c r="I33" s="151"/>
      <c r="J33" s="151"/>
      <c r="K33" s="151"/>
      <c r="L33" s="151"/>
      <c r="M33" s="55"/>
      <c r="N33" s="46"/>
      <c r="O33" s="136"/>
      <c r="P33" s="136"/>
      <c r="Q33" s="151"/>
      <c r="R33" s="151"/>
      <c r="S33" s="151"/>
      <c r="T33" s="151"/>
      <c r="U33" s="151"/>
      <c r="V33" s="151"/>
      <c r="W33" s="151"/>
      <c r="X33" s="151"/>
      <c r="Y33" s="151"/>
      <c r="Z33" s="55"/>
      <c r="AA33" s="46"/>
      <c r="AB33" s="144"/>
      <c r="AC33" s="144"/>
      <c r="AD33" s="157"/>
      <c r="AE33" s="157"/>
      <c r="AF33" s="157"/>
      <c r="AG33" s="157"/>
      <c r="AH33" s="157"/>
      <c r="AI33" s="157"/>
      <c r="AJ33" s="157"/>
      <c r="AK33" s="157"/>
      <c r="AL33" s="157"/>
      <c r="AM33" s="61"/>
      <c r="AN33" s="56"/>
      <c r="AO33" s="144"/>
      <c r="AP33" s="144"/>
      <c r="AQ33" s="157"/>
      <c r="AR33" s="157"/>
      <c r="AS33" s="157"/>
      <c r="AT33" s="157"/>
      <c r="AU33" s="157"/>
      <c r="AV33" s="157"/>
      <c r="AW33" s="157"/>
      <c r="AX33" s="157"/>
      <c r="AY33" s="157"/>
      <c r="AZ33" s="55"/>
    </row>
    <row r="34" ht="15.75" customHeight="1">
      <c r="A34" s="56"/>
      <c r="B34" s="136" t="s">
        <v>135</v>
      </c>
      <c r="C34" s="136"/>
      <c r="D34" s="348">
        <f>BC11</f>
        <v>1062</v>
      </c>
      <c r="E34" s="49"/>
      <c r="F34" s="49"/>
      <c r="G34" s="151" t="s">
        <v>136</v>
      </c>
      <c r="H34" s="151"/>
      <c r="I34" s="151"/>
      <c r="J34" s="151"/>
      <c r="K34" s="151"/>
      <c r="L34" s="151"/>
      <c r="M34" s="55"/>
      <c r="N34" s="46"/>
      <c r="O34" s="136" t="s">
        <v>135</v>
      </c>
      <c r="P34" s="136"/>
      <c r="Q34" s="348">
        <f>BC12</f>
        <v>182</v>
      </c>
      <c r="R34" s="49"/>
      <c r="S34" s="49"/>
      <c r="T34" s="151" t="s">
        <v>136</v>
      </c>
      <c r="U34" s="151"/>
      <c r="V34" s="151"/>
      <c r="W34" s="151"/>
      <c r="X34" s="151"/>
      <c r="Y34" s="151"/>
      <c r="Z34" s="55"/>
      <c r="AA34" s="46"/>
      <c r="AB34" s="144" t="s">
        <v>135</v>
      </c>
      <c r="AC34" s="144"/>
      <c r="AD34" s="349" t="str">
        <f>BC13</f>
        <v/>
      </c>
      <c r="AE34" s="49"/>
      <c r="AF34" s="49"/>
      <c r="AG34" s="157" t="s">
        <v>136</v>
      </c>
      <c r="AH34" s="157"/>
      <c r="AI34" s="157"/>
      <c r="AJ34" s="157"/>
      <c r="AK34" s="157"/>
      <c r="AL34" s="157"/>
      <c r="AM34" s="61"/>
      <c r="AN34" s="56"/>
      <c r="AO34" s="144" t="s">
        <v>135</v>
      </c>
      <c r="AP34" s="144"/>
      <c r="AQ34" s="349" t="str">
        <f>BC14</f>
        <v/>
      </c>
      <c r="AR34" s="49"/>
      <c r="AS34" s="49"/>
      <c r="AT34" s="157" t="s">
        <v>136</v>
      </c>
      <c r="AU34" s="157"/>
      <c r="AV34" s="157"/>
      <c r="AW34" s="157"/>
      <c r="AX34" s="157"/>
      <c r="AY34" s="157"/>
      <c r="AZ34" s="55"/>
    </row>
    <row r="35" ht="48.0" customHeight="1">
      <c r="A35" s="354"/>
      <c r="B35" s="355"/>
      <c r="C35" s="351"/>
      <c r="D35" s="352"/>
      <c r="E35" s="352"/>
      <c r="F35" s="352"/>
      <c r="G35" s="352"/>
      <c r="H35" s="352"/>
      <c r="I35" s="352"/>
      <c r="J35" s="352"/>
      <c r="K35" s="352"/>
      <c r="L35" s="352"/>
      <c r="M35" s="353"/>
      <c r="N35" s="350"/>
      <c r="O35" s="351"/>
      <c r="P35" s="351"/>
      <c r="Q35" s="352"/>
      <c r="R35" s="352"/>
      <c r="S35" s="352"/>
      <c r="T35" s="352"/>
      <c r="U35" s="352"/>
      <c r="V35" s="352"/>
      <c r="W35" s="352"/>
      <c r="X35" s="352"/>
      <c r="Y35" s="352"/>
      <c r="Z35" s="353"/>
      <c r="AA35" s="350"/>
      <c r="AB35" s="355"/>
      <c r="AC35" s="355"/>
      <c r="AD35" s="356"/>
      <c r="AE35" s="356"/>
      <c r="AF35" s="356"/>
      <c r="AG35" s="356"/>
      <c r="AH35" s="356"/>
      <c r="AI35" s="356"/>
      <c r="AJ35" s="356"/>
      <c r="AK35" s="356"/>
      <c r="AL35" s="356"/>
      <c r="AM35" s="357"/>
      <c r="AN35" s="354"/>
      <c r="AO35" s="355"/>
      <c r="AP35" s="355"/>
      <c r="AQ35" s="356"/>
      <c r="AR35" s="356"/>
      <c r="AS35" s="356"/>
      <c r="AT35" s="356"/>
      <c r="AU35" s="356"/>
      <c r="AV35" s="356"/>
      <c r="AW35" s="356"/>
      <c r="AX35" s="356"/>
      <c r="AY35" s="356"/>
      <c r="AZ35" s="357"/>
    </row>
    <row r="36" ht="15.75" customHeight="1"/>
    <row r="37" ht="15.75" customHeight="1">
      <c r="A37" s="1"/>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4">
    <mergeCell ref="W4:Y4"/>
    <mergeCell ref="AB4:AF4"/>
    <mergeCell ref="AJ4:AL4"/>
    <mergeCell ref="AO4:AS4"/>
    <mergeCell ref="A2:F2"/>
    <mergeCell ref="N2:S2"/>
    <mergeCell ref="AA2:AF2"/>
    <mergeCell ref="AN2:AS2"/>
    <mergeCell ref="BH2:BI2"/>
    <mergeCell ref="BH3:BI3"/>
    <mergeCell ref="B4:F4"/>
    <mergeCell ref="AW4:AY4"/>
    <mergeCell ref="U6:Y6"/>
    <mergeCell ref="AB6:AD6"/>
    <mergeCell ref="AE6:AF6"/>
    <mergeCell ref="AH6:AL6"/>
    <mergeCell ref="AO6:AQ6"/>
    <mergeCell ref="AR6:AS6"/>
    <mergeCell ref="AU6:AY6"/>
    <mergeCell ref="J4:L4"/>
    <mergeCell ref="O4:S4"/>
    <mergeCell ref="B6:D6"/>
    <mergeCell ref="E6:F6"/>
    <mergeCell ref="H6:L6"/>
    <mergeCell ref="O6:Q6"/>
    <mergeCell ref="R6:S6"/>
    <mergeCell ref="AE7:AF7"/>
    <mergeCell ref="AH7:AL7"/>
    <mergeCell ref="AO7:AQ7"/>
    <mergeCell ref="AR7:AS7"/>
    <mergeCell ref="AU7:AY7"/>
    <mergeCell ref="B7:D7"/>
    <mergeCell ref="E7:F7"/>
    <mergeCell ref="H7:L7"/>
    <mergeCell ref="O7:Q7"/>
    <mergeCell ref="R7:S7"/>
    <mergeCell ref="U7:Y7"/>
    <mergeCell ref="AB7:AD7"/>
    <mergeCell ref="AE8:AF8"/>
    <mergeCell ref="AH8:AL8"/>
    <mergeCell ref="AO8:AQ8"/>
    <mergeCell ref="AR8:AS8"/>
    <mergeCell ref="AU8:AY8"/>
    <mergeCell ref="B8:D8"/>
    <mergeCell ref="E8:F8"/>
    <mergeCell ref="H8:L8"/>
    <mergeCell ref="O8:Q8"/>
    <mergeCell ref="R8:S8"/>
    <mergeCell ref="U8:Y8"/>
    <mergeCell ref="AB8:AD8"/>
    <mergeCell ref="AE9:AF9"/>
    <mergeCell ref="AH9:AL9"/>
    <mergeCell ref="AO9:AQ9"/>
    <mergeCell ref="AR9:AS9"/>
    <mergeCell ref="AU9:AY9"/>
    <mergeCell ref="B9:D9"/>
    <mergeCell ref="E9:F9"/>
    <mergeCell ref="H9:L9"/>
    <mergeCell ref="O9:Q9"/>
    <mergeCell ref="R9:S9"/>
    <mergeCell ref="U9:Y9"/>
    <mergeCell ref="AB9:AD9"/>
    <mergeCell ref="G11:L11"/>
    <mergeCell ref="T11:Y11"/>
    <mergeCell ref="AG11:AL11"/>
    <mergeCell ref="AT11:AY11"/>
    <mergeCell ref="T12:Y12"/>
    <mergeCell ref="AG12:AL12"/>
    <mergeCell ref="AT12:AY12"/>
    <mergeCell ref="AT13:AY13"/>
    <mergeCell ref="AV15:AY15"/>
    <mergeCell ref="G12:L12"/>
    <mergeCell ref="G13:L13"/>
    <mergeCell ref="T13:Y13"/>
    <mergeCell ref="AG13:AL13"/>
    <mergeCell ref="I15:L15"/>
    <mergeCell ref="V15:Y15"/>
    <mergeCell ref="AI15:AL15"/>
    <mergeCell ref="AD31:AI31"/>
    <mergeCell ref="AD34:AF34"/>
    <mergeCell ref="AG21:AL21"/>
    <mergeCell ref="AG22:AL22"/>
    <mergeCell ref="AG23:AL23"/>
    <mergeCell ref="AG25:AL25"/>
    <mergeCell ref="AG26:AL26"/>
    <mergeCell ref="AG27:AL27"/>
    <mergeCell ref="AE30:AK30"/>
    <mergeCell ref="E16:H16"/>
    <mergeCell ref="R16:U16"/>
    <mergeCell ref="V16:Y16"/>
    <mergeCell ref="AE16:AH16"/>
    <mergeCell ref="AI16:AL16"/>
    <mergeCell ref="AR16:AU16"/>
    <mergeCell ref="AV16:AY16"/>
    <mergeCell ref="T19:Y19"/>
    <mergeCell ref="T20:Y20"/>
    <mergeCell ref="T21:Y21"/>
    <mergeCell ref="T22:Y22"/>
    <mergeCell ref="T23:Y23"/>
    <mergeCell ref="T25:Y25"/>
    <mergeCell ref="T26:Y26"/>
    <mergeCell ref="T27:Y27"/>
    <mergeCell ref="I16:L16"/>
    <mergeCell ref="G17:L17"/>
    <mergeCell ref="T17:Y17"/>
    <mergeCell ref="AG17:AL17"/>
    <mergeCell ref="G19:L19"/>
    <mergeCell ref="AG19:AL19"/>
    <mergeCell ref="AG20:AL20"/>
    <mergeCell ref="AT26:AY26"/>
    <mergeCell ref="AT27:AY27"/>
    <mergeCell ref="AR30:AX30"/>
    <mergeCell ref="AQ31:AV31"/>
    <mergeCell ref="AQ34:AS34"/>
    <mergeCell ref="AT17:AY17"/>
    <mergeCell ref="AT19:AY19"/>
    <mergeCell ref="AT20:AY20"/>
    <mergeCell ref="AT21:AY21"/>
    <mergeCell ref="AT22:AY22"/>
    <mergeCell ref="AT23:AY23"/>
    <mergeCell ref="AT25:AY25"/>
    <mergeCell ref="E30:L30"/>
    <mergeCell ref="D31:I31"/>
    <mergeCell ref="Q31:V31"/>
    <mergeCell ref="D34:F34"/>
    <mergeCell ref="Q34:S34"/>
    <mergeCell ref="A37:B37"/>
    <mergeCell ref="G20:L20"/>
    <mergeCell ref="G21:L21"/>
    <mergeCell ref="G22:L22"/>
    <mergeCell ref="G23:L23"/>
    <mergeCell ref="G25:L25"/>
    <mergeCell ref="G26:L26"/>
    <mergeCell ref="G27:L27"/>
  </mergeCells>
  <printOptions verticalCentered="1"/>
  <pageMargins bottom="0.75" footer="0.0" header="0.0" left="0.25" right="0.0" top="0.75"/>
  <pageSetup paperSize="9" orientation="landscape"/>
  <colBreaks count="1" manualBreakCount="1">
    <brk id="52" man="1"/>
  </colBreak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showGridLines="0" workbookViewId="0"/>
  </sheetViews>
  <sheetFormatPr customHeight="1" defaultColWidth="12.63" defaultRowHeight="15.0"/>
  <cols>
    <col customWidth="1" min="1" max="1" width="1.88"/>
    <col customWidth="1" min="2" max="2" width="10.38"/>
    <col customWidth="1" min="3" max="3" width="11.13"/>
    <col customWidth="1" min="4" max="4" width="9.0"/>
    <col customWidth="1" min="5" max="5" width="10.5"/>
    <col customWidth="1" min="6" max="6" width="17.13"/>
    <col customWidth="1" min="7" max="7" width="8.25"/>
    <col customWidth="1" min="8" max="8" width="11.5"/>
    <col customWidth="1" min="9" max="9" width="7.0"/>
    <col customWidth="1" min="10" max="10" width="8.75"/>
    <col customWidth="1" min="11" max="12" width="9.5"/>
    <col customWidth="1" min="13" max="13" width="10.25"/>
    <col customWidth="1" min="14" max="14" width="8.38"/>
    <col customWidth="1" min="15" max="15" width="11.13"/>
    <col customWidth="1" min="16" max="16" width="13.13"/>
    <col customWidth="1" min="17" max="17" width="2.5"/>
    <col customWidth="1" min="18" max="18" width="11.13"/>
    <col customWidth="1" min="19" max="19" width="4.25"/>
    <col customWidth="1" min="20" max="20" width="2.25"/>
    <col customWidth="1" min="21" max="26" width="11.5"/>
  </cols>
  <sheetData>
    <row r="1" ht="15.75" customHeight="1">
      <c r="A1" s="4"/>
      <c r="B1" s="4"/>
      <c r="C1" s="4"/>
      <c r="D1" s="4"/>
      <c r="E1" s="4"/>
      <c r="F1" s="4"/>
      <c r="G1" s="4"/>
      <c r="H1" s="4"/>
      <c r="I1" s="4"/>
      <c r="J1" s="4"/>
      <c r="K1" s="4"/>
      <c r="L1" s="4"/>
      <c r="M1" s="4"/>
      <c r="N1" s="4"/>
      <c r="O1" s="4"/>
      <c r="P1" s="4"/>
      <c r="Q1" s="4"/>
      <c r="R1" s="4"/>
      <c r="S1" s="4"/>
      <c r="T1" s="4"/>
      <c r="U1" s="4"/>
      <c r="V1" s="4"/>
      <c r="W1" s="4"/>
      <c r="X1" s="4"/>
      <c r="Y1" s="4"/>
      <c r="Z1" s="4"/>
    </row>
    <row r="2" ht="67.5" customHeight="1">
      <c r="A2" s="4"/>
      <c r="B2" s="10" t="s">
        <v>2</v>
      </c>
      <c r="C2" s="9"/>
      <c r="D2" s="9"/>
      <c r="E2" s="9"/>
      <c r="F2" s="9"/>
      <c r="G2" s="9"/>
      <c r="H2" s="9"/>
      <c r="I2" s="9"/>
      <c r="J2" s="9"/>
      <c r="K2" s="9"/>
      <c r="L2" s="9"/>
      <c r="M2" s="9"/>
      <c r="N2" s="9"/>
      <c r="O2" s="9"/>
      <c r="P2" s="9"/>
      <c r="Q2" s="9"/>
      <c r="R2" s="9"/>
      <c r="S2" s="13"/>
      <c r="T2" s="4" t="s">
        <v>3</v>
      </c>
      <c r="U2" s="4"/>
      <c r="V2" s="4"/>
      <c r="W2" s="4"/>
      <c r="X2" s="4"/>
      <c r="Y2" s="4"/>
      <c r="Z2" s="4"/>
    </row>
    <row r="3" ht="22.5" customHeight="1">
      <c r="A3" s="4"/>
      <c r="B3" s="15"/>
      <c r="C3" s="4"/>
      <c r="D3" s="4"/>
      <c r="E3" s="4"/>
      <c r="F3" s="4"/>
      <c r="G3" s="4"/>
      <c r="H3" s="4"/>
      <c r="I3" s="4"/>
      <c r="J3" s="4"/>
      <c r="K3" s="4"/>
      <c r="L3" s="4"/>
      <c r="M3" s="4"/>
      <c r="N3" s="4"/>
      <c r="O3" s="4"/>
      <c r="P3" s="4"/>
      <c r="Q3" s="4"/>
      <c r="R3" s="4"/>
      <c r="S3" s="19"/>
      <c r="T3" s="4"/>
      <c r="U3" s="4"/>
      <c r="V3" s="4"/>
      <c r="W3" s="4"/>
      <c r="X3" s="4"/>
      <c r="Y3" s="4"/>
      <c r="Z3" s="4"/>
    </row>
    <row r="4" ht="18.75" customHeight="1">
      <c r="A4" s="4"/>
      <c r="B4" s="20" t="s">
        <v>5</v>
      </c>
      <c r="C4" s="155" t="s">
        <v>150</v>
      </c>
      <c r="D4" s="26"/>
      <c r="E4" s="27"/>
      <c r="F4" s="160" t="s">
        <v>7</v>
      </c>
      <c r="G4" s="162" t="s">
        <v>8</v>
      </c>
      <c r="H4" s="163"/>
      <c r="I4" s="165" t="s">
        <v>10</v>
      </c>
      <c r="J4" s="162" t="s">
        <v>151</v>
      </c>
      <c r="K4" s="166"/>
      <c r="L4" s="166"/>
      <c r="M4" s="160" t="s">
        <v>12</v>
      </c>
      <c r="N4" s="162" t="str">
        <f>'860'!BH11</f>
        <v>WADL</v>
      </c>
      <c r="O4" s="166"/>
      <c r="P4" s="169" t="s">
        <v>17</v>
      </c>
      <c r="Q4" s="171"/>
      <c r="R4" s="162">
        <f>'860'!BC19</f>
        <v>71080</v>
      </c>
      <c r="S4" s="19"/>
      <c r="T4" s="4"/>
      <c r="U4" s="4"/>
      <c r="V4" s="4"/>
      <c r="W4" s="4"/>
      <c r="X4" s="4"/>
      <c r="Y4" s="4"/>
      <c r="Z4" s="4"/>
    </row>
    <row r="5" ht="6.0" customHeight="1">
      <c r="A5" s="4"/>
      <c r="B5" s="174"/>
      <c r="C5" s="45"/>
      <c r="D5" s="45"/>
      <c r="E5" s="45"/>
      <c r="F5" s="166"/>
      <c r="G5" s="274"/>
      <c r="H5" s="166"/>
      <c r="I5" s="166"/>
      <c r="J5" s="274"/>
      <c r="K5" s="166"/>
      <c r="L5" s="166"/>
      <c r="M5" s="160"/>
      <c r="N5" s="274"/>
      <c r="O5" s="166"/>
      <c r="P5" s="176"/>
      <c r="Q5" s="166"/>
      <c r="R5" s="45"/>
      <c r="S5" s="19"/>
      <c r="T5" s="4"/>
      <c r="U5" s="4"/>
      <c r="V5" s="4"/>
      <c r="W5" s="4"/>
      <c r="X5" s="4"/>
      <c r="Y5" s="4"/>
      <c r="Z5" s="4"/>
    </row>
    <row r="6" ht="18.75" customHeight="1">
      <c r="A6" s="4"/>
      <c r="B6" s="20" t="s">
        <v>20</v>
      </c>
      <c r="C6" s="391">
        <f>'860'!BB2</f>
        <v>46278</v>
      </c>
      <c r="D6" s="26"/>
      <c r="E6" s="27"/>
      <c r="F6" s="160" t="s">
        <v>22</v>
      </c>
      <c r="G6" s="162" t="str">
        <f>J4</f>
        <v>WATO</v>
      </c>
      <c r="H6" s="163"/>
      <c r="I6" s="165" t="s">
        <v>23</v>
      </c>
      <c r="J6" s="162" t="s">
        <v>8</v>
      </c>
      <c r="K6" s="166"/>
      <c r="L6" s="166"/>
      <c r="M6" s="160" t="s">
        <v>12</v>
      </c>
      <c r="N6" s="162" t="str">
        <f>'860'!BH12</f>
        <v>WIPP</v>
      </c>
      <c r="O6" s="166"/>
      <c r="P6" s="169" t="s">
        <v>17</v>
      </c>
      <c r="Q6" s="171"/>
      <c r="R6" s="162">
        <f>'860'!BC20</f>
        <v>71082</v>
      </c>
      <c r="S6" s="19"/>
      <c r="T6" s="4"/>
      <c r="U6" s="4"/>
      <c r="V6" s="4"/>
      <c r="W6" s="4"/>
      <c r="X6" s="4"/>
      <c r="Y6" s="4"/>
      <c r="Z6" s="4"/>
    </row>
    <row r="7" ht="6.0" customHeight="1">
      <c r="A7" s="4"/>
      <c r="B7" s="174"/>
      <c r="C7" s="261"/>
      <c r="D7" s="45"/>
      <c r="E7" s="45"/>
      <c r="F7" s="166"/>
      <c r="G7" s="274"/>
      <c r="H7" s="166"/>
      <c r="I7" s="166"/>
      <c r="J7" s="274"/>
      <c r="K7" s="166"/>
      <c r="L7" s="166"/>
      <c r="M7" s="166"/>
      <c r="N7" s="274"/>
      <c r="O7" s="166"/>
      <c r="P7" s="176"/>
      <c r="Q7" s="166"/>
      <c r="R7" s="45"/>
      <c r="S7" s="19"/>
      <c r="T7" s="4"/>
      <c r="U7" s="4"/>
      <c r="V7" s="4"/>
      <c r="W7" s="4"/>
      <c r="X7" s="4"/>
      <c r="Y7" s="4"/>
      <c r="Z7" s="4"/>
    </row>
    <row r="8" ht="18.75" customHeight="1">
      <c r="A8" s="4"/>
      <c r="B8" s="20" t="s">
        <v>25</v>
      </c>
      <c r="C8" s="185" t="str">
        <f>'860'!BB3</f>
        <v>PKAZJ</v>
      </c>
      <c r="D8" s="392"/>
      <c r="E8" s="45"/>
      <c r="F8" s="188" t="s">
        <v>36</v>
      </c>
      <c r="G8" s="393" t="s">
        <v>8</v>
      </c>
      <c r="H8" s="190"/>
      <c r="I8" s="188" t="s">
        <v>37</v>
      </c>
      <c r="J8" s="393" t="s">
        <v>152</v>
      </c>
      <c r="K8" s="191"/>
      <c r="L8" s="191"/>
      <c r="M8" s="188" t="s">
        <v>12</v>
      </c>
      <c r="N8" s="393" t="str">
        <f>'860'!BH13</f>
        <v/>
      </c>
      <c r="O8" s="191"/>
      <c r="P8" s="194" t="s">
        <v>17</v>
      </c>
      <c r="Q8" s="191"/>
      <c r="R8" s="393" t="str">
        <f>'860'!BC21</f>
        <v/>
      </c>
      <c r="S8" s="19"/>
      <c r="T8" s="4"/>
      <c r="U8" s="4"/>
      <c r="V8" s="4"/>
      <c r="W8" s="4"/>
      <c r="X8" s="4"/>
      <c r="Y8" s="4"/>
      <c r="Z8" s="4"/>
    </row>
    <row r="9" ht="5.25" customHeight="1">
      <c r="A9" s="4"/>
      <c r="B9" s="198"/>
      <c r="C9" s="33"/>
      <c r="D9" s="33"/>
      <c r="E9" s="33"/>
      <c r="F9" s="200"/>
      <c r="G9" s="367"/>
      <c r="H9" s="191"/>
      <c r="I9" s="200"/>
      <c r="J9" s="394"/>
      <c r="K9" s="200"/>
      <c r="L9" s="200"/>
      <c r="M9" s="191"/>
      <c r="N9" s="394"/>
      <c r="O9" s="191"/>
      <c r="P9" s="194"/>
      <c r="Q9" s="191"/>
      <c r="R9" s="395"/>
      <c r="S9" s="19"/>
      <c r="T9" s="4"/>
      <c r="U9" s="4"/>
      <c r="V9" s="4"/>
      <c r="W9" s="4"/>
      <c r="X9" s="4"/>
      <c r="Y9" s="4"/>
      <c r="Z9" s="4"/>
    </row>
    <row r="10" ht="15.75" customHeight="1">
      <c r="A10" s="4"/>
      <c r="B10" s="15"/>
      <c r="C10" s="33"/>
      <c r="D10" s="33"/>
      <c r="E10" s="33"/>
      <c r="F10" s="188" t="s">
        <v>47</v>
      </c>
      <c r="G10" s="393" t="str">
        <f>J8</f>
        <v>WADD</v>
      </c>
      <c r="H10" s="190"/>
      <c r="I10" s="188" t="s">
        <v>50</v>
      </c>
      <c r="J10" s="393" t="s">
        <v>8</v>
      </c>
      <c r="K10" s="191"/>
      <c r="L10" s="191"/>
      <c r="M10" s="188" t="s">
        <v>12</v>
      </c>
      <c r="N10" s="393" t="str">
        <f>'860'!BH14</f>
        <v/>
      </c>
      <c r="O10" s="191"/>
      <c r="P10" s="194" t="s">
        <v>17</v>
      </c>
      <c r="Q10" s="191"/>
      <c r="R10" s="393" t="str">
        <f>'860'!BC22</f>
        <v/>
      </c>
      <c r="S10" s="19"/>
      <c r="T10" s="4"/>
      <c r="U10" s="4"/>
      <c r="V10" s="4"/>
      <c r="W10" s="4"/>
      <c r="X10" s="4"/>
      <c r="Y10" s="4"/>
      <c r="Z10" s="4"/>
    </row>
    <row r="11" ht="6.0" customHeight="1">
      <c r="A11" s="4"/>
      <c r="B11" s="15"/>
      <c r="C11" s="4"/>
      <c r="D11" s="4"/>
      <c r="E11" s="4"/>
      <c r="F11" s="4"/>
      <c r="G11" s="4"/>
      <c r="H11" s="4"/>
      <c r="I11" s="4"/>
      <c r="J11" s="4"/>
      <c r="K11" s="4"/>
      <c r="L11" s="4"/>
      <c r="M11" s="4"/>
      <c r="N11" s="4"/>
      <c r="O11" s="4"/>
      <c r="P11" s="4"/>
      <c r="Q11" s="4"/>
      <c r="R11" s="4"/>
      <c r="S11" s="19"/>
      <c r="T11" s="4"/>
      <c r="U11" s="4"/>
      <c r="V11" s="4"/>
      <c r="W11" s="4"/>
      <c r="X11" s="4"/>
      <c r="Y11" s="4"/>
      <c r="Z11" s="4"/>
    </row>
    <row r="12" ht="18.75" customHeight="1">
      <c r="A12" s="4"/>
      <c r="B12" s="15"/>
      <c r="C12" s="33" t="s">
        <v>58</v>
      </c>
      <c r="D12" s="4"/>
      <c r="E12" s="4"/>
      <c r="F12" s="4"/>
      <c r="G12" s="4"/>
      <c r="H12" s="4"/>
      <c r="I12" s="4"/>
      <c r="J12" s="4"/>
      <c r="K12" s="4"/>
      <c r="L12" s="4"/>
      <c r="M12" s="4"/>
      <c r="N12" s="4"/>
      <c r="O12" s="4"/>
      <c r="P12" s="4"/>
      <c r="Q12" s="4"/>
      <c r="R12" s="108"/>
      <c r="S12" s="19"/>
      <c r="T12" s="4"/>
      <c r="U12" s="4"/>
      <c r="V12" s="4"/>
      <c r="W12" s="4"/>
      <c r="X12" s="4"/>
      <c r="Y12" s="4"/>
      <c r="Z12" s="4"/>
    </row>
    <row r="13" ht="93.75" customHeight="1">
      <c r="A13" s="4"/>
      <c r="B13" s="15"/>
      <c r="C13" s="111" t="s">
        <v>8</v>
      </c>
      <c r="D13" s="112" t="str">
        <f>'526CBR'!D13</f>
        <v>TAF WIII 202300Z 2100/2206 VRB02KT 8000 FEW020 
  BECMG 2102/2104 36010KT 
  BECMG 2114/2116 22005KT 5000 HZ</v>
      </c>
      <c r="E13" s="87"/>
      <c r="F13" s="87"/>
      <c r="G13" s="87"/>
      <c r="H13" s="87"/>
      <c r="I13" s="87"/>
      <c r="J13" s="87"/>
      <c r="K13" s="87"/>
      <c r="L13" s="87"/>
      <c r="M13" s="87"/>
      <c r="N13" s="87"/>
      <c r="O13" s="87"/>
      <c r="P13" s="87"/>
      <c r="Q13" s="87"/>
      <c r="R13" s="88"/>
      <c r="S13" s="113"/>
      <c r="T13" s="4"/>
      <c r="U13" s="4"/>
      <c r="V13" s="4"/>
      <c r="W13" s="4"/>
      <c r="X13" s="4"/>
      <c r="Y13" s="4"/>
      <c r="Z13" s="4"/>
    </row>
    <row r="14" ht="61.5" customHeight="1">
      <c r="A14" s="4"/>
      <c r="B14" s="15"/>
      <c r="C14" s="111" t="s">
        <v>151</v>
      </c>
      <c r="D14" s="112" t="s">
        <v>153</v>
      </c>
      <c r="E14" s="87"/>
      <c r="F14" s="87"/>
      <c r="G14" s="87"/>
      <c r="H14" s="87"/>
      <c r="I14" s="87"/>
      <c r="J14" s="87"/>
      <c r="K14" s="87"/>
      <c r="L14" s="87"/>
      <c r="M14" s="87"/>
      <c r="N14" s="87"/>
      <c r="O14" s="87"/>
      <c r="P14" s="87"/>
      <c r="Q14" s="87"/>
      <c r="R14" s="88"/>
      <c r="S14" s="113"/>
      <c r="T14" s="4"/>
      <c r="U14" s="4"/>
      <c r="V14" s="4"/>
      <c r="W14" s="4"/>
      <c r="X14" s="4"/>
      <c r="Y14" s="4"/>
      <c r="Z14" s="4"/>
    </row>
    <row r="15" ht="61.5" customHeight="1">
      <c r="A15" s="4"/>
      <c r="B15" s="15"/>
      <c r="C15" s="111" t="s">
        <v>148</v>
      </c>
      <c r="D15" s="112" t="str">
        <f>'806CBR'!D15</f>
        <v>#REF!</v>
      </c>
      <c r="E15" s="87"/>
      <c r="F15" s="87"/>
      <c r="G15" s="87"/>
      <c r="H15" s="87"/>
      <c r="I15" s="87"/>
      <c r="J15" s="87"/>
      <c r="K15" s="87"/>
      <c r="L15" s="87"/>
      <c r="M15" s="87"/>
      <c r="N15" s="87"/>
      <c r="O15" s="87"/>
      <c r="P15" s="87"/>
      <c r="Q15" s="87"/>
      <c r="R15" s="88"/>
      <c r="S15" s="117"/>
      <c r="T15" s="4"/>
      <c r="U15" s="4"/>
      <c r="V15" s="4"/>
      <c r="W15" s="4"/>
      <c r="X15" s="4"/>
      <c r="Y15" s="4"/>
      <c r="Z15" s="4"/>
    </row>
    <row r="16" ht="61.5" customHeight="1">
      <c r="A16" s="4"/>
      <c r="B16" s="15"/>
      <c r="C16" s="111" t="s">
        <v>41</v>
      </c>
      <c r="D16" s="112" t="str">
        <f>'526CBR'!D17</f>
        <v>TAF WILL 202300Z 2100/2124 12007KT 9999 FEW015 BECMG 2114/2116 00000KT=</v>
      </c>
      <c r="E16" s="87"/>
      <c r="F16" s="87"/>
      <c r="G16" s="87"/>
      <c r="H16" s="87"/>
      <c r="I16" s="87"/>
      <c r="J16" s="87"/>
      <c r="K16" s="87"/>
      <c r="L16" s="87"/>
      <c r="M16" s="87"/>
      <c r="N16" s="87"/>
      <c r="O16" s="87"/>
      <c r="P16" s="87"/>
      <c r="Q16" s="87"/>
      <c r="R16" s="88"/>
      <c r="S16" s="113"/>
      <c r="T16" s="4"/>
      <c r="U16" s="4"/>
      <c r="V16" s="4"/>
      <c r="W16" s="4"/>
      <c r="X16" s="4"/>
      <c r="Y16" s="4"/>
      <c r="Z16" s="4"/>
    </row>
    <row r="17" ht="75.0" customHeight="1">
      <c r="A17" s="4"/>
      <c r="B17" s="15"/>
      <c r="C17" s="111" t="s">
        <v>69</v>
      </c>
      <c r="D17" s="112" t="str">
        <f>'526CBR'!D16</f>
        <v>TAF WIPP 202300Z 2100/2124 09008KT 9999 SCT015 
  TEMPO 2121/2124 5000 HZ</v>
      </c>
      <c r="E17" s="87"/>
      <c r="F17" s="87"/>
      <c r="G17" s="87"/>
      <c r="H17" s="87"/>
      <c r="I17" s="87"/>
      <c r="J17" s="87"/>
      <c r="K17" s="87"/>
      <c r="L17" s="87"/>
      <c r="M17" s="87"/>
      <c r="N17" s="87"/>
      <c r="O17" s="87"/>
      <c r="P17" s="87"/>
      <c r="Q17" s="87"/>
      <c r="R17" s="88"/>
      <c r="S17" s="113"/>
      <c r="T17" s="4"/>
      <c r="U17" s="4"/>
      <c r="V17" s="4"/>
      <c r="W17" s="4"/>
      <c r="X17" s="4"/>
      <c r="Y17" s="4"/>
      <c r="Z17" s="4"/>
    </row>
    <row r="18" ht="15.75" customHeight="1">
      <c r="A18" s="4"/>
      <c r="B18" s="15"/>
      <c r="C18" s="33"/>
      <c r="D18" s="33"/>
      <c r="E18" s="33"/>
      <c r="F18" s="33"/>
      <c r="G18" s="33"/>
      <c r="H18" s="33"/>
      <c r="I18" s="33"/>
      <c r="J18" s="33"/>
      <c r="K18" s="33"/>
      <c r="L18" s="33"/>
      <c r="M18" s="33"/>
      <c r="N18" s="33"/>
      <c r="O18" s="33"/>
      <c r="P18" s="33"/>
      <c r="Q18" s="33"/>
      <c r="R18" s="121"/>
      <c r="S18" s="19"/>
      <c r="T18" s="4"/>
      <c r="U18" s="4"/>
      <c r="V18" s="4"/>
      <c r="W18" s="4"/>
      <c r="X18" s="4"/>
      <c r="Y18" s="4"/>
      <c r="Z18" s="4"/>
    </row>
    <row r="19" ht="15.75" customHeight="1">
      <c r="A19" s="4"/>
      <c r="B19" s="15"/>
      <c r="C19" s="123"/>
      <c r="D19" s="123" t="s">
        <v>73</v>
      </c>
      <c r="E19" s="123" t="s">
        <v>74</v>
      </c>
      <c r="F19" s="125" t="s">
        <v>75</v>
      </c>
      <c r="G19" s="126"/>
      <c r="H19" s="126"/>
      <c r="I19" s="126"/>
      <c r="J19" s="127"/>
      <c r="K19" s="123" t="s">
        <v>73</v>
      </c>
      <c r="L19" s="123" t="s">
        <v>73</v>
      </c>
      <c r="M19" s="123" t="s">
        <v>74</v>
      </c>
      <c r="N19" s="125" t="s">
        <v>75</v>
      </c>
      <c r="O19" s="126"/>
      <c r="P19" s="126"/>
      <c r="Q19" s="126"/>
      <c r="R19" s="127"/>
      <c r="S19" s="128"/>
      <c r="T19" s="4"/>
      <c r="U19" s="4"/>
      <c r="V19" s="4"/>
      <c r="W19" s="4"/>
      <c r="X19" s="4"/>
      <c r="Y19" s="4"/>
      <c r="Z19" s="4"/>
    </row>
    <row r="20" ht="15.75" customHeight="1">
      <c r="A20" s="4"/>
      <c r="B20" s="15"/>
      <c r="C20" s="130"/>
      <c r="D20" s="398" t="s">
        <v>76</v>
      </c>
      <c r="E20" s="130"/>
      <c r="F20" s="132"/>
      <c r="G20" s="133"/>
      <c r="H20" s="133"/>
      <c r="I20" s="133"/>
      <c r="J20" s="134"/>
      <c r="K20" s="398" t="s">
        <v>76</v>
      </c>
      <c r="L20" s="398" t="s">
        <v>76</v>
      </c>
      <c r="M20" s="130"/>
      <c r="N20" s="132"/>
      <c r="O20" s="133"/>
      <c r="P20" s="133"/>
      <c r="Q20" s="133"/>
      <c r="R20" s="134"/>
      <c r="S20" s="128"/>
      <c r="T20" s="4"/>
      <c r="U20" s="4"/>
      <c r="V20" s="4"/>
      <c r="W20" s="4"/>
      <c r="X20" s="4"/>
      <c r="Y20" s="4"/>
      <c r="Z20" s="4"/>
    </row>
    <row r="21" ht="48.0" customHeight="1">
      <c r="A21" s="4"/>
      <c r="B21" s="15"/>
      <c r="C21" s="135" t="s">
        <v>7</v>
      </c>
      <c r="D21" s="111" t="str">
        <f>G4</f>
        <v>WIII</v>
      </c>
      <c r="E21" s="170">
        <f>'860'!BE4</f>
        <v>1.236111111</v>
      </c>
      <c r="F21" s="289" t="s">
        <v>108</v>
      </c>
      <c r="G21" s="87"/>
      <c r="H21" s="87"/>
      <c r="I21" s="87"/>
      <c r="J21" s="88"/>
      <c r="K21" s="250" t="s">
        <v>36</v>
      </c>
      <c r="L21" s="251" t="str">
        <f>G8</f>
        <v>WIII</v>
      </c>
      <c r="M21" s="253">
        <f>'860'!BE6</f>
        <v>0.1388888889</v>
      </c>
      <c r="N21" s="399"/>
      <c r="O21" s="87"/>
      <c r="P21" s="87"/>
      <c r="Q21" s="87"/>
      <c r="R21" s="88"/>
      <c r="S21" s="128"/>
      <c r="T21" s="4"/>
      <c r="U21" s="4"/>
      <c r="V21" s="4"/>
      <c r="W21" s="4"/>
      <c r="X21" s="4"/>
      <c r="Y21" s="4"/>
      <c r="Z21" s="4"/>
    </row>
    <row r="22" ht="48.0" customHeight="1">
      <c r="A22" s="4"/>
      <c r="B22" s="15"/>
      <c r="C22" s="135" t="s">
        <v>10</v>
      </c>
      <c r="D22" s="111" t="str">
        <f>J4</f>
        <v>WATO</v>
      </c>
      <c r="E22" s="170">
        <f>'860'!BF4</f>
        <v>0.3368055556</v>
      </c>
      <c r="F22" s="141" t="s">
        <v>157</v>
      </c>
      <c r="G22" s="87"/>
      <c r="H22" s="87"/>
      <c r="I22" s="87"/>
      <c r="J22" s="88"/>
      <c r="K22" s="250" t="s">
        <v>37</v>
      </c>
      <c r="L22" s="251" t="str">
        <f>J8</f>
        <v>WADD</v>
      </c>
      <c r="M22" s="253">
        <f>'860'!BF6</f>
        <v>0.2152777778</v>
      </c>
      <c r="N22" s="400"/>
      <c r="O22" s="87"/>
      <c r="P22" s="87"/>
      <c r="Q22" s="87"/>
      <c r="R22" s="88"/>
      <c r="S22" s="128"/>
      <c r="T22" s="4"/>
      <c r="U22" s="4"/>
      <c r="V22" s="4"/>
      <c r="W22" s="4"/>
      <c r="X22" s="4"/>
      <c r="Y22" s="4"/>
      <c r="Z22" s="4"/>
    </row>
    <row r="23" ht="48.0" customHeight="1">
      <c r="A23" s="4"/>
      <c r="B23" s="15"/>
      <c r="C23" s="135" t="s">
        <v>22</v>
      </c>
      <c r="D23" s="140" t="str">
        <f>G6</f>
        <v>WATO</v>
      </c>
      <c r="E23" s="170">
        <f>'860'!BE5</f>
        <v>0.3576388889</v>
      </c>
      <c r="F23" s="141" t="s">
        <v>157</v>
      </c>
      <c r="G23" s="87"/>
      <c r="H23" s="87"/>
      <c r="I23" s="87"/>
      <c r="J23" s="88"/>
      <c r="K23" s="250" t="s">
        <v>47</v>
      </c>
      <c r="L23" s="266" t="str">
        <f>G10</f>
        <v>WADD</v>
      </c>
      <c r="M23" s="253">
        <f>'860'!BE7</f>
        <v>0.2326388889</v>
      </c>
      <c r="N23" s="400"/>
      <c r="O23" s="87"/>
      <c r="P23" s="87"/>
      <c r="Q23" s="87"/>
      <c r="R23" s="88"/>
      <c r="S23" s="128"/>
      <c r="T23" s="4"/>
      <c r="U23" s="4"/>
      <c r="V23" s="4"/>
      <c r="W23" s="4"/>
      <c r="X23" s="4"/>
      <c r="Y23" s="4"/>
      <c r="Z23" s="4"/>
    </row>
    <row r="24" ht="48.0" customHeight="1">
      <c r="A24" s="4"/>
      <c r="B24" s="15"/>
      <c r="C24" s="135" t="s">
        <v>23</v>
      </c>
      <c r="D24" s="111" t="str">
        <f>J6</f>
        <v>WIII</v>
      </c>
      <c r="E24" s="170">
        <f>'860'!BF5</f>
        <v>0.4548611111</v>
      </c>
      <c r="F24" s="289" t="s">
        <v>108</v>
      </c>
      <c r="G24" s="87"/>
      <c r="H24" s="87"/>
      <c r="I24" s="87"/>
      <c r="J24" s="88"/>
      <c r="K24" s="250" t="s">
        <v>50</v>
      </c>
      <c r="L24" s="251" t="str">
        <f>J10</f>
        <v>WIII</v>
      </c>
      <c r="M24" s="253">
        <f>'860'!BF7</f>
        <v>0.3090277778</v>
      </c>
      <c r="N24" s="399"/>
      <c r="O24" s="87"/>
      <c r="P24" s="87"/>
      <c r="Q24" s="87"/>
      <c r="R24" s="88"/>
      <c r="S24" s="128"/>
      <c r="T24" s="4"/>
      <c r="U24" s="4"/>
      <c r="V24" s="4"/>
      <c r="W24" s="4"/>
      <c r="X24" s="4"/>
      <c r="Y24" s="4"/>
      <c r="Z24" s="4"/>
    </row>
    <row r="25" ht="18.75" customHeight="1">
      <c r="A25" s="4"/>
      <c r="B25" s="15"/>
      <c r="C25" s="135"/>
      <c r="D25" s="135"/>
      <c r="E25" s="170"/>
      <c r="F25" s="277"/>
      <c r="G25" s="87"/>
      <c r="H25" s="87"/>
      <c r="I25" s="87"/>
      <c r="J25" s="88"/>
      <c r="K25" s="135"/>
      <c r="L25" s="135"/>
      <c r="M25" s="170"/>
      <c r="N25" s="280"/>
      <c r="O25" s="280"/>
      <c r="P25" s="280"/>
      <c r="Q25" s="280"/>
      <c r="R25" s="282"/>
      <c r="S25" s="19"/>
      <c r="T25" s="4"/>
      <c r="U25" s="4"/>
      <c r="V25" s="4"/>
      <c r="W25" s="4"/>
      <c r="X25" s="4"/>
      <c r="Y25" s="4"/>
      <c r="Z25" s="4"/>
    </row>
    <row r="26" ht="15.75" customHeight="1">
      <c r="A26" s="4"/>
      <c r="B26" s="15"/>
      <c r="C26" s="284"/>
      <c r="D26" s="284"/>
      <c r="E26" s="285"/>
      <c r="F26" s="284"/>
      <c r="G26" s="284"/>
      <c r="H26" s="284"/>
      <c r="I26" s="284"/>
      <c r="J26" s="284"/>
      <c r="K26" s="284"/>
      <c r="L26" s="284"/>
      <c r="M26" s="284"/>
      <c r="N26" s="284"/>
      <c r="O26" s="284"/>
      <c r="P26" s="284"/>
      <c r="Q26" s="284"/>
      <c r="R26" s="287"/>
      <c r="S26" s="128"/>
      <c r="T26" s="4"/>
      <c r="U26" s="4"/>
      <c r="V26" s="4"/>
      <c r="W26" s="4"/>
      <c r="X26" s="4"/>
      <c r="Y26" s="4"/>
      <c r="Z26" s="4"/>
    </row>
    <row r="27" ht="15.75" customHeight="1">
      <c r="A27" s="4"/>
      <c r="B27" s="15"/>
      <c r="C27" s="123"/>
      <c r="D27" s="406" t="s">
        <v>73</v>
      </c>
      <c r="E27" s="125" t="s">
        <v>119</v>
      </c>
      <c r="F27" s="126"/>
      <c r="G27" s="126"/>
      <c r="H27" s="126"/>
      <c r="I27" s="126"/>
      <c r="J27" s="126"/>
      <c r="K27" s="126"/>
      <c r="L27" s="126"/>
      <c r="M27" s="126"/>
      <c r="N27" s="126"/>
      <c r="O27" s="126"/>
      <c r="P27" s="126"/>
      <c r="Q27" s="126"/>
      <c r="R27" s="127"/>
      <c r="S27" s="128"/>
      <c r="T27" s="4"/>
      <c r="U27" s="4"/>
      <c r="V27" s="4"/>
      <c r="W27" s="4"/>
      <c r="X27" s="4"/>
      <c r="Y27" s="4"/>
      <c r="Z27" s="4"/>
    </row>
    <row r="28" ht="15.75" customHeight="1">
      <c r="A28" s="4"/>
      <c r="B28" s="15"/>
      <c r="C28" s="130"/>
      <c r="D28" s="407" t="s">
        <v>76</v>
      </c>
      <c r="E28" s="132"/>
      <c r="F28" s="133"/>
      <c r="G28" s="133"/>
      <c r="H28" s="133"/>
      <c r="I28" s="133"/>
      <c r="J28" s="133"/>
      <c r="K28" s="133"/>
      <c r="L28" s="133"/>
      <c r="M28" s="133"/>
      <c r="N28" s="133"/>
      <c r="O28" s="133"/>
      <c r="P28" s="133"/>
      <c r="Q28" s="133"/>
      <c r="R28" s="134"/>
      <c r="S28" s="128"/>
      <c r="T28" s="4"/>
      <c r="U28" s="4"/>
      <c r="V28" s="4"/>
      <c r="W28" s="4"/>
      <c r="X28" s="4"/>
      <c r="Y28" s="4"/>
      <c r="Z28" s="4"/>
    </row>
    <row r="29" ht="3.0" customHeight="1">
      <c r="A29" s="4"/>
      <c r="B29" s="15"/>
      <c r="C29" s="304"/>
      <c r="D29" s="304"/>
      <c r="E29" s="306"/>
      <c r="F29" s="308"/>
      <c r="G29" s="308"/>
      <c r="H29" s="308"/>
      <c r="I29" s="308"/>
      <c r="J29" s="308"/>
      <c r="K29" s="308"/>
      <c r="L29" s="308"/>
      <c r="M29" s="308"/>
      <c r="N29" s="308"/>
      <c r="O29" s="308"/>
      <c r="P29" s="308"/>
      <c r="Q29" s="308"/>
      <c r="R29" s="311"/>
      <c r="S29" s="299"/>
      <c r="T29" s="4"/>
      <c r="U29" s="4"/>
      <c r="V29" s="4"/>
      <c r="W29" s="4"/>
      <c r="X29" s="4"/>
      <c r="Y29" s="4"/>
      <c r="Z29" s="4"/>
    </row>
    <row r="30" ht="256.5" customHeight="1">
      <c r="A30" s="4"/>
      <c r="B30" s="15"/>
      <c r="C30" s="301"/>
      <c r="D30" s="302" t="s">
        <v>8</v>
      </c>
      <c r="E30" s="305" t="str">
        <f>NOTAM!B3</f>
        <v>A2668/24 - RWY 06/24 CLSD DUE TO RUBBER DEPOSITE REMOVAL. DAILY 1600-2200, 04 OCT 16:00 2024 UNTIL 11 OCT 22:00 2024. CREATED: 02 SEP 12:03 2024
A2667/24 - RWY 07L/25R CLSD DUE TO RUBBER DEPOSITE REMOVAL. SEP 05 1600-2200 06-07 1500-2200 08 1600-2200 09-10 1500-2200 OCT 04-05 1500-2200 06 1600-2200 07-09 1500-2200 10 1600-2200 11 1500-2200, 05 SEP 16:00 2024 UNTIL 11 OCT 22:00 2024. CREATED: 02 SEP 11:58 2024
A2175/24 - INSET THR LGT ON RWY 07R/25L U/S DUE TO WIP
RMK: ELEVATED THR LGT AVBL. 01 AUG 00:00 2024 UNTIL 31 OCT 23:59 2024. CREATED: 18 JUL 13:14 2024
A2172/24 - RWY CENTRE LINE LGT ON RWY 07R/25L U/S DUE TO WIP. 01 AUG 00:00 2024 UNTIL 31 OCT 23:59 2024. CREATED: 18 JUL 12:50 2024</v>
      </c>
      <c r="F30" s="87"/>
      <c r="G30" s="87"/>
      <c r="H30" s="87"/>
      <c r="I30" s="87"/>
      <c r="J30" s="87"/>
      <c r="K30" s="87"/>
      <c r="L30" s="87"/>
      <c r="M30" s="87"/>
      <c r="N30" s="87"/>
      <c r="O30" s="87"/>
      <c r="P30" s="87"/>
      <c r="Q30" s="87"/>
      <c r="R30" s="88"/>
      <c r="S30" s="299"/>
      <c r="T30" s="4"/>
      <c r="U30" s="4"/>
      <c r="V30" s="4"/>
      <c r="W30" s="4"/>
      <c r="X30" s="4"/>
      <c r="Y30" s="4"/>
      <c r="Z30" s="4"/>
    </row>
    <row r="31" ht="51.75" customHeight="1">
      <c r="A31" s="4"/>
      <c r="B31" s="15"/>
      <c r="C31" s="409"/>
      <c r="D31" s="111" t="s">
        <v>151</v>
      </c>
      <c r="E31" s="305" t="s">
        <v>161</v>
      </c>
      <c r="F31" s="87"/>
      <c r="G31" s="87"/>
      <c r="H31" s="87"/>
      <c r="I31" s="87"/>
      <c r="J31" s="87"/>
      <c r="K31" s="87"/>
      <c r="L31" s="87"/>
      <c r="M31" s="87"/>
      <c r="N31" s="87"/>
      <c r="O31" s="87"/>
      <c r="P31" s="87"/>
      <c r="Q31" s="87"/>
      <c r="R31" s="88"/>
      <c r="S31" s="299"/>
      <c r="T31" s="4"/>
      <c r="U31" s="4"/>
      <c r="V31" s="4"/>
      <c r="W31" s="4"/>
      <c r="X31" s="4"/>
      <c r="Y31" s="4"/>
      <c r="Z31" s="4"/>
    </row>
    <row r="32" ht="129.75" customHeight="1">
      <c r="A32" s="4"/>
      <c r="B32" s="15"/>
      <c r="C32" s="111"/>
      <c r="D32" s="307" t="s">
        <v>148</v>
      </c>
      <c r="E32" s="305" t="str">
        <f>NOTAM!B9</f>
        <v>B2021/24 - AD HOURS OF SERVICE CHANGED TO 2200-1300 DUE TO OPERATIONAL REASON. 02 OCT 00:00 2024 UNTIL 31 DEC 23:59 2024. CREATED: 01 OCT 08:22 2024</v>
      </c>
      <c r="F32" s="87"/>
      <c r="G32" s="87"/>
      <c r="H32" s="87"/>
      <c r="I32" s="87"/>
      <c r="J32" s="87"/>
      <c r="K32" s="87"/>
      <c r="L32" s="87"/>
      <c r="M32" s="87"/>
      <c r="N32" s="87"/>
      <c r="O32" s="87"/>
      <c r="P32" s="87"/>
      <c r="Q32" s="87"/>
      <c r="R32" s="88"/>
      <c r="S32" s="299"/>
      <c r="T32" s="4"/>
      <c r="U32" s="4"/>
      <c r="V32" s="4"/>
      <c r="W32" s="4"/>
      <c r="X32" s="4"/>
      <c r="Y32" s="4"/>
      <c r="Z32" s="4"/>
    </row>
    <row r="33" ht="54.75" customHeight="1">
      <c r="A33" s="4"/>
      <c r="B33" s="15"/>
      <c r="C33" s="409"/>
      <c r="D33" s="307" t="s">
        <v>41</v>
      </c>
      <c r="E33" s="305" t="str">
        <f>NOTAM!D17</f>
        <v>No active NOTAMs for this location.</v>
      </c>
      <c r="F33" s="87"/>
      <c r="G33" s="87"/>
      <c r="H33" s="87"/>
      <c r="I33" s="87"/>
      <c r="J33" s="87"/>
      <c r="K33" s="87"/>
      <c r="L33" s="87"/>
      <c r="M33" s="87"/>
      <c r="N33" s="87"/>
      <c r="O33" s="87"/>
      <c r="P33" s="87"/>
      <c r="Q33" s="87"/>
      <c r="R33" s="88"/>
      <c r="S33" s="313"/>
      <c r="T33" s="4"/>
      <c r="U33" s="4"/>
      <c r="V33" s="4"/>
      <c r="W33" s="4"/>
      <c r="X33" s="4"/>
      <c r="Y33" s="4"/>
      <c r="Z33" s="4"/>
    </row>
    <row r="34" ht="135.75" customHeight="1">
      <c r="A34" s="4"/>
      <c r="B34" s="15"/>
      <c r="C34" s="410"/>
      <c r="D34" s="411" t="s">
        <v>69</v>
      </c>
      <c r="E34" s="332" t="str">
        <f>NOTAM!B5</f>
        <v>B2027/24 - RWY WIP DUE TO MAINT PSN 1245M BEYOND THR RWY 11, 26.5M NORTH EAST FM CENTERLINE AND PSN 1245M FM BEGINNING THR RWY 11, 67.5M SOUTHWEST FM CENTERLINE
RMK : ALL TFC CTN. 02 OCT 06:26 2024 UNTIL 16 OCT 22:00 2024. CREATED: 02 OCT 06:26 2024
B1894/24 - RWY 11/29 CLSD DUE TO RWY INSPECTION. DAILY 0550-0615, 16 SEP 05:50 2024 UNTIL 27 NOV 06:15 2024. CREATED: 15 SEP 10:46 2024
B1761/24 - PALS RWY 29 PARTLY U/S DUE TO TECR
RMK: AVBL APRX 85 PER CENT. 28 AUG 17:00 2024 UNTIL 28 NOV 16:00 2024. CREATED:
28 AUG 11:29 2024</v>
      </c>
      <c r="F34" s="333"/>
      <c r="G34" s="333"/>
      <c r="H34" s="333"/>
      <c r="I34" s="333"/>
      <c r="J34" s="333"/>
      <c r="K34" s="333"/>
      <c r="L34" s="333"/>
      <c r="M34" s="333"/>
      <c r="N34" s="333"/>
      <c r="O34" s="333"/>
      <c r="P34" s="333"/>
      <c r="Q34" s="333"/>
      <c r="R34" s="336"/>
      <c r="S34" s="313"/>
      <c r="T34" s="4"/>
      <c r="U34" s="4"/>
      <c r="V34" s="4"/>
      <c r="W34" s="4"/>
      <c r="X34" s="4"/>
      <c r="Y34" s="4"/>
      <c r="Z34" s="4"/>
    </row>
    <row r="35" ht="21.0" customHeight="1">
      <c r="A35" s="4"/>
      <c r="B35" s="15"/>
      <c r="C35" s="347" t="s">
        <v>134</v>
      </c>
      <c r="D35" s="87"/>
      <c r="E35" s="87"/>
      <c r="F35" s="87"/>
      <c r="G35" s="87"/>
      <c r="H35" s="87"/>
      <c r="I35" s="87"/>
      <c r="J35" s="87"/>
      <c r="K35" s="87"/>
      <c r="L35" s="87"/>
      <c r="M35" s="87"/>
      <c r="N35" s="87"/>
      <c r="O35" s="87"/>
      <c r="P35" s="87"/>
      <c r="Q35" s="87"/>
      <c r="R35" s="88"/>
      <c r="S35" s="19"/>
      <c r="T35" s="4"/>
      <c r="U35" s="4"/>
      <c r="V35" s="4"/>
      <c r="W35" s="4"/>
      <c r="X35" s="4"/>
      <c r="Y35" s="4"/>
      <c r="Z35" s="4"/>
    </row>
    <row r="36" ht="15.75" customHeight="1">
      <c r="A36" s="4"/>
      <c r="B36" s="15"/>
      <c r="C36" s="33"/>
      <c r="D36" s="33"/>
      <c r="E36" s="33"/>
      <c r="F36" s="33"/>
      <c r="G36" s="33"/>
      <c r="H36" s="33"/>
      <c r="I36" s="33"/>
      <c r="J36" s="33"/>
      <c r="K36" s="33"/>
      <c r="L36" s="33"/>
      <c r="M36" s="33"/>
      <c r="N36" s="33"/>
      <c r="O36" s="33"/>
      <c r="P36" s="33"/>
      <c r="Q36" s="33"/>
      <c r="R36" s="33"/>
      <c r="S36" s="19"/>
      <c r="T36" s="4"/>
      <c r="U36" s="4"/>
      <c r="V36" s="4"/>
      <c r="W36" s="4"/>
      <c r="X36" s="4"/>
      <c r="Y36" s="4"/>
      <c r="Z36" s="4"/>
    </row>
    <row r="37" ht="15.75" customHeight="1">
      <c r="A37" s="4"/>
      <c r="B37" s="15"/>
      <c r="C37" s="33"/>
      <c r="D37" s="33"/>
      <c r="E37" s="33"/>
      <c r="F37" s="33"/>
      <c r="G37" s="33"/>
      <c r="H37" s="284" t="s">
        <v>125</v>
      </c>
      <c r="I37" s="33"/>
      <c r="J37" s="33"/>
      <c r="K37" s="33"/>
      <c r="L37" s="33"/>
      <c r="M37" s="33"/>
      <c r="N37" s="33"/>
      <c r="O37" s="33"/>
      <c r="P37" s="284" t="s">
        <v>126</v>
      </c>
      <c r="Q37" s="33"/>
      <c r="R37" s="33"/>
      <c r="S37" s="19"/>
      <c r="T37" s="4"/>
      <c r="U37" s="4"/>
      <c r="V37" s="4"/>
      <c r="W37" s="4"/>
      <c r="X37" s="4"/>
      <c r="Y37" s="4"/>
      <c r="Z37" s="4"/>
    </row>
    <row r="38" ht="15.75" customHeight="1">
      <c r="A38" s="4"/>
      <c r="B38" s="15"/>
      <c r="C38" s="33"/>
      <c r="D38" s="33"/>
      <c r="E38" s="33"/>
      <c r="F38" s="33"/>
      <c r="G38" s="33"/>
      <c r="H38" s="284" t="s">
        <v>127</v>
      </c>
      <c r="I38" s="33"/>
      <c r="J38" s="33"/>
      <c r="K38" s="33"/>
      <c r="L38" s="33"/>
      <c r="M38" s="33"/>
      <c r="N38" s="33"/>
      <c r="O38" s="33"/>
      <c r="P38" s="284" t="s">
        <v>127</v>
      </c>
      <c r="Q38" s="33"/>
      <c r="R38" s="33"/>
      <c r="S38" s="19"/>
      <c r="T38" s="4"/>
      <c r="U38" s="4"/>
      <c r="V38" s="4"/>
      <c r="W38" s="4"/>
      <c r="X38" s="4"/>
      <c r="Y38" s="4"/>
      <c r="Z38" s="4"/>
    </row>
    <row r="39" ht="19.5" customHeight="1">
      <c r="A39" s="4"/>
      <c r="B39" s="15"/>
      <c r="C39" s="33"/>
      <c r="D39" s="33"/>
      <c r="E39" s="33"/>
      <c r="F39" s="33"/>
      <c r="G39" s="33"/>
      <c r="H39" s="33"/>
      <c r="I39" s="33"/>
      <c r="J39" s="33"/>
      <c r="K39" s="33"/>
      <c r="L39" s="33"/>
      <c r="M39" s="33"/>
      <c r="N39" s="33"/>
      <c r="O39" s="33"/>
      <c r="P39" s="33"/>
      <c r="Q39" s="33"/>
      <c r="R39" s="33"/>
      <c r="S39" s="19"/>
      <c r="T39" s="4"/>
      <c r="U39" s="4"/>
      <c r="V39" s="4"/>
      <c r="W39" s="4"/>
      <c r="X39" s="4"/>
      <c r="Y39" s="4"/>
      <c r="Z39" s="4"/>
    </row>
    <row r="40" ht="19.5" customHeight="1">
      <c r="A40" s="4"/>
      <c r="B40" s="15"/>
      <c r="C40" s="33"/>
      <c r="D40" s="33"/>
      <c r="E40" s="33"/>
      <c r="F40" s="33"/>
      <c r="G40" s="33"/>
      <c r="H40" s="33"/>
      <c r="I40" s="33"/>
      <c r="J40" s="33"/>
      <c r="K40" s="33"/>
      <c r="L40" s="33"/>
      <c r="M40" s="33"/>
      <c r="N40" s="33"/>
      <c r="O40" s="33"/>
      <c r="P40" s="33"/>
      <c r="Q40" s="33"/>
      <c r="R40" s="33"/>
      <c r="S40" s="19"/>
      <c r="T40" s="4"/>
      <c r="U40" s="4"/>
      <c r="V40" s="4"/>
      <c r="W40" s="4"/>
      <c r="X40" s="4"/>
      <c r="Y40" s="4"/>
      <c r="Z40" s="4"/>
    </row>
    <row r="41" ht="15.75" customHeight="1">
      <c r="A41" s="4"/>
      <c r="B41" s="15"/>
      <c r="C41" s="33"/>
      <c r="D41" s="33"/>
      <c r="E41" s="33"/>
      <c r="F41" s="33"/>
      <c r="G41" s="33"/>
      <c r="H41" s="33"/>
      <c r="I41" s="33"/>
      <c r="J41" s="33"/>
      <c r="K41" s="33"/>
      <c r="L41" s="33"/>
      <c r="M41" s="33"/>
      <c r="N41" s="33"/>
      <c r="O41" s="33"/>
      <c r="P41" s="33"/>
      <c r="Q41" s="33"/>
      <c r="R41" s="33"/>
      <c r="S41" s="19"/>
      <c r="T41" s="4"/>
      <c r="U41" s="4"/>
      <c r="V41" s="4"/>
      <c r="W41" s="4"/>
      <c r="X41" s="4"/>
      <c r="Y41" s="4"/>
      <c r="Z41" s="4"/>
    </row>
    <row r="42" ht="15.75" customHeight="1">
      <c r="A42" s="4"/>
      <c r="B42" s="15"/>
      <c r="C42" s="33"/>
      <c r="D42" s="33"/>
      <c r="E42" s="33"/>
      <c r="F42" s="33"/>
      <c r="G42" s="45" t="s">
        <v>129</v>
      </c>
      <c r="H42" s="45"/>
      <c r="I42" s="33"/>
      <c r="J42" s="33"/>
      <c r="K42" s="33"/>
      <c r="L42" s="33"/>
      <c r="M42" s="33"/>
      <c r="N42" s="33"/>
      <c r="O42" s="323" t="str">
        <f>'860'!BC17</f>
        <v>CAPT. AFNER SYAFRIL</v>
      </c>
      <c r="S42" s="19"/>
      <c r="T42" s="4"/>
      <c r="U42" s="4"/>
      <c r="V42" s="4"/>
      <c r="W42" s="4"/>
      <c r="X42" s="4"/>
      <c r="Y42" s="4"/>
      <c r="Z42" s="4"/>
    </row>
    <row r="43" ht="15.75" customHeight="1">
      <c r="A43" s="4"/>
      <c r="B43" s="15"/>
      <c r="C43" s="33"/>
      <c r="D43" s="33"/>
      <c r="E43" s="33"/>
      <c r="F43" s="33"/>
      <c r="G43" s="33"/>
      <c r="H43" s="33" t="s">
        <v>130</v>
      </c>
      <c r="I43" s="33"/>
      <c r="J43" s="33"/>
      <c r="K43" s="33"/>
      <c r="L43" s="33"/>
      <c r="M43" s="33"/>
      <c r="N43" s="33"/>
      <c r="O43" s="33"/>
      <c r="P43" s="33" t="s">
        <v>131</v>
      </c>
      <c r="Q43" s="33"/>
      <c r="R43" s="33"/>
      <c r="S43" s="19"/>
      <c r="T43" s="4"/>
      <c r="U43" s="4"/>
      <c r="V43" s="4"/>
      <c r="W43" s="4"/>
      <c r="X43" s="4"/>
      <c r="Y43" s="4"/>
      <c r="Z43" s="4"/>
    </row>
    <row r="44" ht="1.5" customHeight="1">
      <c r="A44" s="4"/>
      <c r="B44" s="329"/>
      <c r="C44" s="330"/>
      <c r="D44" s="330"/>
      <c r="E44" s="330"/>
      <c r="F44" s="330"/>
      <c r="G44" s="330"/>
      <c r="H44" s="330"/>
      <c r="I44" s="330"/>
      <c r="J44" s="330"/>
      <c r="K44" s="330"/>
      <c r="L44" s="330"/>
      <c r="M44" s="330"/>
      <c r="N44" s="330"/>
      <c r="O44" s="330"/>
      <c r="P44" s="330"/>
      <c r="Q44" s="330"/>
      <c r="R44" s="330"/>
      <c r="S44" s="335"/>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1">
    <mergeCell ref="C6:E6"/>
    <mergeCell ref="C19:C20"/>
    <mergeCell ref="E19:E20"/>
    <mergeCell ref="C27:C28"/>
    <mergeCell ref="B2:S2"/>
    <mergeCell ref="C4:E4"/>
    <mergeCell ref="D13:R13"/>
    <mergeCell ref="D14:R14"/>
    <mergeCell ref="D15:R15"/>
    <mergeCell ref="D16:R16"/>
    <mergeCell ref="D17:R17"/>
    <mergeCell ref="N22:R22"/>
    <mergeCell ref="N23:R23"/>
    <mergeCell ref="O42:R42"/>
    <mergeCell ref="F19:J20"/>
    <mergeCell ref="M19:M20"/>
    <mergeCell ref="N19:R20"/>
    <mergeCell ref="F21:J21"/>
    <mergeCell ref="N21:R21"/>
    <mergeCell ref="F22:J22"/>
    <mergeCell ref="F23:J23"/>
    <mergeCell ref="E33:R33"/>
    <mergeCell ref="E34:R34"/>
    <mergeCell ref="C35:R35"/>
    <mergeCell ref="F24:J24"/>
    <mergeCell ref="N24:R24"/>
    <mergeCell ref="F25:J25"/>
    <mergeCell ref="E27:R28"/>
    <mergeCell ref="E30:R30"/>
    <mergeCell ref="E31:R31"/>
    <mergeCell ref="E32:R32"/>
  </mergeCells>
  <printOptions horizontalCentered="1" verticalCentered="1"/>
  <pageMargins bottom="0.0" footer="0.0" header="0.0" left="0.25" right="0.25" top="0.0"/>
  <pageSetup paperSize="9" scale="50" orientation="portrait"/>
  <headerFooter>
    <oddFooter>&amp;CPage &amp;P of</oddFoot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workbookViewId="0"/>
  </sheetViews>
  <sheetFormatPr customHeight="1" defaultColWidth="12.63" defaultRowHeight="15.0"/>
  <cols>
    <col customWidth="1" min="1" max="1" width="3.5"/>
    <col customWidth="1" min="2" max="2" width="3.0"/>
    <col customWidth="1" min="3" max="3" width="7.88"/>
    <col customWidth="1" min="4" max="4" width="1.63"/>
    <col customWidth="1" min="5" max="5" width="4.5"/>
    <col customWidth="1" min="6" max="6" width="5.63"/>
    <col customWidth="1" min="7" max="7" width="8.25"/>
    <col customWidth="1" min="8" max="8" width="2.38"/>
    <col customWidth="1" min="9" max="10" width="2.13"/>
    <col customWidth="1" min="11" max="11" width="2.0"/>
    <col customWidth="1" min="12" max="12" width="4.5"/>
    <col customWidth="1" min="13" max="13" width="4.63"/>
    <col customWidth="1" min="14" max="14" width="4.75"/>
    <col customWidth="1" min="15" max="15" width="3.0"/>
    <col customWidth="1" min="16" max="16" width="7.88"/>
    <col customWidth="1" min="17" max="17" width="1.63"/>
    <col customWidth="1" min="18" max="18" width="4.5"/>
    <col customWidth="1" min="19" max="19" width="5.38"/>
    <col customWidth="1" min="20" max="20" width="8.25"/>
    <col customWidth="1" min="21" max="21" width="2.38"/>
    <col customWidth="1" min="22" max="23" width="2.13"/>
    <col customWidth="1" min="24" max="24" width="2.0"/>
    <col customWidth="1" min="25" max="25" width="4.5"/>
    <col customWidth="1" min="26" max="26" width="5.13"/>
    <col customWidth="1" min="27" max="27" width="4.75"/>
    <col customWidth="1" min="28" max="28" width="3.0"/>
    <col customWidth="1" min="29" max="29" width="7.88"/>
    <col customWidth="1" min="30" max="30" width="1.63"/>
    <col customWidth="1" min="31" max="31" width="4.5"/>
    <col customWidth="1" min="32" max="32" width="5.38"/>
    <col customWidth="1" min="33" max="33" width="8.25"/>
    <col customWidth="1" min="34" max="34" width="2.38"/>
    <col customWidth="1" min="35" max="36" width="2.13"/>
    <col customWidth="1" min="37" max="37" width="2.0"/>
    <col customWidth="1" min="38" max="38" width="4.5"/>
    <col customWidth="1" min="39" max="39" width="5.63"/>
    <col customWidth="1" min="40" max="40" width="3.5"/>
    <col customWidth="1" min="41" max="41" width="3.0"/>
    <col customWidth="1" min="42" max="42" width="7.88"/>
    <col customWidth="1" min="43" max="43" width="1.63"/>
    <col customWidth="1" min="44" max="44" width="4.5"/>
    <col customWidth="1" min="45" max="45" width="5.88"/>
    <col customWidth="1" min="46" max="46" width="8.25"/>
    <col customWidth="1" min="47" max="47" width="2.38"/>
    <col customWidth="1" min="48" max="49" width="2.13"/>
    <col customWidth="1" min="50" max="50" width="2.0"/>
    <col customWidth="1" min="51" max="51" width="4.5"/>
    <col customWidth="1" min="52" max="52" width="4.63"/>
    <col customWidth="1" min="53" max="53" width="2.0"/>
    <col customWidth="1" min="54" max="54" width="12.38"/>
    <col customWidth="1" min="55" max="57" width="7.88"/>
    <col customWidth="1" min="58" max="58" width="9.63"/>
    <col customWidth="1" min="59" max="62" width="7.88"/>
    <col customWidth="1" min="63" max="64" width="12.0"/>
  </cols>
  <sheetData>
    <row r="2">
      <c r="A2" s="8" t="str">
        <f>BB3</f>
        <v>PK-AZD</v>
      </c>
      <c r="B2" s="9"/>
      <c r="C2" s="9"/>
      <c r="D2" s="9"/>
      <c r="E2" s="9"/>
      <c r="F2" s="13"/>
      <c r="N2" s="367"/>
      <c r="AA2" s="367"/>
      <c r="AN2" s="367"/>
      <c r="BB2" s="16">
        <f>TODAY()</f>
        <v>46278</v>
      </c>
      <c r="BC2" s="368"/>
      <c r="BD2" s="368"/>
      <c r="BE2" s="368"/>
      <c r="BF2" s="368"/>
      <c r="BG2" s="368"/>
      <c r="BH2" s="18" t="s">
        <v>0</v>
      </c>
      <c r="BI2" s="6"/>
      <c r="BJ2" s="368"/>
      <c r="BK2" s="368"/>
      <c r="BL2" s="368"/>
    </row>
    <row r="3">
      <c r="A3" s="30" t="s">
        <v>4</v>
      </c>
      <c r="B3" s="32"/>
      <c r="C3" s="32"/>
      <c r="D3" s="32"/>
      <c r="E3" s="32"/>
      <c r="F3" s="32"/>
      <c r="G3" s="32"/>
      <c r="H3" s="32"/>
      <c r="I3" s="32"/>
      <c r="J3" s="32"/>
      <c r="K3" s="32"/>
      <c r="L3" s="32"/>
      <c r="M3" s="35"/>
      <c r="N3" s="30" t="s">
        <v>4</v>
      </c>
      <c r="O3" s="32"/>
      <c r="P3" s="32"/>
      <c r="Q3" s="32"/>
      <c r="R3" s="32"/>
      <c r="S3" s="32"/>
      <c r="T3" s="32"/>
      <c r="U3" s="32"/>
      <c r="V3" s="32"/>
      <c r="W3" s="32"/>
      <c r="X3" s="32"/>
      <c r="Y3" s="32"/>
      <c r="Z3" s="35"/>
      <c r="AA3" s="30" t="s">
        <v>4</v>
      </c>
      <c r="AB3" s="32"/>
      <c r="AC3" s="32"/>
      <c r="AD3" s="32"/>
      <c r="AE3" s="32"/>
      <c r="AF3" s="32"/>
      <c r="AG3" s="32"/>
      <c r="AH3" s="32"/>
      <c r="AI3" s="32"/>
      <c r="AJ3" s="32"/>
      <c r="AK3" s="32"/>
      <c r="AL3" s="32"/>
      <c r="AM3" s="35"/>
      <c r="AN3" s="30" t="s">
        <v>4</v>
      </c>
      <c r="AO3" s="32"/>
      <c r="AP3" s="32"/>
      <c r="AQ3" s="32"/>
      <c r="AR3" s="32"/>
      <c r="AS3" s="32"/>
      <c r="AT3" s="32"/>
      <c r="AU3" s="32"/>
      <c r="AV3" s="32"/>
      <c r="AW3" s="32"/>
      <c r="AX3" s="32"/>
      <c r="AY3" s="32"/>
      <c r="AZ3" s="35"/>
      <c r="BB3" s="37" t="s">
        <v>154</v>
      </c>
      <c r="BC3" s="368"/>
      <c r="BD3" s="368"/>
      <c r="BE3" s="368"/>
      <c r="BF3" s="368"/>
      <c r="BG3" s="368"/>
      <c r="BH3" s="41">
        <f>BE4-BJ3</f>
        <v>0.1597222222</v>
      </c>
      <c r="BI3" s="12"/>
      <c r="BJ3" s="44">
        <v>0.25</v>
      </c>
      <c r="BK3" s="368"/>
      <c r="BL3" s="368"/>
    </row>
    <row r="4">
      <c r="A4" s="56"/>
      <c r="B4" s="48" t="s">
        <v>19</v>
      </c>
      <c r="C4" s="49"/>
      <c r="D4" s="49"/>
      <c r="E4" s="49"/>
      <c r="F4" s="49"/>
      <c r="G4" s="51"/>
      <c r="H4" s="51"/>
      <c r="I4" s="51"/>
      <c r="J4" s="54">
        <v>1.0</v>
      </c>
      <c r="K4" s="9"/>
      <c r="L4" s="13"/>
      <c r="M4" s="55"/>
      <c r="N4" s="46"/>
      <c r="O4" s="48" t="s">
        <v>19</v>
      </c>
      <c r="P4" s="49"/>
      <c r="Q4" s="49"/>
      <c r="R4" s="49"/>
      <c r="S4" s="49"/>
      <c r="T4" s="51"/>
      <c r="U4" s="51"/>
      <c r="V4" s="51"/>
      <c r="W4" s="54">
        <v>2.0</v>
      </c>
      <c r="X4" s="9"/>
      <c r="Y4" s="13"/>
      <c r="Z4" s="55"/>
      <c r="AA4" s="46"/>
      <c r="AB4" s="48" t="s">
        <v>19</v>
      </c>
      <c r="AC4" s="49"/>
      <c r="AD4" s="49"/>
      <c r="AE4" s="49"/>
      <c r="AF4" s="49"/>
      <c r="AG4" s="51"/>
      <c r="AH4" s="51"/>
      <c r="AI4" s="51"/>
      <c r="AJ4" s="54">
        <v>3.0</v>
      </c>
      <c r="AK4" s="9"/>
      <c r="AL4" s="13"/>
      <c r="AM4" s="55"/>
      <c r="AN4" s="46"/>
      <c r="AO4" s="48" t="s">
        <v>19</v>
      </c>
      <c r="AP4" s="49"/>
      <c r="AQ4" s="49"/>
      <c r="AR4" s="49"/>
      <c r="AS4" s="49"/>
      <c r="AT4" s="51"/>
      <c r="AU4" s="51"/>
      <c r="AV4" s="51"/>
      <c r="AW4" s="54">
        <v>4.0</v>
      </c>
      <c r="AX4" s="9"/>
      <c r="AY4" s="13"/>
      <c r="AZ4" s="55"/>
      <c r="BB4" s="164" t="s">
        <v>155</v>
      </c>
      <c r="BC4" s="65" t="s">
        <v>156</v>
      </c>
      <c r="BD4" s="65" t="s">
        <v>13</v>
      </c>
      <c r="BE4" s="67">
        <v>0.409722222222222</v>
      </c>
      <c r="BF4" s="67">
        <v>0.607638888888889</v>
      </c>
      <c r="BG4" s="368"/>
      <c r="BH4" s="368"/>
      <c r="BI4" s="368"/>
      <c r="BJ4" s="368"/>
      <c r="BK4" s="368"/>
      <c r="BL4" s="368"/>
    </row>
    <row r="5">
      <c r="A5" s="56"/>
      <c r="B5" s="68"/>
      <c r="C5" s="68"/>
      <c r="D5" s="69"/>
      <c r="E5" s="70"/>
      <c r="F5" s="70"/>
      <c r="G5" s="70"/>
      <c r="H5" s="70"/>
      <c r="I5" s="70"/>
      <c r="J5" s="69"/>
      <c r="K5" s="69"/>
      <c r="L5" s="73"/>
      <c r="M5" s="55"/>
      <c r="N5" s="46"/>
      <c r="O5" s="68"/>
      <c r="P5" s="68"/>
      <c r="Q5" s="69"/>
      <c r="R5" s="70"/>
      <c r="S5" s="70"/>
      <c r="T5" s="70"/>
      <c r="U5" s="70"/>
      <c r="V5" s="70"/>
      <c r="W5" s="69"/>
      <c r="X5" s="69"/>
      <c r="Y5" s="73"/>
      <c r="Z5" s="55"/>
      <c r="AA5" s="46"/>
      <c r="AB5" s="68"/>
      <c r="AC5" s="68"/>
      <c r="AD5" s="69"/>
      <c r="AE5" s="70"/>
      <c r="AF5" s="70"/>
      <c r="AG5" s="70"/>
      <c r="AH5" s="70"/>
      <c r="AI5" s="70"/>
      <c r="AJ5" s="69"/>
      <c r="AK5" s="69"/>
      <c r="AL5" s="73"/>
      <c r="AM5" s="55"/>
      <c r="AN5" s="46"/>
      <c r="AO5" s="68"/>
      <c r="AP5" s="68"/>
      <c r="AQ5" s="69"/>
      <c r="AR5" s="70"/>
      <c r="AS5" s="70"/>
      <c r="AT5" s="70"/>
      <c r="AU5" s="70"/>
      <c r="AV5" s="70"/>
      <c r="AW5" s="69"/>
      <c r="AX5" s="69"/>
      <c r="AY5" s="73"/>
      <c r="AZ5" s="55"/>
      <c r="BB5" s="402" t="s">
        <v>158</v>
      </c>
      <c r="BC5" s="402" t="str">
        <f>BD4</f>
        <v>CGK</v>
      </c>
      <c r="BD5" s="402" t="s">
        <v>13</v>
      </c>
      <c r="BE5" s="403">
        <v>0.659722222222222</v>
      </c>
      <c r="BF5" s="403">
        <v>0.736111111111111</v>
      </c>
      <c r="BG5" s="368"/>
      <c r="BH5" s="368"/>
      <c r="BI5" s="368"/>
      <c r="BJ5" s="368"/>
      <c r="BK5" s="368"/>
      <c r="BL5" s="368"/>
    </row>
    <row r="6" ht="18.0" customHeight="1">
      <c r="A6" s="56"/>
      <c r="B6" s="85" t="s">
        <v>42</v>
      </c>
      <c r="C6" s="87"/>
      <c r="D6" s="88"/>
      <c r="E6" s="404" t="str">
        <f>BB4</f>
        <v>AWQ 533</v>
      </c>
      <c r="F6" s="88"/>
      <c r="G6" s="405" t="s">
        <v>43</v>
      </c>
      <c r="H6" s="91"/>
      <c r="I6" s="87"/>
      <c r="J6" s="87"/>
      <c r="K6" s="87"/>
      <c r="L6" s="88"/>
      <c r="M6" s="55"/>
      <c r="N6" s="46"/>
      <c r="O6" s="85" t="s">
        <v>42</v>
      </c>
      <c r="P6" s="87"/>
      <c r="Q6" s="88"/>
      <c r="R6" s="91" t="str">
        <f>BB5</f>
        <v>AWQ 7533</v>
      </c>
      <c r="S6" s="88"/>
      <c r="T6" s="405" t="s">
        <v>43</v>
      </c>
      <c r="U6" s="91"/>
      <c r="V6" s="87"/>
      <c r="W6" s="87"/>
      <c r="X6" s="87"/>
      <c r="Y6" s="88"/>
      <c r="Z6" s="55"/>
      <c r="AA6" s="46"/>
      <c r="AB6" s="85" t="s">
        <v>42</v>
      </c>
      <c r="AC6" s="87"/>
      <c r="AD6" s="88"/>
      <c r="AE6" s="91" t="str">
        <f>BB6</f>
        <v>AWQ 802</v>
      </c>
      <c r="AF6" s="88"/>
      <c r="AG6" s="405" t="s">
        <v>43</v>
      </c>
      <c r="AH6" s="91"/>
      <c r="AI6" s="87"/>
      <c r="AJ6" s="87"/>
      <c r="AK6" s="87"/>
      <c r="AL6" s="88"/>
      <c r="AM6" s="55"/>
      <c r="AN6" s="46"/>
      <c r="AO6" s="85" t="s">
        <v>42</v>
      </c>
      <c r="AP6" s="87"/>
      <c r="AQ6" s="88"/>
      <c r="AR6" s="91" t="str">
        <f>BB7</f>
        <v>AWQ 803</v>
      </c>
      <c r="AS6" s="88"/>
      <c r="AT6" s="405" t="s">
        <v>43</v>
      </c>
      <c r="AU6" s="91"/>
      <c r="AV6" s="87"/>
      <c r="AW6" s="87"/>
      <c r="AX6" s="87"/>
      <c r="AY6" s="88"/>
      <c r="AZ6" s="55"/>
      <c r="BB6" s="105" t="s">
        <v>159</v>
      </c>
      <c r="BC6" s="105" t="s">
        <v>13</v>
      </c>
      <c r="BD6" s="105" t="s">
        <v>160</v>
      </c>
      <c r="BE6" s="106">
        <v>0.4375</v>
      </c>
      <c r="BF6" s="106">
        <v>0.510416666666667</v>
      </c>
      <c r="BG6" s="368"/>
      <c r="BH6" s="368"/>
      <c r="BI6" s="368"/>
      <c r="BJ6" s="368"/>
      <c r="BK6" s="368"/>
      <c r="BL6" s="368"/>
    </row>
    <row r="7" ht="18.0" customHeight="1">
      <c r="A7" s="56"/>
      <c r="B7" s="85" t="s">
        <v>57</v>
      </c>
      <c r="C7" s="87"/>
      <c r="D7" s="88"/>
      <c r="E7" s="408" t="str">
        <f>BB3</f>
        <v>PK-AZD</v>
      </c>
      <c r="F7" s="88"/>
      <c r="G7" s="405" t="s">
        <v>59</v>
      </c>
      <c r="H7" s="109">
        <f>BE4</f>
        <v>0.4097222222</v>
      </c>
      <c r="I7" s="87"/>
      <c r="J7" s="87"/>
      <c r="K7" s="87"/>
      <c r="L7" s="88"/>
      <c r="M7" s="110"/>
      <c r="N7" s="46"/>
      <c r="O7" s="85" t="s">
        <v>57</v>
      </c>
      <c r="P7" s="87"/>
      <c r="Q7" s="88"/>
      <c r="R7" s="107" t="str">
        <f>E7</f>
        <v>PK-AZD</v>
      </c>
      <c r="S7" s="88"/>
      <c r="T7" s="405" t="s">
        <v>59</v>
      </c>
      <c r="U7" s="109">
        <f>BE5</f>
        <v>0.6597222222</v>
      </c>
      <c r="V7" s="87"/>
      <c r="W7" s="87"/>
      <c r="X7" s="87"/>
      <c r="Y7" s="88"/>
      <c r="Z7" s="110"/>
      <c r="AA7" s="46"/>
      <c r="AB7" s="85" t="s">
        <v>57</v>
      </c>
      <c r="AC7" s="87"/>
      <c r="AD7" s="88"/>
      <c r="AE7" s="107" t="str">
        <f>R7</f>
        <v>PK-AZD</v>
      </c>
      <c r="AF7" s="88"/>
      <c r="AG7" s="405" t="s">
        <v>59</v>
      </c>
      <c r="AH7" s="109">
        <f>BE6</f>
        <v>0.4375</v>
      </c>
      <c r="AI7" s="87"/>
      <c r="AJ7" s="87"/>
      <c r="AK7" s="87"/>
      <c r="AL7" s="88"/>
      <c r="AM7" s="110"/>
      <c r="AN7" s="46"/>
      <c r="AO7" s="85" t="s">
        <v>57</v>
      </c>
      <c r="AP7" s="87"/>
      <c r="AQ7" s="88"/>
      <c r="AR7" s="107" t="str">
        <f>AE7</f>
        <v>PK-AZD</v>
      </c>
      <c r="AS7" s="88"/>
      <c r="AT7" s="405" t="s">
        <v>59</v>
      </c>
      <c r="AU7" s="109">
        <f>BE7</f>
        <v>0.5277777778</v>
      </c>
      <c r="AV7" s="87"/>
      <c r="AW7" s="87"/>
      <c r="AX7" s="87"/>
      <c r="AY7" s="88"/>
      <c r="AZ7" s="110"/>
      <c r="BB7" s="105" t="s">
        <v>162</v>
      </c>
      <c r="BC7" s="105" t="s">
        <v>160</v>
      </c>
      <c r="BD7" s="105" t="s">
        <v>13</v>
      </c>
      <c r="BE7" s="106">
        <v>0.527777777777778</v>
      </c>
      <c r="BF7" s="106">
        <v>0.600694444444444</v>
      </c>
      <c r="BG7" s="368"/>
      <c r="BH7" s="368"/>
      <c r="BI7" s="368"/>
      <c r="BJ7" s="368"/>
      <c r="BK7" s="368"/>
      <c r="BL7" s="368"/>
    </row>
    <row r="8" ht="18.0" customHeight="1">
      <c r="A8" s="56"/>
      <c r="B8" s="85" t="s">
        <v>65</v>
      </c>
      <c r="C8" s="87"/>
      <c r="D8" s="88"/>
      <c r="E8" s="404" t="str">
        <f>BC4</f>
        <v>PER</v>
      </c>
      <c r="F8" s="88"/>
      <c r="G8" s="405" t="s">
        <v>67</v>
      </c>
      <c r="H8" s="118">
        <f>BD11</f>
        <v>0</v>
      </c>
      <c r="I8" s="87"/>
      <c r="J8" s="87"/>
      <c r="K8" s="87"/>
      <c r="L8" s="88"/>
      <c r="M8" s="110"/>
      <c r="N8" s="46"/>
      <c r="O8" s="85" t="s">
        <v>65</v>
      </c>
      <c r="P8" s="87"/>
      <c r="Q8" s="88"/>
      <c r="R8" s="91" t="str">
        <f>BC5</f>
        <v>CGK</v>
      </c>
      <c r="S8" s="88"/>
      <c r="T8" s="405" t="s">
        <v>67</v>
      </c>
      <c r="U8" s="118" t="str">
        <f>BD12</f>
        <v/>
      </c>
      <c r="V8" s="87"/>
      <c r="W8" s="87"/>
      <c r="X8" s="87"/>
      <c r="Y8" s="88"/>
      <c r="Z8" s="110"/>
      <c r="AA8" s="46"/>
      <c r="AB8" s="85" t="s">
        <v>65</v>
      </c>
      <c r="AC8" s="87"/>
      <c r="AD8" s="88"/>
      <c r="AE8" s="91" t="str">
        <f>BC6</f>
        <v>CGK</v>
      </c>
      <c r="AF8" s="88"/>
      <c r="AG8" s="405" t="s">
        <v>67</v>
      </c>
      <c r="AH8" s="118" t="str">
        <f>BD13</f>
        <v/>
      </c>
      <c r="AI8" s="87"/>
      <c r="AJ8" s="87"/>
      <c r="AK8" s="87"/>
      <c r="AL8" s="88"/>
      <c r="AM8" s="110"/>
      <c r="AN8" s="46"/>
      <c r="AO8" s="85" t="s">
        <v>65</v>
      </c>
      <c r="AP8" s="87"/>
      <c r="AQ8" s="88"/>
      <c r="AR8" s="91" t="str">
        <f>BC7</f>
        <v>PKU</v>
      </c>
      <c r="AS8" s="88"/>
      <c r="AT8" s="405" t="s">
        <v>67</v>
      </c>
      <c r="AU8" s="118" t="str">
        <f>BD14</f>
        <v/>
      </c>
      <c r="AV8" s="87"/>
      <c r="AW8" s="87"/>
      <c r="AX8" s="87"/>
      <c r="AY8" s="88"/>
      <c r="AZ8" s="110"/>
      <c r="BB8" s="368"/>
      <c r="BC8" s="368"/>
      <c r="BD8" s="368"/>
      <c r="BE8" s="368"/>
      <c r="BF8" s="368"/>
      <c r="BG8" s="368"/>
      <c r="BH8" s="368"/>
      <c r="BI8" s="368"/>
      <c r="BJ8" s="368"/>
      <c r="BK8" s="368"/>
      <c r="BL8" s="368"/>
    </row>
    <row r="9" ht="18.0" customHeight="1">
      <c r="A9" s="56"/>
      <c r="B9" s="85" t="s">
        <v>71</v>
      </c>
      <c r="C9" s="87"/>
      <c r="D9" s="88"/>
      <c r="E9" s="412">
        <f>BB2-1</f>
        <v>46277</v>
      </c>
      <c r="F9" s="88"/>
      <c r="G9" s="405" t="s">
        <v>72</v>
      </c>
      <c r="H9" s="118" t="str">
        <f>BB11</f>
        <v/>
      </c>
      <c r="I9" s="87"/>
      <c r="J9" s="87"/>
      <c r="K9" s="87"/>
      <c r="L9" s="88"/>
      <c r="M9" s="110"/>
      <c r="N9" s="46"/>
      <c r="O9" s="85" t="s">
        <v>71</v>
      </c>
      <c r="P9" s="87"/>
      <c r="Q9" s="88"/>
      <c r="R9" s="122">
        <f>E9+1</f>
        <v>46278</v>
      </c>
      <c r="S9" s="88"/>
      <c r="T9" s="405" t="s">
        <v>72</v>
      </c>
      <c r="U9" s="118" t="str">
        <f>BB12</f>
        <v/>
      </c>
      <c r="V9" s="87"/>
      <c r="W9" s="87"/>
      <c r="X9" s="87"/>
      <c r="Y9" s="88"/>
      <c r="Z9" s="110"/>
      <c r="AA9" s="46"/>
      <c r="AB9" s="85" t="s">
        <v>71</v>
      </c>
      <c r="AC9" s="87"/>
      <c r="AD9" s="88"/>
      <c r="AE9" s="122">
        <f>R9</f>
        <v>46278</v>
      </c>
      <c r="AF9" s="88"/>
      <c r="AG9" s="405" t="s">
        <v>72</v>
      </c>
      <c r="AH9" s="118" t="str">
        <f>BB13</f>
        <v/>
      </c>
      <c r="AI9" s="87"/>
      <c r="AJ9" s="87"/>
      <c r="AK9" s="87"/>
      <c r="AL9" s="88"/>
      <c r="AM9" s="110"/>
      <c r="AN9" s="46"/>
      <c r="AO9" s="85" t="s">
        <v>71</v>
      </c>
      <c r="AP9" s="87"/>
      <c r="AQ9" s="88"/>
      <c r="AR9" s="122">
        <f>AE9</f>
        <v>46278</v>
      </c>
      <c r="AS9" s="88"/>
      <c r="AT9" s="405" t="s">
        <v>72</v>
      </c>
      <c r="AU9" s="118" t="str">
        <f>BB14</f>
        <v/>
      </c>
      <c r="AV9" s="87"/>
      <c r="AW9" s="87"/>
      <c r="AX9" s="87"/>
      <c r="AY9" s="88"/>
      <c r="AZ9" s="110"/>
      <c r="BB9" s="368"/>
      <c r="BC9" s="368"/>
      <c r="BD9" s="368"/>
      <c r="BE9" s="368"/>
      <c r="BF9" s="368"/>
      <c r="BG9" s="368"/>
      <c r="BH9" s="368"/>
      <c r="BI9" s="368"/>
      <c r="BJ9" s="368"/>
      <c r="BK9" s="368"/>
      <c r="BL9" s="368"/>
    </row>
    <row r="10" ht="23.25" customHeight="1">
      <c r="A10" s="56"/>
      <c r="B10" s="136"/>
      <c r="C10" s="136"/>
      <c r="D10" s="137"/>
      <c r="E10" s="413"/>
      <c r="F10" s="414"/>
      <c r="G10" s="414"/>
      <c r="H10" s="415"/>
      <c r="I10" s="414"/>
      <c r="J10" s="414"/>
      <c r="K10" s="414"/>
      <c r="L10" s="414"/>
      <c r="M10" s="142"/>
      <c r="N10" s="46"/>
      <c r="O10" s="136"/>
      <c r="P10" s="136"/>
      <c r="Q10" s="137"/>
      <c r="R10" s="413"/>
      <c r="S10" s="414"/>
      <c r="T10" s="414"/>
      <c r="U10" s="415"/>
      <c r="V10" s="414"/>
      <c r="W10" s="414"/>
      <c r="X10" s="414"/>
      <c r="Y10" s="414"/>
      <c r="Z10" s="142"/>
      <c r="AA10" s="46"/>
      <c r="AB10" s="136"/>
      <c r="AC10" s="136"/>
      <c r="AD10" s="137"/>
      <c r="AE10" s="413"/>
      <c r="AF10" s="414"/>
      <c r="AG10" s="414"/>
      <c r="AH10" s="415"/>
      <c r="AI10" s="414"/>
      <c r="AJ10" s="414"/>
      <c r="AK10" s="414"/>
      <c r="AL10" s="414"/>
      <c r="AM10" s="142"/>
      <c r="AN10" s="46"/>
      <c r="AO10" s="136"/>
      <c r="AP10" s="136"/>
      <c r="AQ10" s="137"/>
      <c r="AR10" s="413"/>
      <c r="AS10" s="414"/>
      <c r="AT10" s="414"/>
      <c r="AU10" s="415"/>
      <c r="AV10" s="414"/>
      <c r="AW10" s="414"/>
      <c r="AX10" s="414"/>
      <c r="AY10" s="414"/>
      <c r="AZ10" s="142"/>
      <c r="BB10" s="149" t="s">
        <v>28</v>
      </c>
      <c r="BC10" s="149" t="s">
        <v>29</v>
      </c>
      <c r="BD10" s="149" t="s">
        <v>147</v>
      </c>
      <c r="BE10" s="149" t="s">
        <v>31</v>
      </c>
      <c r="BF10" s="149" t="s">
        <v>32</v>
      </c>
      <c r="BG10" s="149" t="s">
        <v>79</v>
      </c>
      <c r="BH10" s="149" t="s">
        <v>33</v>
      </c>
      <c r="BI10" s="149" t="s">
        <v>34</v>
      </c>
      <c r="BJ10" s="149" t="s">
        <v>35</v>
      </c>
      <c r="BK10" s="368"/>
      <c r="BL10" s="368"/>
    </row>
    <row r="11" ht="18.0" customHeight="1">
      <c r="A11" s="56"/>
      <c r="B11" s="151" t="s">
        <v>81</v>
      </c>
      <c r="C11" s="151"/>
      <c r="D11" s="151"/>
      <c r="E11" s="69"/>
      <c r="F11" s="69"/>
      <c r="G11" s="153">
        <v>66000.0</v>
      </c>
      <c r="H11" s="87"/>
      <c r="I11" s="87"/>
      <c r="J11" s="87"/>
      <c r="K11" s="87"/>
      <c r="L11" s="88"/>
      <c r="M11" s="154"/>
      <c r="N11" s="46"/>
      <c r="O11" s="151" t="s">
        <v>81</v>
      </c>
      <c r="P11" s="151"/>
      <c r="Q11" s="151"/>
      <c r="R11" s="156"/>
      <c r="S11" s="156"/>
      <c r="T11" s="153">
        <v>66000.0</v>
      </c>
      <c r="U11" s="87"/>
      <c r="V11" s="87"/>
      <c r="W11" s="87"/>
      <c r="X11" s="87"/>
      <c r="Y11" s="88"/>
      <c r="Z11" s="154"/>
      <c r="AA11" s="46"/>
      <c r="AB11" s="151" t="s">
        <v>81</v>
      </c>
      <c r="AC11" s="151"/>
      <c r="AD11" s="151"/>
      <c r="AE11" s="156"/>
      <c r="AF11" s="156"/>
      <c r="AG11" s="153">
        <v>66000.0</v>
      </c>
      <c r="AH11" s="87"/>
      <c r="AI11" s="87"/>
      <c r="AJ11" s="87"/>
      <c r="AK11" s="87"/>
      <c r="AL11" s="88"/>
      <c r="AM11" s="154"/>
      <c r="AN11" s="46"/>
      <c r="AO11" s="151" t="s">
        <v>81</v>
      </c>
      <c r="AP11" s="151"/>
      <c r="AQ11" s="151"/>
      <c r="AR11" s="156"/>
      <c r="AS11" s="156"/>
      <c r="AT11" s="153">
        <v>66000.0</v>
      </c>
      <c r="AU11" s="87"/>
      <c r="AV11" s="87"/>
      <c r="AW11" s="87"/>
      <c r="AX11" s="87"/>
      <c r="AY11" s="88"/>
      <c r="AZ11" s="154"/>
      <c r="BB11" s="179"/>
      <c r="BC11" s="179">
        <v>500.0</v>
      </c>
      <c r="BD11" s="179">
        <v>0.0</v>
      </c>
      <c r="BE11" s="179">
        <v>0.0</v>
      </c>
      <c r="BF11" s="179">
        <f>96+96</f>
        <v>192</v>
      </c>
      <c r="BG11" s="179"/>
      <c r="BH11" s="179" t="s">
        <v>69</v>
      </c>
      <c r="BI11" s="179">
        <v>1000.0</v>
      </c>
      <c r="BJ11" s="380">
        <v>27.65</v>
      </c>
      <c r="BK11" s="368"/>
      <c r="BL11" s="368"/>
    </row>
    <row r="12" ht="18.0" customHeight="1">
      <c r="A12" s="56"/>
      <c r="B12" s="151" t="s">
        <v>86</v>
      </c>
      <c r="C12" s="151"/>
      <c r="D12" s="151"/>
      <c r="E12" s="69"/>
      <c r="F12" s="69"/>
      <c r="G12" s="172">
        <f>H8</f>
        <v>0</v>
      </c>
      <c r="H12" s="87"/>
      <c r="I12" s="87"/>
      <c r="J12" s="87"/>
      <c r="K12" s="87"/>
      <c r="L12" s="88"/>
      <c r="M12" s="110"/>
      <c r="N12" s="46"/>
      <c r="O12" s="151" t="s">
        <v>86</v>
      </c>
      <c r="P12" s="151"/>
      <c r="Q12" s="151"/>
      <c r="R12" s="156"/>
      <c r="S12" s="156"/>
      <c r="T12" s="172" t="str">
        <f>U8</f>
        <v/>
      </c>
      <c r="U12" s="87"/>
      <c r="V12" s="87"/>
      <c r="W12" s="87"/>
      <c r="X12" s="87"/>
      <c r="Y12" s="88"/>
      <c r="Z12" s="110"/>
      <c r="AA12" s="46"/>
      <c r="AB12" s="151" t="s">
        <v>86</v>
      </c>
      <c r="AC12" s="151"/>
      <c r="AD12" s="151"/>
      <c r="AE12" s="156"/>
      <c r="AF12" s="156"/>
      <c r="AG12" s="172" t="str">
        <f>AH8</f>
        <v/>
      </c>
      <c r="AH12" s="87"/>
      <c r="AI12" s="87"/>
      <c r="AJ12" s="87"/>
      <c r="AK12" s="87"/>
      <c r="AL12" s="88"/>
      <c r="AM12" s="110"/>
      <c r="AN12" s="46"/>
      <c r="AO12" s="151" t="s">
        <v>86</v>
      </c>
      <c r="AP12" s="151"/>
      <c r="AQ12" s="151"/>
      <c r="AR12" s="156"/>
      <c r="AS12" s="156"/>
      <c r="AT12" s="172" t="str">
        <f>AU8</f>
        <v/>
      </c>
      <c r="AU12" s="87"/>
      <c r="AV12" s="87"/>
      <c r="AW12" s="87"/>
      <c r="AX12" s="87"/>
      <c r="AY12" s="88"/>
      <c r="AZ12" s="110"/>
      <c r="BB12" s="416"/>
      <c r="BC12" s="416"/>
      <c r="BD12" s="416"/>
      <c r="BE12" s="416"/>
      <c r="BF12" s="416"/>
      <c r="BG12" s="416"/>
      <c r="BH12" s="416"/>
      <c r="BI12" s="417"/>
      <c r="BJ12" s="418"/>
      <c r="BK12" s="368"/>
      <c r="BL12" s="368"/>
    </row>
    <row r="13" ht="18.0" customHeight="1">
      <c r="A13" s="56"/>
      <c r="B13" s="151" t="s">
        <v>87</v>
      </c>
      <c r="C13" s="151"/>
      <c r="D13" s="151"/>
      <c r="E13" s="69"/>
      <c r="F13" s="419" t="s">
        <v>88</v>
      </c>
      <c r="G13" s="181">
        <f>G11+G12</f>
        <v>66000</v>
      </c>
      <c r="H13" s="87"/>
      <c r="I13" s="87"/>
      <c r="J13" s="87"/>
      <c r="K13" s="87"/>
      <c r="L13" s="88"/>
      <c r="M13" s="110"/>
      <c r="N13" s="46"/>
      <c r="O13" s="151" t="s">
        <v>87</v>
      </c>
      <c r="P13" s="151"/>
      <c r="Q13" s="151"/>
      <c r="R13" s="156"/>
      <c r="S13" s="183" t="s">
        <v>88</v>
      </c>
      <c r="T13" s="181">
        <f>T11+T12</f>
        <v>66000</v>
      </c>
      <c r="U13" s="87"/>
      <c r="V13" s="87"/>
      <c r="W13" s="87"/>
      <c r="X13" s="87"/>
      <c r="Y13" s="88"/>
      <c r="Z13" s="110"/>
      <c r="AA13" s="46"/>
      <c r="AB13" s="151" t="s">
        <v>87</v>
      </c>
      <c r="AC13" s="151"/>
      <c r="AD13" s="151"/>
      <c r="AE13" s="156"/>
      <c r="AF13" s="183" t="s">
        <v>88</v>
      </c>
      <c r="AG13" s="181">
        <f>AG11+AG12</f>
        <v>66000</v>
      </c>
      <c r="AH13" s="87"/>
      <c r="AI13" s="87"/>
      <c r="AJ13" s="87"/>
      <c r="AK13" s="87"/>
      <c r="AL13" s="88"/>
      <c r="AM13" s="110"/>
      <c r="AN13" s="46"/>
      <c r="AO13" s="151" t="s">
        <v>87</v>
      </c>
      <c r="AP13" s="151"/>
      <c r="AQ13" s="151"/>
      <c r="AR13" s="156"/>
      <c r="AS13" s="183" t="s">
        <v>88</v>
      </c>
      <c r="AT13" s="181">
        <f>AT11+AT12</f>
        <v>66000</v>
      </c>
      <c r="AU13" s="87"/>
      <c r="AV13" s="87"/>
      <c r="AW13" s="87"/>
      <c r="AX13" s="87"/>
      <c r="AY13" s="88"/>
      <c r="AZ13" s="110"/>
      <c r="BB13" s="416"/>
      <c r="BC13" s="416"/>
      <c r="BD13" s="416"/>
      <c r="BE13" s="416"/>
      <c r="BF13" s="416"/>
      <c r="BG13" s="416"/>
      <c r="BH13" s="416"/>
      <c r="BI13" s="416"/>
      <c r="BJ13" s="420"/>
      <c r="BK13" s="368"/>
      <c r="BL13" s="368"/>
    </row>
    <row r="14" ht="18.0" customHeight="1">
      <c r="A14" s="56"/>
      <c r="B14" s="151"/>
      <c r="C14" s="151"/>
      <c r="D14" s="151"/>
      <c r="E14" s="69"/>
      <c r="F14" s="69"/>
      <c r="G14" s="69"/>
      <c r="H14" s="69"/>
      <c r="I14" s="69"/>
      <c r="J14" s="69"/>
      <c r="K14" s="69"/>
      <c r="L14" s="69"/>
      <c r="M14" s="55"/>
      <c r="N14" s="46"/>
      <c r="O14" s="151"/>
      <c r="P14" s="151"/>
      <c r="Q14" s="151"/>
      <c r="R14" s="156"/>
      <c r="S14" s="156"/>
      <c r="T14" s="156"/>
      <c r="U14" s="156"/>
      <c r="V14" s="156"/>
      <c r="W14" s="156"/>
      <c r="X14" s="156"/>
      <c r="Y14" s="156"/>
      <c r="Z14" s="55"/>
      <c r="AA14" s="46"/>
      <c r="AB14" s="151"/>
      <c r="AC14" s="151"/>
      <c r="AD14" s="151"/>
      <c r="AE14" s="156"/>
      <c r="AF14" s="156"/>
      <c r="AG14" s="156"/>
      <c r="AH14" s="156"/>
      <c r="AI14" s="156"/>
      <c r="AJ14" s="156"/>
      <c r="AK14" s="156"/>
      <c r="AL14" s="156"/>
      <c r="AM14" s="55"/>
      <c r="AN14" s="46"/>
      <c r="AO14" s="151"/>
      <c r="AP14" s="151"/>
      <c r="AQ14" s="151"/>
      <c r="AR14" s="156"/>
      <c r="AS14" s="156"/>
      <c r="AT14" s="156"/>
      <c r="AU14" s="156"/>
      <c r="AV14" s="156"/>
      <c r="AW14" s="156"/>
      <c r="AX14" s="156"/>
      <c r="AY14" s="156"/>
      <c r="AZ14" s="55"/>
      <c r="BB14" s="193"/>
      <c r="BC14" s="193"/>
      <c r="BD14" s="193"/>
      <c r="BE14" s="193"/>
      <c r="BF14" s="193"/>
      <c r="BG14" s="193"/>
      <c r="BH14" s="193"/>
      <c r="BI14" s="193"/>
      <c r="BJ14" s="291"/>
      <c r="BK14" s="368"/>
      <c r="BL14" s="368"/>
    </row>
    <row r="15" ht="18.0" customHeight="1">
      <c r="A15" s="56"/>
      <c r="B15" s="195" t="s">
        <v>90</v>
      </c>
      <c r="C15" s="196"/>
      <c r="D15" s="196"/>
      <c r="E15" s="201"/>
      <c r="F15" s="201"/>
      <c r="G15" s="201"/>
      <c r="H15" s="202"/>
      <c r="I15" s="204" t="s">
        <v>91</v>
      </c>
      <c r="J15" s="87"/>
      <c r="K15" s="87"/>
      <c r="L15" s="88"/>
      <c r="M15" s="55"/>
      <c r="N15" s="46"/>
      <c r="O15" s="195" t="s">
        <v>90</v>
      </c>
      <c r="P15" s="196"/>
      <c r="Q15" s="196"/>
      <c r="R15" s="201"/>
      <c r="S15" s="201"/>
      <c r="T15" s="201"/>
      <c r="U15" s="202"/>
      <c r="V15" s="204" t="s">
        <v>91</v>
      </c>
      <c r="W15" s="87"/>
      <c r="X15" s="87"/>
      <c r="Y15" s="88"/>
      <c r="Z15" s="55"/>
      <c r="AA15" s="46"/>
      <c r="AB15" s="195" t="s">
        <v>90</v>
      </c>
      <c r="AC15" s="196"/>
      <c r="AD15" s="196"/>
      <c r="AE15" s="201"/>
      <c r="AF15" s="201"/>
      <c r="AG15" s="201"/>
      <c r="AH15" s="202"/>
      <c r="AI15" s="204" t="s">
        <v>91</v>
      </c>
      <c r="AJ15" s="87"/>
      <c r="AK15" s="87"/>
      <c r="AL15" s="88"/>
      <c r="AM15" s="55"/>
      <c r="AN15" s="46"/>
      <c r="AO15" s="195" t="s">
        <v>90</v>
      </c>
      <c r="AP15" s="196"/>
      <c r="AQ15" s="196"/>
      <c r="AR15" s="201"/>
      <c r="AS15" s="201"/>
      <c r="AT15" s="201"/>
      <c r="AU15" s="202"/>
      <c r="AV15" s="204" t="s">
        <v>91</v>
      </c>
      <c r="AW15" s="87"/>
      <c r="AX15" s="87"/>
      <c r="AY15" s="88"/>
      <c r="AZ15" s="55"/>
      <c r="BB15" s="368"/>
      <c r="BC15" s="368"/>
      <c r="BD15" s="368"/>
      <c r="BE15" s="368"/>
      <c r="BF15" s="368"/>
      <c r="BG15" s="368"/>
      <c r="BH15" s="368"/>
      <c r="BI15" s="368"/>
      <c r="BJ15" s="368"/>
      <c r="BK15" s="368"/>
      <c r="BL15" s="368"/>
    </row>
    <row r="16" ht="18.0" customHeight="1">
      <c r="A16" s="56"/>
      <c r="B16" s="211" t="s">
        <v>92</v>
      </c>
      <c r="C16" s="212"/>
      <c r="D16" s="212"/>
      <c r="E16" s="204" t="s">
        <v>93</v>
      </c>
      <c r="F16" s="87"/>
      <c r="G16" s="87"/>
      <c r="H16" s="88"/>
      <c r="I16" s="204" t="s">
        <v>94</v>
      </c>
      <c r="J16" s="87"/>
      <c r="K16" s="87"/>
      <c r="L16" s="88"/>
      <c r="M16" s="55"/>
      <c r="N16" s="46"/>
      <c r="O16" s="211" t="s">
        <v>92</v>
      </c>
      <c r="P16" s="212"/>
      <c r="Q16" s="212"/>
      <c r="R16" s="204" t="s">
        <v>93</v>
      </c>
      <c r="S16" s="87"/>
      <c r="T16" s="87"/>
      <c r="U16" s="88"/>
      <c r="V16" s="204" t="s">
        <v>94</v>
      </c>
      <c r="W16" s="87"/>
      <c r="X16" s="87"/>
      <c r="Y16" s="88"/>
      <c r="Z16" s="55"/>
      <c r="AA16" s="46"/>
      <c r="AB16" s="211" t="s">
        <v>92</v>
      </c>
      <c r="AC16" s="212"/>
      <c r="AD16" s="212"/>
      <c r="AE16" s="204" t="s">
        <v>93</v>
      </c>
      <c r="AF16" s="87"/>
      <c r="AG16" s="87"/>
      <c r="AH16" s="88"/>
      <c r="AI16" s="204" t="s">
        <v>94</v>
      </c>
      <c r="AJ16" s="87"/>
      <c r="AK16" s="87"/>
      <c r="AL16" s="88"/>
      <c r="AM16" s="55"/>
      <c r="AN16" s="46"/>
      <c r="AO16" s="211" t="s">
        <v>92</v>
      </c>
      <c r="AP16" s="212"/>
      <c r="AQ16" s="212"/>
      <c r="AR16" s="204" t="s">
        <v>93</v>
      </c>
      <c r="AS16" s="87"/>
      <c r="AT16" s="87"/>
      <c r="AU16" s="88"/>
      <c r="AV16" s="204" t="s">
        <v>94</v>
      </c>
      <c r="AW16" s="87"/>
      <c r="AX16" s="87"/>
      <c r="AY16" s="88"/>
      <c r="AZ16" s="55"/>
      <c r="BB16" s="368"/>
      <c r="BC16" s="368"/>
      <c r="BD16" s="368"/>
      <c r="BE16" s="368"/>
      <c r="BF16" s="368"/>
      <c r="BG16" s="368"/>
      <c r="BH16" s="368"/>
      <c r="BI16" s="368"/>
      <c r="BJ16" s="368"/>
      <c r="BK16" s="368"/>
      <c r="BL16" s="368"/>
    </row>
    <row r="17" ht="18.0" customHeight="1">
      <c r="A17" s="56"/>
      <c r="B17" s="195" t="s">
        <v>87</v>
      </c>
      <c r="C17" s="196"/>
      <c r="D17" s="196"/>
      <c r="E17" s="202"/>
      <c r="F17" s="183" t="s">
        <v>99</v>
      </c>
      <c r="G17" s="219">
        <v>73500.0</v>
      </c>
      <c r="H17" s="87"/>
      <c r="I17" s="87"/>
      <c r="J17" s="87"/>
      <c r="K17" s="87"/>
      <c r="L17" s="88"/>
      <c r="M17" s="55"/>
      <c r="N17" s="46"/>
      <c r="O17" s="195" t="s">
        <v>87</v>
      </c>
      <c r="P17" s="196"/>
      <c r="Q17" s="196"/>
      <c r="R17" s="202"/>
      <c r="S17" s="183" t="s">
        <v>99</v>
      </c>
      <c r="T17" s="219">
        <f>G17</f>
        <v>73500</v>
      </c>
      <c r="U17" s="87"/>
      <c r="V17" s="87"/>
      <c r="W17" s="87"/>
      <c r="X17" s="87"/>
      <c r="Y17" s="88"/>
      <c r="Z17" s="55"/>
      <c r="AA17" s="46"/>
      <c r="AB17" s="195" t="s">
        <v>87</v>
      </c>
      <c r="AC17" s="196"/>
      <c r="AD17" s="196"/>
      <c r="AE17" s="202"/>
      <c r="AF17" s="183" t="s">
        <v>99</v>
      </c>
      <c r="AG17" s="219">
        <f>T17</f>
        <v>73500</v>
      </c>
      <c r="AH17" s="87"/>
      <c r="AI17" s="87"/>
      <c r="AJ17" s="87"/>
      <c r="AK17" s="87"/>
      <c r="AL17" s="88"/>
      <c r="AM17" s="55"/>
      <c r="AN17" s="46"/>
      <c r="AO17" s="195" t="s">
        <v>87</v>
      </c>
      <c r="AP17" s="196"/>
      <c r="AQ17" s="196"/>
      <c r="AR17" s="202"/>
      <c r="AS17" s="183" t="s">
        <v>99</v>
      </c>
      <c r="AT17" s="219">
        <f>AG17</f>
        <v>73500</v>
      </c>
      <c r="AU17" s="87"/>
      <c r="AV17" s="87"/>
      <c r="AW17" s="87"/>
      <c r="AX17" s="87"/>
      <c r="AY17" s="88"/>
      <c r="AZ17" s="55"/>
      <c r="BB17" s="228" t="s">
        <v>44</v>
      </c>
      <c r="BC17" s="229" t="s">
        <v>163</v>
      </c>
      <c r="BD17" s="368"/>
      <c r="BE17" s="368"/>
      <c r="BF17" s="368"/>
      <c r="BG17" s="368"/>
      <c r="BH17" s="368"/>
      <c r="BI17" s="368"/>
      <c r="BJ17" s="368"/>
      <c r="BK17" s="368"/>
      <c r="BL17" s="368"/>
    </row>
    <row r="18" ht="18.0" customHeight="1">
      <c r="A18" s="56"/>
      <c r="B18" s="151"/>
      <c r="C18" s="151"/>
      <c r="D18" s="151"/>
      <c r="E18" s="156"/>
      <c r="F18" s="156"/>
      <c r="G18" s="232"/>
      <c r="H18" s="232"/>
      <c r="I18" s="232"/>
      <c r="J18" s="232"/>
      <c r="K18" s="232"/>
      <c r="L18" s="232"/>
      <c r="M18" s="55"/>
      <c r="N18" s="46"/>
      <c r="O18" s="151"/>
      <c r="P18" s="151"/>
      <c r="Q18" s="151"/>
      <c r="R18" s="156"/>
      <c r="S18" s="156"/>
      <c r="T18" s="232"/>
      <c r="U18" s="232"/>
      <c r="V18" s="232"/>
      <c r="W18" s="232"/>
      <c r="X18" s="232"/>
      <c r="Y18" s="232"/>
      <c r="Z18" s="55"/>
      <c r="AA18" s="46"/>
      <c r="AB18" s="151"/>
      <c r="AC18" s="151"/>
      <c r="AD18" s="151"/>
      <c r="AE18" s="156"/>
      <c r="AF18" s="156"/>
      <c r="AG18" s="232"/>
      <c r="AH18" s="232"/>
      <c r="AI18" s="232"/>
      <c r="AJ18" s="232"/>
      <c r="AK18" s="232"/>
      <c r="AL18" s="232"/>
      <c r="AM18" s="55"/>
      <c r="AN18" s="46"/>
      <c r="AO18" s="151"/>
      <c r="AP18" s="151"/>
      <c r="AQ18" s="151"/>
      <c r="AR18" s="156"/>
      <c r="AS18" s="156"/>
      <c r="AT18" s="232"/>
      <c r="AU18" s="232"/>
      <c r="AV18" s="232"/>
      <c r="AW18" s="232"/>
      <c r="AX18" s="232"/>
      <c r="AY18" s="232"/>
      <c r="AZ18" s="55"/>
      <c r="BB18" s="368"/>
      <c r="BC18" s="368"/>
      <c r="BD18" s="368"/>
      <c r="BE18" s="368"/>
      <c r="BF18" s="368"/>
      <c r="BG18" s="368"/>
      <c r="BH18" s="368"/>
      <c r="BI18" s="368"/>
      <c r="BJ18" s="368"/>
      <c r="BK18" s="368"/>
      <c r="BL18" s="368"/>
    </row>
    <row r="19" ht="18.0" customHeight="1">
      <c r="A19" s="56"/>
      <c r="B19" s="195" t="s">
        <v>109</v>
      </c>
      <c r="C19" s="196"/>
      <c r="D19" s="196"/>
      <c r="E19" s="201"/>
      <c r="F19" s="202"/>
      <c r="G19" s="260">
        <f>G13</f>
        <v>66000</v>
      </c>
      <c r="H19" s="87"/>
      <c r="I19" s="87"/>
      <c r="J19" s="87"/>
      <c r="K19" s="87"/>
      <c r="L19" s="88"/>
      <c r="M19" s="110"/>
      <c r="N19" s="46"/>
      <c r="O19" s="195" t="s">
        <v>109</v>
      </c>
      <c r="P19" s="196"/>
      <c r="Q19" s="196"/>
      <c r="R19" s="201"/>
      <c r="S19" s="202"/>
      <c r="T19" s="260">
        <f>T13</f>
        <v>66000</v>
      </c>
      <c r="U19" s="87"/>
      <c r="V19" s="87"/>
      <c r="W19" s="87"/>
      <c r="X19" s="87"/>
      <c r="Y19" s="88"/>
      <c r="Z19" s="110"/>
      <c r="AA19" s="46"/>
      <c r="AB19" s="195" t="s">
        <v>109</v>
      </c>
      <c r="AC19" s="196"/>
      <c r="AD19" s="196"/>
      <c r="AE19" s="201"/>
      <c r="AF19" s="202"/>
      <c r="AG19" s="260">
        <f>AG13</f>
        <v>66000</v>
      </c>
      <c r="AH19" s="87"/>
      <c r="AI19" s="87"/>
      <c r="AJ19" s="87"/>
      <c r="AK19" s="87"/>
      <c r="AL19" s="88"/>
      <c r="AM19" s="110"/>
      <c r="AN19" s="46"/>
      <c r="AO19" s="195" t="s">
        <v>109</v>
      </c>
      <c r="AP19" s="196"/>
      <c r="AQ19" s="196"/>
      <c r="AR19" s="201"/>
      <c r="AS19" s="202"/>
      <c r="AT19" s="260">
        <f>AT13</f>
        <v>66000</v>
      </c>
      <c r="AU19" s="87"/>
      <c r="AV19" s="87"/>
      <c r="AW19" s="87"/>
      <c r="AX19" s="87"/>
      <c r="AY19" s="88"/>
      <c r="AZ19" s="110"/>
      <c r="BB19" s="228" t="s">
        <v>46</v>
      </c>
      <c r="BC19" s="17">
        <v>70851.0</v>
      </c>
      <c r="BD19" s="368"/>
      <c r="BE19" s="368"/>
      <c r="BF19" s="368"/>
      <c r="BG19" s="421" t="s">
        <v>49</v>
      </c>
      <c r="BH19" s="368"/>
      <c r="BI19" s="368"/>
      <c r="BJ19" s="368"/>
      <c r="BK19" s="368"/>
      <c r="BL19" s="368"/>
    </row>
    <row r="20" ht="18.0" customHeight="1">
      <c r="A20" s="56"/>
      <c r="B20" s="195" t="s">
        <v>113</v>
      </c>
      <c r="C20" s="196"/>
      <c r="D20" s="196"/>
      <c r="E20" s="201"/>
      <c r="F20" s="202"/>
      <c r="G20" s="268" t="str">
        <f>BG11</f>
        <v/>
      </c>
      <c r="H20" s="87"/>
      <c r="I20" s="87"/>
      <c r="J20" s="87"/>
      <c r="K20" s="87"/>
      <c r="L20" s="88"/>
      <c r="M20" s="110"/>
      <c r="N20" s="46"/>
      <c r="O20" s="195" t="s">
        <v>113</v>
      </c>
      <c r="P20" s="196"/>
      <c r="Q20" s="196"/>
      <c r="R20" s="201"/>
      <c r="S20" s="202"/>
      <c r="T20" s="268" t="str">
        <f>BG12</f>
        <v/>
      </c>
      <c r="U20" s="87"/>
      <c r="V20" s="87"/>
      <c r="W20" s="87"/>
      <c r="X20" s="87"/>
      <c r="Y20" s="88"/>
      <c r="Z20" s="110"/>
      <c r="AA20" s="46"/>
      <c r="AB20" s="195" t="s">
        <v>113</v>
      </c>
      <c r="AC20" s="196"/>
      <c r="AD20" s="196"/>
      <c r="AE20" s="201"/>
      <c r="AF20" s="202"/>
      <c r="AG20" s="268" t="str">
        <f>BG13</f>
        <v/>
      </c>
      <c r="AH20" s="87"/>
      <c r="AI20" s="87"/>
      <c r="AJ20" s="87"/>
      <c r="AK20" s="87"/>
      <c r="AL20" s="88"/>
      <c r="AM20" s="110"/>
      <c r="AN20" s="46"/>
      <c r="AO20" s="195" t="s">
        <v>113</v>
      </c>
      <c r="AP20" s="196"/>
      <c r="AQ20" s="196"/>
      <c r="AR20" s="201"/>
      <c r="AS20" s="202"/>
      <c r="AT20" s="268" t="str">
        <f>BG14</f>
        <v/>
      </c>
      <c r="AU20" s="87"/>
      <c r="AV20" s="87"/>
      <c r="AW20" s="87"/>
      <c r="AX20" s="87"/>
      <c r="AY20" s="88"/>
      <c r="AZ20" s="110"/>
      <c r="BB20" s="422" t="s">
        <v>48</v>
      </c>
      <c r="BC20" s="423"/>
      <c r="BD20" s="368"/>
      <c r="BE20" s="368"/>
      <c r="BF20" s="368"/>
      <c r="BG20" s="368"/>
      <c r="BH20" s="368"/>
      <c r="BI20" s="368"/>
      <c r="BJ20" s="368"/>
      <c r="BK20" s="368"/>
      <c r="BL20" s="368"/>
    </row>
    <row r="21" ht="18.0" customHeight="1">
      <c r="A21" s="56"/>
      <c r="B21" s="195" t="s">
        <v>116</v>
      </c>
      <c r="C21" s="196"/>
      <c r="D21" s="196"/>
      <c r="E21" s="201"/>
      <c r="F21" s="202"/>
      <c r="G21" s="181">
        <f>G19-G20</f>
        <v>66000</v>
      </c>
      <c r="H21" s="87"/>
      <c r="I21" s="87"/>
      <c r="J21" s="87"/>
      <c r="K21" s="87"/>
      <c r="L21" s="88"/>
      <c r="M21" s="110"/>
      <c r="N21" s="46"/>
      <c r="O21" s="195" t="s">
        <v>116</v>
      </c>
      <c r="P21" s="196"/>
      <c r="Q21" s="196"/>
      <c r="R21" s="201"/>
      <c r="S21" s="202"/>
      <c r="T21" s="181">
        <f>T19-T20</f>
        <v>66000</v>
      </c>
      <c r="U21" s="87"/>
      <c r="V21" s="87"/>
      <c r="W21" s="87"/>
      <c r="X21" s="87"/>
      <c r="Y21" s="88"/>
      <c r="Z21" s="110"/>
      <c r="AA21" s="46"/>
      <c r="AB21" s="195" t="s">
        <v>116</v>
      </c>
      <c r="AC21" s="196"/>
      <c r="AD21" s="196"/>
      <c r="AE21" s="201"/>
      <c r="AF21" s="202"/>
      <c r="AG21" s="181">
        <f>AG19-AG20</f>
        <v>66000</v>
      </c>
      <c r="AH21" s="87"/>
      <c r="AI21" s="87"/>
      <c r="AJ21" s="87"/>
      <c r="AK21" s="87"/>
      <c r="AL21" s="88"/>
      <c r="AM21" s="110"/>
      <c r="AN21" s="46"/>
      <c r="AO21" s="195" t="s">
        <v>116</v>
      </c>
      <c r="AP21" s="196"/>
      <c r="AQ21" s="196"/>
      <c r="AR21" s="201"/>
      <c r="AS21" s="202"/>
      <c r="AT21" s="181">
        <f>AT19-AT20</f>
        <v>66000</v>
      </c>
      <c r="AU21" s="87"/>
      <c r="AV21" s="87"/>
      <c r="AW21" s="87"/>
      <c r="AX21" s="87"/>
      <c r="AY21" s="88"/>
      <c r="AZ21" s="110"/>
      <c r="BB21" s="291" t="s">
        <v>51</v>
      </c>
      <c r="BC21" s="292"/>
      <c r="BD21" s="368"/>
      <c r="BE21" s="368"/>
      <c r="BF21" s="368"/>
      <c r="BG21" s="368"/>
      <c r="BH21" s="368"/>
      <c r="BI21" s="368"/>
      <c r="BJ21" s="368"/>
      <c r="BK21" s="368"/>
      <c r="BL21" s="368"/>
    </row>
    <row r="22" ht="18.0" customHeight="1">
      <c r="A22" s="56"/>
      <c r="B22" s="195" t="s">
        <v>120</v>
      </c>
      <c r="C22" s="196"/>
      <c r="D22" s="196"/>
      <c r="E22" s="201"/>
      <c r="F22" s="202"/>
      <c r="G22" s="172">
        <f>BE11</f>
        <v>0</v>
      </c>
      <c r="H22" s="87"/>
      <c r="I22" s="87"/>
      <c r="J22" s="87"/>
      <c r="K22" s="87"/>
      <c r="L22" s="88"/>
      <c r="M22" s="110"/>
      <c r="N22" s="46"/>
      <c r="O22" s="195" t="s">
        <v>120</v>
      </c>
      <c r="P22" s="196"/>
      <c r="Q22" s="196"/>
      <c r="R22" s="201"/>
      <c r="S22" s="202"/>
      <c r="T22" s="172" t="str">
        <f>BE12</f>
        <v/>
      </c>
      <c r="U22" s="87"/>
      <c r="V22" s="87"/>
      <c r="W22" s="87"/>
      <c r="X22" s="87"/>
      <c r="Y22" s="88"/>
      <c r="Z22" s="110"/>
      <c r="AA22" s="46"/>
      <c r="AB22" s="195" t="s">
        <v>120</v>
      </c>
      <c r="AC22" s="196"/>
      <c r="AD22" s="196"/>
      <c r="AE22" s="201"/>
      <c r="AF22" s="202"/>
      <c r="AG22" s="172" t="str">
        <f>BE13</f>
        <v/>
      </c>
      <c r="AH22" s="87"/>
      <c r="AI22" s="87"/>
      <c r="AJ22" s="87"/>
      <c r="AK22" s="87"/>
      <c r="AL22" s="88"/>
      <c r="AM22" s="110"/>
      <c r="AN22" s="46"/>
      <c r="AO22" s="195" t="s">
        <v>120</v>
      </c>
      <c r="AP22" s="196"/>
      <c r="AQ22" s="196"/>
      <c r="AR22" s="201"/>
      <c r="AS22" s="202"/>
      <c r="AT22" s="172" t="str">
        <f>BE14</f>
        <v/>
      </c>
      <c r="AU22" s="87"/>
      <c r="AV22" s="87"/>
      <c r="AW22" s="87"/>
      <c r="AX22" s="87"/>
      <c r="AY22" s="88"/>
      <c r="AZ22" s="110"/>
      <c r="BB22" s="291" t="s">
        <v>52</v>
      </c>
      <c r="BC22" s="291"/>
      <c r="BD22" s="368"/>
      <c r="BE22" s="368"/>
      <c r="BF22" s="368"/>
      <c r="BG22" s="368"/>
      <c r="BH22" s="368"/>
      <c r="BI22" s="368"/>
      <c r="BJ22" s="368"/>
      <c r="BK22" s="368"/>
      <c r="BL22" s="368"/>
    </row>
    <row r="23" ht="18.0" customHeight="1">
      <c r="A23" s="56"/>
      <c r="B23" s="195" t="s">
        <v>121</v>
      </c>
      <c r="C23" s="196"/>
      <c r="D23" s="196"/>
      <c r="E23" s="201"/>
      <c r="F23" s="202"/>
      <c r="G23" s="303">
        <f>G21-G22</f>
        <v>66000</v>
      </c>
      <c r="H23" s="87"/>
      <c r="I23" s="87"/>
      <c r="J23" s="87"/>
      <c r="K23" s="87"/>
      <c r="L23" s="88"/>
      <c r="M23" s="110"/>
      <c r="N23" s="46"/>
      <c r="O23" s="195" t="s">
        <v>121</v>
      </c>
      <c r="P23" s="196"/>
      <c r="Q23" s="196"/>
      <c r="R23" s="201"/>
      <c r="S23" s="202"/>
      <c r="T23" s="303">
        <f>T21-T22</f>
        <v>66000</v>
      </c>
      <c r="U23" s="87"/>
      <c r="V23" s="87"/>
      <c r="W23" s="87"/>
      <c r="X23" s="87"/>
      <c r="Y23" s="88"/>
      <c r="Z23" s="110"/>
      <c r="AA23" s="46"/>
      <c r="AB23" s="195" t="s">
        <v>121</v>
      </c>
      <c r="AC23" s="196"/>
      <c r="AD23" s="196"/>
      <c r="AE23" s="201"/>
      <c r="AF23" s="202"/>
      <c r="AG23" s="303">
        <f>AG21-AG22</f>
        <v>66000</v>
      </c>
      <c r="AH23" s="87"/>
      <c r="AI23" s="87"/>
      <c r="AJ23" s="87"/>
      <c r="AK23" s="87"/>
      <c r="AL23" s="88"/>
      <c r="AM23" s="110"/>
      <c r="AN23" s="46"/>
      <c r="AO23" s="195" t="s">
        <v>121</v>
      </c>
      <c r="AP23" s="196"/>
      <c r="AQ23" s="196"/>
      <c r="AR23" s="201"/>
      <c r="AS23" s="202"/>
      <c r="AT23" s="303">
        <f>AT21-AT22</f>
        <v>66000</v>
      </c>
      <c r="AU23" s="87"/>
      <c r="AV23" s="87"/>
      <c r="AW23" s="87"/>
      <c r="AX23" s="87"/>
      <c r="AY23" s="88"/>
      <c r="AZ23" s="110"/>
      <c r="BB23" s="368"/>
      <c r="BC23" s="228"/>
      <c r="BD23" s="368"/>
      <c r="BE23" s="368"/>
      <c r="BF23" s="368"/>
      <c r="BG23" s="368"/>
      <c r="BH23" s="368"/>
      <c r="BI23" s="368"/>
      <c r="BJ23" s="368"/>
      <c r="BK23" s="368"/>
      <c r="BL23" s="368"/>
    </row>
    <row r="24" ht="18.0" customHeight="1">
      <c r="A24" s="56"/>
      <c r="B24" s="151"/>
      <c r="C24" s="151"/>
      <c r="D24" s="151"/>
      <c r="E24" s="156"/>
      <c r="F24" s="156"/>
      <c r="G24" s="232"/>
      <c r="H24" s="232"/>
      <c r="I24" s="232"/>
      <c r="J24" s="232"/>
      <c r="K24" s="232"/>
      <c r="L24" s="232"/>
      <c r="M24" s="55"/>
      <c r="N24" s="46"/>
      <c r="O24" s="151"/>
      <c r="P24" s="151"/>
      <c r="Q24" s="424"/>
      <c r="R24" s="156"/>
      <c r="S24" s="156"/>
      <c r="T24" s="232"/>
      <c r="U24" s="232"/>
      <c r="V24" s="232"/>
      <c r="W24" s="232"/>
      <c r="X24" s="232"/>
      <c r="Y24" s="232"/>
      <c r="Z24" s="55"/>
      <c r="AA24" s="46"/>
      <c r="AB24" s="151"/>
      <c r="AC24" s="151"/>
      <c r="AD24" s="151"/>
      <c r="AE24" s="156"/>
      <c r="AF24" s="156"/>
      <c r="AG24" s="232"/>
      <c r="AH24" s="232"/>
      <c r="AI24" s="232"/>
      <c r="AJ24" s="232"/>
      <c r="AK24" s="232"/>
      <c r="AL24" s="232"/>
      <c r="AM24" s="55"/>
      <c r="AN24" s="46"/>
      <c r="AO24" s="151"/>
      <c r="AP24" s="151"/>
      <c r="AQ24" s="151"/>
      <c r="AR24" s="156"/>
      <c r="AS24" s="156"/>
      <c r="AT24" s="232"/>
      <c r="AU24" s="232"/>
      <c r="AV24" s="232"/>
      <c r="AW24" s="232"/>
      <c r="AX24" s="232"/>
      <c r="AY24" s="232"/>
      <c r="AZ24" s="55"/>
      <c r="BB24" s="228" t="s">
        <v>54</v>
      </c>
      <c r="BC24" s="228"/>
      <c r="BD24" s="368"/>
      <c r="BE24" s="425"/>
      <c r="BF24" s="426"/>
      <c r="BG24" s="426"/>
      <c r="BH24" s="426"/>
      <c r="BI24" s="426"/>
      <c r="BJ24" s="426"/>
      <c r="BK24" s="368"/>
      <c r="BL24" s="368"/>
    </row>
    <row r="25" ht="18.0" customHeight="1">
      <c r="A25" s="56"/>
      <c r="B25" s="195" t="s">
        <v>123</v>
      </c>
      <c r="C25" s="196"/>
      <c r="D25" s="196"/>
      <c r="E25" s="201"/>
      <c r="F25" s="202"/>
      <c r="G25" s="314"/>
      <c r="H25" s="87"/>
      <c r="I25" s="87"/>
      <c r="J25" s="87"/>
      <c r="K25" s="87"/>
      <c r="L25" s="88"/>
      <c r="M25" s="55"/>
      <c r="N25" s="46"/>
      <c r="O25" s="195" t="s">
        <v>123</v>
      </c>
      <c r="P25" s="196"/>
      <c r="Q25" s="196"/>
      <c r="R25" s="201"/>
      <c r="S25" s="202"/>
      <c r="T25" s="314"/>
      <c r="U25" s="87"/>
      <c r="V25" s="87"/>
      <c r="W25" s="87"/>
      <c r="X25" s="87"/>
      <c r="Y25" s="88"/>
      <c r="Z25" s="55"/>
      <c r="AA25" s="46"/>
      <c r="AB25" s="195" t="s">
        <v>123</v>
      </c>
      <c r="AC25" s="196"/>
      <c r="AD25" s="196"/>
      <c r="AE25" s="201"/>
      <c r="AF25" s="202"/>
      <c r="AG25" s="314"/>
      <c r="AH25" s="87"/>
      <c r="AI25" s="87"/>
      <c r="AJ25" s="87"/>
      <c r="AK25" s="87"/>
      <c r="AL25" s="88"/>
      <c r="AM25" s="55"/>
      <c r="AN25" s="46"/>
      <c r="AO25" s="195" t="s">
        <v>123</v>
      </c>
      <c r="AP25" s="196"/>
      <c r="AQ25" s="196"/>
      <c r="AR25" s="201"/>
      <c r="AS25" s="202"/>
      <c r="AT25" s="314"/>
      <c r="AU25" s="87"/>
      <c r="AV25" s="87"/>
      <c r="AW25" s="87"/>
      <c r="AX25" s="87"/>
      <c r="AY25" s="88"/>
      <c r="AZ25" s="55"/>
      <c r="BB25" s="368"/>
      <c r="BC25" s="368"/>
      <c r="BD25" s="368"/>
      <c r="BE25" s="427"/>
      <c r="BK25" s="368"/>
      <c r="BL25" s="368"/>
    </row>
    <row r="26" ht="18.0" customHeight="1">
      <c r="A26" s="56"/>
      <c r="B26" s="195" t="s">
        <v>124</v>
      </c>
      <c r="C26" s="196"/>
      <c r="D26" s="196"/>
      <c r="E26" s="201"/>
      <c r="F26" s="202"/>
      <c r="G26" s="172">
        <f>BF11</f>
        <v>192</v>
      </c>
      <c r="H26" s="87"/>
      <c r="I26" s="87"/>
      <c r="J26" s="87"/>
      <c r="K26" s="87"/>
      <c r="L26" s="88"/>
      <c r="M26" s="110"/>
      <c r="N26" s="46"/>
      <c r="O26" s="195" t="s">
        <v>124</v>
      </c>
      <c r="P26" s="196"/>
      <c r="Q26" s="196"/>
      <c r="R26" s="201"/>
      <c r="S26" s="202"/>
      <c r="T26" s="172" t="str">
        <f>BF12</f>
        <v/>
      </c>
      <c r="U26" s="87"/>
      <c r="V26" s="87"/>
      <c r="W26" s="87"/>
      <c r="X26" s="87"/>
      <c r="Y26" s="88"/>
      <c r="Z26" s="110"/>
      <c r="AA26" s="46"/>
      <c r="AB26" s="195" t="s">
        <v>124</v>
      </c>
      <c r="AC26" s="196"/>
      <c r="AD26" s="196"/>
      <c r="AE26" s="201"/>
      <c r="AF26" s="202"/>
      <c r="AG26" s="172" t="str">
        <f>BF13</f>
        <v/>
      </c>
      <c r="AH26" s="87"/>
      <c r="AI26" s="87"/>
      <c r="AJ26" s="87"/>
      <c r="AK26" s="87"/>
      <c r="AL26" s="88"/>
      <c r="AM26" s="110"/>
      <c r="AN26" s="46"/>
      <c r="AO26" s="195" t="s">
        <v>124</v>
      </c>
      <c r="AP26" s="196"/>
      <c r="AQ26" s="196"/>
      <c r="AR26" s="201"/>
      <c r="AS26" s="202"/>
      <c r="AT26" s="172" t="str">
        <f>BF14</f>
        <v/>
      </c>
      <c r="AU26" s="87"/>
      <c r="AV26" s="87"/>
      <c r="AW26" s="87"/>
      <c r="AX26" s="87"/>
      <c r="AY26" s="88"/>
      <c r="AZ26" s="110"/>
      <c r="BB26" s="368"/>
      <c r="BC26" s="368"/>
      <c r="BD26" s="368"/>
      <c r="BE26" s="368"/>
      <c r="BF26" s="368"/>
      <c r="BG26" s="368"/>
      <c r="BH26" s="368"/>
      <c r="BI26" s="368"/>
      <c r="BJ26" s="368"/>
      <c r="BK26" s="368"/>
      <c r="BL26" s="368"/>
    </row>
    <row r="27" ht="18.0" customHeight="1">
      <c r="A27" s="56"/>
      <c r="B27" s="195" t="s">
        <v>128</v>
      </c>
      <c r="C27" s="196"/>
      <c r="D27" s="196"/>
      <c r="E27" s="201"/>
      <c r="F27" s="202"/>
      <c r="G27" s="314"/>
      <c r="H27" s="87"/>
      <c r="I27" s="87"/>
      <c r="J27" s="87"/>
      <c r="K27" s="87"/>
      <c r="L27" s="88"/>
      <c r="M27" s="55"/>
      <c r="N27" s="46"/>
      <c r="O27" s="195" t="s">
        <v>128</v>
      </c>
      <c r="P27" s="196"/>
      <c r="Q27" s="196"/>
      <c r="R27" s="201"/>
      <c r="S27" s="202"/>
      <c r="T27" s="314"/>
      <c r="U27" s="87"/>
      <c r="V27" s="87"/>
      <c r="W27" s="87"/>
      <c r="X27" s="87"/>
      <c r="Y27" s="88"/>
      <c r="Z27" s="55"/>
      <c r="AA27" s="46"/>
      <c r="AB27" s="195" t="s">
        <v>128</v>
      </c>
      <c r="AC27" s="196"/>
      <c r="AD27" s="196"/>
      <c r="AE27" s="201"/>
      <c r="AF27" s="202"/>
      <c r="AG27" s="314"/>
      <c r="AH27" s="87"/>
      <c r="AI27" s="87"/>
      <c r="AJ27" s="87"/>
      <c r="AK27" s="87"/>
      <c r="AL27" s="88"/>
      <c r="AM27" s="55"/>
      <c r="AN27" s="46"/>
      <c r="AO27" s="195" t="s">
        <v>128</v>
      </c>
      <c r="AP27" s="196"/>
      <c r="AQ27" s="196"/>
      <c r="AR27" s="201"/>
      <c r="AS27" s="202"/>
      <c r="AT27" s="314"/>
      <c r="AU27" s="87"/>
      <c r="AV27" s="87"/>
      <c r="AW27" s="87"/>
      <c r="AX27" s="87"/>
      <c r="AY27" s="88"/>
      <c r="AZ27" s="55"/>
      <c r="BB27" s="368"/>
      <c r="BC27" s="368"/>
      <c r="BD27" s="368"/>
      <c r="BE27" s="368"/>
      <c r="BF27" s="368"/>
      <c r="BG27" s="368"/>
      <c r="BH27" s="368"/>
      <c r="BI27" s="368"/>
      <c r="BJ27" s="368"/>
      <c r="BK27" s="368"/>
      <c r="BL27" s="368"/>
    </row>
    <row r="28" ht="15.75" customHeight="1">
      <c r="A28" s="56"/>
      <c r="B28" s="136"/>
      <c r="C28" s="136"/>
      <c r="D28" s="151"/>
      <c r="E28" s="151"/>
      <c r="F28" s="151"/>
      <c r="G28" s="151"/>
      <c r="H28" s="151"/>
      <c r="I28" s="151"/>
      <c r="J28" s="151"/>
      <c r="K28" s="151"/>
      <c r="L28" s="151"/>
      <c r="M28" s="55"/>
      <c r="N28" s="46"/>
      <c r="O28" s="136"/>
      <c r="P28" s="136"/>
      <c r="Q28" s="151"/>
      <c r="R28" s="151"/>
      <c r="S28" s="151"/>
      <c r="T28" s="151"/>
      <c r="U28" s="151"/>
      <c r="V28" s="151"/>
      <c r="W28" s="151"/>
      <c r="X28" s="151"/>
      <c r="Y28" s="151"/>
      <c r="Z28" s="55"/>
      <c r="AA28" s="46"/>
      <c r="AB28" s="136"/>
      <c r="AC28" s="136"/>
      <c r="AD28" s="151"/>
      <c r="AE28" s="151"/>
      <c r="AF28" s="151"/>
      <c r="AG28" s="151"/>
      <c r="AH28" s="151"/>
      <c r="AI28" s="151"/>
      <c r="AJ28" s="151"/>
      <c r="AK28" s="151"/>
      <c r="AL28" s="151"/>
      <c r="AM28" s="55"/>
      <c r="AN28" s="46"/>
      <c r="AO28" s="136"/>
      <c r="AP28" s="136"/>
      <c r="AQ28" s="151"/>
      <c r="AR28" s="151"/>
      <c r="AS28" s="151"/>
      <c r="AT28" s="151"/>
      <c r="AU28" s="151"/>
      <c r="AV28" s="151"/>
      <c r="AW28" s="151"/>
      <c r="AX28" s="151"/>
      <c r="AY28" s="151"/>
      <c r="AZ28" s="55"/>
      <c r="BB28" s="368"/>
      <c r="BC28" s="368"/>
      <c r="BD28" s="368"/>
      <c r="BE28" s="368"/>
      <c r="BF28" s="368"/>
      <c r="BG28" s="368"/>
      <c r="BH28" s="368"/>
      <c r="BI28" s="368"/>
      <c r="BJ28" s="368"/>
      <c r="BK28" s="368"/>
      <c r="BL28" s="368"/>
    </row>
    <row r="29" ht="15.75" customHeight="1">
      <c r="A29" s="56"/>
      <c r="B29" s="136"/>
      <c r="C29" s="136"/>
      <c r="D29" s="151"/>
      <c r="E29" s="151"/>
      <c r="F29" s="151"/>
      <c r="G29" s="151"/>
      <c r="H29" s="151"/>
      <c r="I29" s="151"/>
      <c r="J29" s="151"/>
      <c r="K29" s="151"/>
      <c r="L29" s="151"/>
      <c r="M29" s="55"/>
      <c r="N29" s="46"/>
      <c r="O29" s="136"/>
      <c r="P29" s="136"/>
      <c r="Q29" s="151"/>
      <c r="R29" s="151"/>
      <c r="S29" s="151"/>
      <c r="T29" s="151"/>
      <c r="U29" s="151"/>
      <c r="V29" s="151"/>
      <c r="W29" s="151"/>
      <c r="X29" s="151"/>
      <c r="Y29" s="151"/>
      <c r="Z29" s="55"/>
      <c r="AA29" s="46"/>
      <c r="AB29" s="136"/>
      <c r="AC29" s="136"/>
      <c r="AD29" s="151"/>
      <c r="AE29" s="151"/>
      <c r="AF29" s="151"/>
      <c r="AG29" s="151"/>
      <c r="AH29" s="151"/>
      <c r="AI29" s="151"/>
      <c r="AJ29" s="151"/>
      <c r="AK29" s="151"/>
      <c r="AL29" s="151"/>
      <c r="AM29" s="55"/>
      <c r="AN29" s="46"/>
      <c r="AO29" s="136"/>
      <c r="AP29" s="136"/>
      <c r="AQ29" s="151"/>
      <c r="AR29" s="151"/>
      <c r="AS29" s="151"/>
      <c r="AT29" s="151"/>
      <c r="AU29" s="151"/>
      <c r="AV29" s="151"/>
      <c r="AW29" s="151"/>
      <c r="AX29" s="151"/>
      <c r="AY29" s="151"/>
      <c r="AZ29" s="55"/>
      <c r="BB29" s="368"/>
      <c r="BC29" s="368"/>
      <c r="BD29" s="368"/>
      <c r="BE29" s="368"/>
      <c r="BF29" s="368"/>
      <c r="BG29" s="368"/>
      <c r="BH29" s="368"/>
      <c r="BI29" s="368"/>
      <c r="BJ29" s="368"/>
      <c r="BK29" s="368"/>
      <c r="BL29" s="368"/>
    </row>
    <row r="30" ht="15.75" customHeight="1">
      <c r="A30" s="56"/>
      <c r="B30" s="136" t="s">
        <v>132</v>
      </c>
      <c r="C30" s="136"/>
      <c r="D30" s="151"/>
      <c r="E30" s="340" t="str">
        <f>BC17</f>
        <v>CAPT. DAVID WIBAWA SAPULETE</v>
      </c>
      <c r="F30" s="49"/>
      <c r="G30" s="49"/>
      <c r="H30" s="49"/>
      <c r="I30" s="49"/>
      <c r="J30" s="49"/>
      <c r="K30" s="49"/>
      <c r="L30" s="49"/>
      <c r="M30" s="55"/>
      <c r="N30" s="46"/>
      <c r="O30" s="136" t="s">
        <v>132</v>
      </c>
      <c r="P30" s="136"/>
      <c r="Q30" s="151"/>
      <c r="R30" s="340" t="str">
        <f>E30</f>
        <v>CAPT. DAVID WIBAWA SAPULETE</v>
      </c>
      <c r="S30" s="49"/>
      <c r="T30" s="49"/>
      <c r="U30" s="49"/>
      <c r="V30" s="49"/>
      <c r="W30" s="49"/>
      <c r="X30" s="49"/>
      <c r="Y30" s="151"/>
      <c r="Z30" s="55"/>
      <c r="AA30" s="46"/>
      <c r="AB30" s="136" t="s">
        <v>132</v>
      </c>
      <c r="AC30" s="136"/>
      <c r="AD30" s="151"/>
      <c r="AE30" s="340" t="str">
        <f>R30</f>
        <v>CAPT. DAVID WIBAWA SAPULETE</v>
      </c>
      <c r="AF30" s="49"/>
      <c r="AG30" s="49"/>
      <c r="AH30" s="49"/>
      <c r="AI30" s="49"/>
      <c r="AJ30" s="49"/>
      <c r="AK30" s="49"/>
      <c r="AL30" s="151"/>
      <c r="AM30" s="55"/>
      <c r="AN30" s="46"/>
      <c r="AO30" s="136" t="s">
        <v>132</v>
      </c>
      <c r="AP30" s="136"/>
      <c r="AQ30" s="151"/>
      <c r="AR30" s="340" t="str">
        <f>AE30</f>
        <v>CAPT. DAVID WIBAWA SAPULETE</v>
      </c>
      <c r="AS30" s="49"/>
      <c r="AT30" s="49"/>
      <c r="AU30" s="49"/>
      <c r="AV30" s="49"/>
      <c r="AW30" s="49"/>
      <c r="AX30" s="49"/>
      <c r="AY30" s="151"/>
      <c r="AZ30" s="55"/>
      <c r="BB30" s="368"/>
      <c r="BC30" s="368"/>
      <c r="BD30" s="368"/>
      <c r="BE30" s="368"/>
      <c r="BF30" s="368"/>
      <c r="BG30" s="368"/>
      <c r="BH30" s="368"/>
      <c r="BI30" s="368"/>
      <c r="BJ30" s="368"/>
      <c r="BK30" s="368"/>
      <c r="BL30" s="368"/>
    </row>
    <row r="31" ht="59.25" customHeight="1">
      <c r="A31" s="56"/>
      <c r="B31" s="136"/>
      <c r="C31" s="136"/>
      <c r="D31" s="345" t="s">
        <v>133</v>
      </c>
      <c r="E31" s="49"/>
      <c r="F31" s="49"/>
      <c r="G31" s="49"/>
      <c r="H31" s="49"/>
      <c r="I31" s="49"/>
      <c r="J31" s="151"/>
      <c r="K31" s="151"/>
      <c r="L31" s="151"/>
      <c r="M31" s="55"/>
      <c r="N31" s="46"/>
      <c r="O31" s="136"/>
      <c r="P31" s="136"/>
      <c r="Q31" s="345" t="s">
        <v>133</v>
      </c>
      <c r="R31" s="49"/>
      <c r="S31" s="49"/>
      <c r="T31" s="49"/>
      <c r="U31" s="49"/>
      <c r="V31" s="49"/>
      <c r="W31" s="151"/>
      <c r="X31" s="151"/>
      <c r="Y31" s="151"/>
      <c r="Z31" s="55"/>
      <c r="AA31" s="46"/>
      <c r="AB31" s="136"/>
      <c r="AC31" s="136"/>
      <c r="AD31" s="345" t="s">
        <v>133</v>
      </c>
      <c r="AE31" s="49"/>
      <c r="AF31" s="49"/>
      <c r="AG31" s="49"/>
      <c r="AH31" s="49"/>
      <c r="AI31" s="49"/>
      <c r="AJ31" s="151"/>
      <c r="AK31" s="151"/>
      <c r="AL31" s="151"/>
      <c r="AM31" s="55"/>
      <c r="AN31" s="46"/>
      <c r="AO31" s="136"/>
      <c r="AP31" s="136"/>
      <c r="AQ31" s="345" t="s">
        <v>133</v>
      </c>
      <c r="AR31" s="49"/>
      <c r="AS31" s="49"/>
      <c r="AT31" s="49"/>
      <c r="AU31" s="49"/>
      <c r="AV31" s="49"/>
      <c r="AW31" s="151"/>
      <c r="AX31" s="151"/>
      <c r="AY31" s="151"/>
      <c r="AZ31" s="55"/>
      <c r="BB31" s="368"/>
      <c r="BC31" s="368"/>
      <c r="BD31" s="368"/>
      <c r="BE31" s="368"/>
      <c r="BF31" s="368"/>
      <c r="BG31" s="368"/>
      <c r="BH31" s="368"/>
      <c r="BI31" s="368"/>
      <c r="BJ31" s="368"/>
      <c r="BK31" s="368"/>
      <c r="BL31" s="368"/>
    </row>
    <row r="32" ht="15.75" customHeight="1">
      <c r="A32" s="56"/>
      <c r="B32" s="136"/>
      <c r="C32" s="136"/>
      <c r="D32" s="151"/>
      <c r="E32" s="151"/>
      <c r="F32" s="151"/>
      <c r="G32" s="151"/>
      <c r="H32" s="151"/>
      <c r="I32" s="151"/>
      <c r="J32" s="151"/>
      <c r="K32" s="151"/>
      <c r="L32" s="151"/>
      <c r="M32" s="55"/>
      <c r="N32" s="46"/>
      <c r="O32" s="136"/>
      <c r="P32" s="136"/>
      <c r="Q32" s="151"/>
      <c r="R32" s="151"/>
      <c r="S32" s="151"/>
      <c r="T32" s="151"/>
      <c r="U32" s="151"/>
      <c r="V32" s="151"/>
      <c r="W32" s="151"/>
      <c r="X32" s="151"/>
      <c r="Y32" s="151"/>
      <c r="Z32" s="55"/>
      <c r="AA32" s="46"/>
      <c r="AB32" s="136"/>
      <c r="AC32" s="136"/>
      <c r="AD32" s="151"/>
      <c r="AE32" s="151"/>
      <c r="AF32" s="151"/>
      <c r="AG32" s="151"/>
      <c r="AH32" s="151"/>
      <c r="AI32" s="151"/>
      <c r="AJ32" s="151"/>
      <c r="AK32" s="151"/>
      <c r="AL32" s="151"/>
      <c r="AM32" s="55"/>
      <c r="AN32" s="46"/>
      <c r="AO32" s="136"/>
      <c r="AP32" s="136"/>
      <c r="AQ32" s="151"/>
      <c r="AR32" s="151"/>
      <c r="AS32" s="151"/>
      <c r="AT32" s="151"/>
      <c r="AU32" s="151"/>
      <c r="AV32" s="151"/>
      <c r="AW32" s="151"/>
      <c r="AX32" s="151"/>
      <c r="AY32" s="151"/>
      <c r="AZ32" s="55"/>
      <c r="BB32" s="368"/>
      <c r="BC32" s="368"/>
      <c r="BD32" s="368"/>
      <c r="BE32" s="368"/>
      <c r="BF32" s="368"/>
      <c r="BG32" s="368"/>
      <c r="BH32" s="368"/>
      <c r="BI32" s="368"/>
      <c r="BJ32" s="368"/>
      <c r="BK32" s="368"/>
      <c r="BL32" s="368"/>
    </row>
    <row r="33" ht="15.75" customHeight="1">
      <c r="A33" s="56"/>
      <c r="B33" s="136"/>
      <c r="C33" s="136"/>
      <c r="D33" s="151"/>
      <c r="E33" s="151"/>
      <c r="F33" s="151"/>
      <c r="G33" s="151"/>
      <c r="H33" s="151"/>
      <c r="I33" s="151"/>
      <c r="J33" s="151"/>
      <c r="K33" s="151"/>
      <c r="L33" s="151"/>
      <c r="M33" s="55"/>
      <c r="N33" s="46"/>
      <c r="O33" s="136"/>
      <c r="P33" s="136"/>
      <c r="Q33" s="151"/>
      <c r="R33" s="151"/>
      <c r="S33" s="151"/>
      <c r="T33" s="151"/>
      <c r="U33" s="151"/>
      <c r="V33" s="151"/>
      <c r="W33" s="151"/>
      <c r="X33" s="151"/>
      <c r="Y33" s="151"/>
      <c r="Z33" s="55"/>
      <c r="AA33" s="46"/>
      <c r="AB33" s="136"/>
      <c r="AC33" s="136"/>
      <c r="AD33" s="151"/>
      <c r="AE33" s="151"/>
      <c r="AF33" s="151"/>
      <c r="AG33" s="151"/>
      <c r="AH33" s="151"/>
      <c r="AI33" s="151"/>
      <c r="AJ33" s="151"/>
      <c r="AK33" s="151"/>
      <c r="AL33" s="151"/>
      <c r="AM33" s="55"/>
      <c r="AN33" s="46"/>
      <c r="AO33" s="136"/>
      <c r="AP33" s="136"/>
      <c r="AQ33" s="151"/>
      <c r="AR33" s="151"/>
      <c r="AS33" s="151"/>
      <c r="AT33" s="151"/>
      <c r="AU33" s="151"/>
      <c r="AV33" s="151"/>
      <c r="AW33" s="151"/>
      <c r="AX33" s="151"/>
      <c r="AY33" s="151"/>
      <c r="AZ33" s="55"/>
      <c r="BB33" s="368"/>
      <c r="BC33" s="368"/>
      <c r="BD33" s="368"/>
      <c r="BE33" s="368"/>
      <c r="BF33" s="368"/>
      <c r="BG33" s="368"/>
      <c r="BH33" s="368"/>
      <c r="BI33" s="368"/>
      <c r="BJ33" s="368"/>
      <c r="BK33" s="368"/>
      <c r="BL33" s="368"/>
    </row>
    <row r="34" ht="15.75" customHeight="1">
      <c r="A34" s="56"/>
      <c r="B34" s="136" t="s">
        <v>135</v>
      </c>
      <c r="C34" s="136"/>
      <c r="D34" s="348">
        <f>BC11</f>
        <v>500</v>
      </c>
      <c r="E34" s="49"/>
      <c r="F34" s="49"/>
      <c r="G34" s="151" t="s">
        <v>136</v>
      </c>
      <c r="H34" s="151"/>
      <c r="I34" s="151"/>
      <c r="J34" s="151"/>
      <c r="K34" s="151"/>
      <c r="L34" s="151"/>
      <c r="M34" s="55"/>
      <c r="N34" s="46"/>
      <c r="O34" s="136" t="s">
        <v>135</v>
      </c>
      <c r="P34" s="136"/>
      <c r="Q34" s="348" t="str">
        <f>BC12</f>
        <v/>
      </c>
      <c r="R34" s="49"/>
      <c r="S34" s="49"/>
      <c r="T34" s="151" t="s">
        <v>136</v>
      </c>
      <c r="U34" s="151"/>
      <c r="V34" s="151"/>
      <c r="W34" s="151"/>
      <c r="X34" s="151"/>
      <c r="Y34" s="151"/>
      <c r="Z34" s="55"/>
      <c r="AA34" s="46"/>
      <c r="AB34" s="136" t="s">
        <v>135</v>
      </c>
      <c r="AC34" s="136"/>
      <c r="AD34" s="348" t="str">
        <f>BC13</f>
        <v/>
      </c>
      <c r="AE34" s="49"/>
      <c r="AF34" s="49"/>
      <c r="AG34" s="151" t="s">
        <v>136</v>
      </c>
      <c r="AH34" s="151"/>
      <c r="AI34" s="151"/>
      <c r="AJ34" s="151"/>
      <c r="AK34" s="151"/>
      <c r="AL34" s="151"/>
      <c r="AM34" s="55"/>
      <c r="AN34" s="46"/>
      <c r="AO34" s="136" t="s">
        <v>135</v>
      </c>
      <c r="AP34" s="136"/>
      <c r="AQ34" s="348" t="str">
        <f>BC14</f>
        <v/>
      </c>
      <c r="AR34" s="49"/>
      <c r="AS34" s="49"/>
      <c r="AT34" s="151" t="s">
        <v>136</v>
      </c>
      <c r="AU34" s="151"/>
      <c r="AV34" s="151"/>
      <c r="AW34" s="151"/>
      <c r="AX34" s="151"/>
      <c r="AY34" s="151"/>
      <c r="AZ34" s="55"/>
      <c r="BB34" s="368"/>
      <c r="BC34" s="368"/>
      <c r="BD34" s="368"/>
      <c r="BE34" s="368"/>
      <c r="BF34" s="368"/>
      <c r="BG34" s="368"/>
      <c r="BH34" s="368"/>
      <c r="BI34" s="368"/>
      <c r="BJ34" s="368"/>
      <c r="BK34" s="368"/>
      <c r="BL34" s="368"/>
    </row>
    <row r="35" ht="48.0" customHeight="1">
      <c r="A35" s="354"/>
      <c r="B35" s="355"/>
      <c r="C35" s="355"/>
      <c r="D35" s="356"/>
      <c r="E35" s="356"/>
      <c r="F35" s="356"/>
      <c r="G35" s="356"/>
      <c r="H35" s="356"/>
      <c r="I35" s="356"/>
      <c r="J35" s="356"/>
      <c r="K35" s="356"/>
      <c r="L35" s="356"/>
      <c r="M35" s="357"/>
      <c r="N35" s="354"/>
      <c r="O35" s="355"/>
      <c r="P35" s="355"/>
      <c r="Q35" s="356"/>
      <c r="R35" s="356"/>
      <c r="S35" s="356"/>
      <c r="T35" s="356"/>
      <c r="U35" s="356"/>
      <c r="V35" s="356"/>
      <c r="W35" s="356"/>
      <c r="X35" s="356"/>
      <c r="Y35" s="356"/>
      <c r="Z35" s="357"/>
      <c r="AA35" s="354"/>
      <c r="AB35" s="355"/>
      <c r="AC35" s="355"/>
      <c r="AD35" s="356"/>
      <c r="AE35" s="356"/>
      <c r="AF35" s="356"/>
      <c r="AG35" s="356"/>
      <c r="AH35" s="356"/>
      <c r="AI35" s="356"/>
      <c r="AJ35" s="356"/>
      <c r="AK35" s="356"/>
      <c r="AL35" s="356"/>
      <c r="AM35" s="357"/>
      <c r="AN35" s="354"/>
      <c r="AO35" s="355"/>
      <c r="AP35" s="355"/>
      <c r="AQ35" s="356"/>
      <c r="AR35" s="356"/>
      <c r="AS35" s="356"/>
      <c r="AT35" s="356"/>
      <c r="AU35" s="356"/>
      <c r="AV35" s="356"/>
      <c r="AW35" s="356"/>
      <c r="AX35" s="356"/>
      <c r="AY35" s="356"/>
      <c r="AZ35" s="357"/>
      <c r="BB35" s="368"/>
      <c r="BC35" s="368"/>
      <c r="BD35" s="368"/>
      <c r="BE35" s="368"/>
      <c r="BF35" s="368"/>
      <c r="BG35" s="368"/>
      <c r="BH35" s="368"/>
      <c r="BI35" s="368"/>
      <c r="BJ35" s="368"/>
      <c r="BK35" s="368"/>
      <c r="BL35" s="368"/>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5">
    <mergeCell ref="W4:Y4"/>
    <mergeCell ref="AB4:AF4"/>
    <mergeCell ref="AJ4:AL4"/>
    <mergeCell ref="AO4:AS4"/>
    <mergeCell ref="A2:F2"/>
    <mergeCell ref="N2:S2"/>
    <mergeCell ref="AA2:AF2"/>
    <mergeCell ref="AN2:AS2"/>
    <mergeCell ref="BH2:BI2"/>
    <mergeCell ref="BH3:BI3"/>
    <mergeCell ref="B4:F4"/>
    <mergeCell ref="AW4:AY4"/>
    <mergeCell ref="U6:Y6"/>
    <mergeCell ref="AB6:AD6"/>
    <mergeCell ref="AE6:AF6"/>
    <mergeCell ref="AH6:AL6"/>
    <mergeCell ref="AO6:AQ6"/>
    <mergeCell ref="AR6:AS6"/>
    <mergeCell ref="AU6:AY6"/>
    <mergeCell ref="J4:L4"/>
    <mergeCell ref="O4:S4"/>
    <mergeCell ref="B6:D6"/>
    <mergeCell ref="E6:F6"/>
    <mergeCell ref="H6:L6"/>
    <mergeCell ref="O6:Q6"/>
    <mergeCell ref="R6:S6"/>
    <mergeCell ref="AE7:AF7"/>
    <mergeCell ref="AH7:AL7"/>
    <mergeCell ref="AO7:AQ7"/>
    <mergeCell ref="AR7:AS7"/>
    <mergeCell ref="AU7:AY7"/>
    <mergeCell ref="B7:D7"/>
    <mergeCell ref="E7:F7"/>
    <mergeCell ref="H7:L7"/>
    <mergeCell ref="O7:Q7"/>
    <mergeCell ref="R7:S7"/>
    <mergeCell ref="U7:Y7"/>
    <mergeCell ref="AB7:AD7"/>
    <mergeCell ref="AE8:AF8"/>
    <mergeCell ref="AH8:AL8"/>
    <mergeCell ref="AO8:AQ8"/>
    <mergeCell ref="AR8:AS8"/>
    <mergeCell ref="AU8:AY8"/>
    <mergeCell ref="B8:D8"/>
    <mergeCell ref="E8:F8"/>
    <mergeCell ref="H8:L8"/>
    <mergeCell ref="O8:Q8"/>
    <mergeCell ref="R8:S8"/>
    <mergeCell ref="U8:Y8"/>
    <mergeCell ref="AB8:AD8"/>
    <mergeCell ref="AE9:AF9"/>
    <mergeCell ref="AH9:AL9"/>
    <mergeCell ref="AO9:AQ9"/>
    <mergeCell ref="AR9:AS9"/>
    <mergeCell ref="AU9:AY9"/>
    <mergeCell ref="B9:D9"/>
    <mergeCell ref="E9:F9"/>
    <mergeCell ref="H9:L9"/>
    <mergeCell ref="O9:Q9"/>
    <mergeCell ref="R9:S9"/>
    <mergeCell ref="U9:Y9"/>
    <mergeCell ref="AB9:AD9"/>
    <mergeCell ref="G11:L11"/>
    <mergeCell ref="T11:Y11"/>
    <mergeCell ref="AG11:AL11"/>
    <mergeCell ref="AT11:AY11"/>
    <mergeCell ref="T12:Y12"/>
    <mergeCell ref="AG12:AL12"/>
    <mergeCell ref="AT12:AY12"/>
    <mergeCell ref="AT13:AY13"/>
    <mergeCell ref="AV15:AY15"/>
    <mergeCell ref="G12:L12"/>
    <mergeCell ref="G13:L13"/>
    <mergeCell ref="T13:Y13"/>
    <mergeCell ref="AG13:AL13"/>
    <mergeCell ref="I15:L15"/>
    <mergeCell ref="V15:Y15"/>
    <mergeCell ref="AI15:AL15"/>
    <mergeCell ref="E30:L30"/>
    <mergeCell ref="D31:I31"/>
    <mergeCell ref="D34:F34"/>
    <mergeCell ref="Q34:S34"/>
    <mergeCell ref="G20:L20"/>
    <mergeCell ref="G21:L21"/>
    <mergeCell ref="G22:L22"/>
    <mergeCell ref="G23:L23"/>
    <mergeCell ref="G25:L25"/>
    <mergeCell ref="G26:L26"/>
    <mergeCell ref="G27:L27"/>
    <mergeCell ref="E16:H16"/>
    <mergeCell ref="R16:U16"/>
    <mergeCell ref="V16:Y16"/>
    <mergeCell ref="AE16:AH16"/>
    <mergeCell ref="AI16:AL16"/>
    <mergeCell ref="AR16:AU16"/>
    <mergeCell ref="AV16:AY16"/>
    <mergeCell ref="I16:L16"/>
    <mergeCell ref="G17:L17"/>
    <mergeCell ref="T17:Y17"/>
    <mergeCell ref="AG17:AL17"/>
    <mergeCell ref="G19:L19"/>
    <mergeCell ref="AG19:AL19"/>
    <mergeCell ref="AG20:AL20"/>
    <mergeCell ref="AT25:AY25"/>
    <mergeCell ref="AT26:AY26"/>
    <mergeCell ref="AT27:AY27"/>
    <mergeCell ref="AR30:AX30"/>
    <mergeCell ref="AQ31:AV31"/>
    <mergeCell ref="AQ34:AS34"/>
    <mergeCell ref="AT17:AY17"/>
    <mergeCell ref="AT19:AY19"/>
    <mergeCell ref="AT20:AY20"/>
    <mergeCell ref="AT21:AY21"/>
    <mergeCell ref="AT22:AY22"/>
    <mergeCell ref="AT23:AY23"/>
    <mergeCell ref="BE24:BJ25"/>
    <mergeCell ref="T27:Y27"/>
    <mergeCell ref="R30:X30"/>
    <mergeCell ref="Q31:V31"/>
    <mergeCell ref="T19:Y19"/>
    <mergeCell ref="T20:Y20"/>
    <mergeCell ref="T21:Y21"/>
    <mergeCell ref="T22:Y22"/>
    <mergeCell ref="T23:Y23"/>
    <mergeCell ref="T25:Y25"/>
    <mergeCell ref="T26:Y26"/>
    <mergeCell ref="AD31:AI31"/>
    <mergeCell ref="AD34:AF34"/>
    <mergeCell ref="AG21:AL21"/>
    <mergeCell ref="AG22:AL22"/>
    <mergeCell ref="AG23:AL23"/>
    <mergeCell ref="AG25:AL25"/>
    <mergeCell ref="AG26:AL26"/>
    <mergeCell ref="AG27:AL27"/>
    <mergeCell ref="AE30:AK30"/>
  </mergeCells>
  <hyperlinks>
    <hyperlink r:id="rId1" ref="BG19"/>
  </hyperlinks>
  <printOptions verticalCentered="1"/>
  <pageMargins bottom="0.75" footer="0.0" header="0.0" left="0.25" right="0.0" top="0.75"/>
  <pageSetup paperSize="9" orientation="landscape"/>
  <colBreaks count="1" manualBreakCount="1">
    <brk id="52" man="1"/>
  </colBrea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showGridLines="0" workbookViewId="0"/>
  </sheetViews>
  <sheetFormatPr customHeight="1" defaultColWidth="12.63" defaultRowHeight="15.0"/>
  <cols>
    <col customWidth="1" min="1" max="1" width="1.88"/>
    <col customWidth="1" min="2" max="2" width="10.38"/>
    <col customWidth="1" min="3" max="3" width="11.13"/>
    <col customWidth="1" min="4" max="4" width="9.0"/>
    <col customWidth="1" min="5" max="5" width="10.5"/>
    <col customWidth="1" min="6" max="6" width="17.13"/>
    <col customWidth="1" min="7" max="7" width="8.25"/>
    <col customWidth="1" min="8" max="8" width="11.5"/>
    <col customWidth="1" min="9" max="9" width="7.0"/>
    <col customWidth="1" min="10" max="10" width="8.75"/>
    <col customWidth="1" min="11" max="12" width="9.5"/>
    <col customWidth="1" min="13" max="13" width="10.25"/>
    <col customWidth="1" min="14" max="14" width="8.38"/>
    <col customWidth="1" min="15" max="15" width="11.13"/>
    <col customWidth="1" min="16" max="16" width="13.13"/>
    <col customWidth="1" min="17" max="17" width="2.5"/>
    <col customWidth="1" min="18" max="18" width="11.13"/>
    <col customWidth="1" min="19" max="19" width="7.63"/>
    <col customWidth="1" min="20" max="20" width="2.13"/>
    <col customWidth="1" min="21" max="26" width="11.5"/>
  </cols>
  <sheetData>
    <row r="1" ht="15.75" customHeight="1">
      <c r="A1" s="4"/>
      <c r="B1" s="4"/>
      <c r="C1" s="4"/>
      <c r="D1" s="4"/>
      <c r="E1" s="4"/>
      <c r="F1" s="4"/>
      <c r="G1" s="4"/>
      <c r="H1" s="4"/>
      <c r="I1" s="4"/>
      <c r="J1" s="4"/>
      <c r="K1" s="4"/>
      <c r="L1" s="4"/>
      <c r="M1" s="4"/>
      <c r="N1" s="4"/>
      <c r="O1" s="4"/>
      <c r="P1" s="4"/>
      <c r="Q1" s="4"/>
      <c r="R1" s="4"/>
      <c r="S1" s="4"/>
      <c r="T1" s="4"/>
      <c r="U1" s="4"/>
      <c r="V1" s="4"/>
      <c r="W1" s="4"/>
      <c r="X1" s="4"/>
      <c r="Y1" s="4"/>
      <c r="Z1" s="4"/>
    </row>
    <row r="2" ht="67.5" customHeight="1">
      <c r="A2" s="4"/>
      <c r="B2" s="10" t="s">
        <v>2</v>
      </c>
      <c r="C2" s="9"/>
      <c r="D2" s="9"/>
      <c r="E2" s="9"/>
      <c r="F2" s="9"/>
      <c r="G2" s="9"/>
      <c r="H2" s="9"/>
      <c r="I2" s="9"/>
      <c r="J2" s="9"/>
      <c r="K2" s="9"/>
      <c r="L2" s="9"/>
      <c r="M2" s="9"/>
      <c r="N2" s="9"/>
      <c r="O2" s="9"/>
      <c r="P2" s="9"/>
      <c r="Q2" s="9"/>
      <c r="R2" s="9"/>
      <c r="S2" s="13"/>
      <c r="T2" s="4" t="s">
        <v>3</v>
      </c>
      <c r="U2" s="4"/>
      <c r="V2" s="4"/>
      <c r="W2" s="4"/>
      <c r="X2" s="4"/>
      <c r="Y2" s="4"/>
      <c r="Z2" s="4"/>
    </row>
    <row r="3" ht="22.5" customHeight="1">
      <c r="A3" s="4"/>
      <c r="B3" s="15"/>
      <c r="C3" s="4"/>
      <c r="D3" s="4"/>
      <c r="E3" s="4"/>
      <c r="F3" s="4"/>
      <c r="G3" s="4"/>
      <c r="H3" s="4"/>
      <c r="I3" s="4"/>
      <c r="J3" s="4"/>
      <c r="K3" s="4"/>
      <c r="L3" s="4"/>
      <c r="M3" s="4"/>
      <c r="N3" s="4"/>
      <c r="O3" s="4"/>
      <c r="P3" s="4"/>
      <c r="Q3" s="4"/>
      <c r="R3" s="4"/>
      <c r="S3" s="19"/>
      <c r="T3" s="4"/>
      <c r="U3" s="4"/>
      <c r="V3" s="4"/>
      <c r="W3" s="4"/>
      <c r="X3" s="4"/>
      <c r="Y3" s="4"/>
      <c r="Z3" s="4"/>
    </row>
    <row r="4" ht="18.75" customHeight="1">
      <c r="A4" s="4"/>
      <c r="B4" s="42" t="s">
        <v>5</v>
      </c>
      <c r="C4" s="155">
        <v>533.0</v>
      </c>
      <c r="D4" s="26"/>
      <c r="E4" s="27"/>
      <c r="F4" s="160" t="s">
        <v>7</v>
      </c>
      <c r="G4" s="162" t="s">
        <v>164</v>
      </c>
      <c r="H4" s="163"/>
      <c r="I4" s="165" t="s">
        <v>10</v>
      </c>
      <c r="J4" s="162" t="s">
        <v>8</v>
      </c>
      <c r="K4" s="166"/>
      <c r="L4" s="166"/>
      <c r="M4" s="160" t="s">
        <v>12</v>
      </c>
      <c r="N4" s="162" t="str">
        <f>'533'!BH11</f>
        <v>WIPP</v>
      </c>
      <c r="O4" s="166"/>
      <c r="P4" s="169" t="s">
        <v>17</v>
      </c>
      <c r="Q4" s="171"/>
      <c r="R4" s="428">
        <f>'533'!BC19</f>
        <v>70851</v>
      </c>
      <c r="S4" s="429"/>
      <c r="T4" s="4"/>
      <c r="U4" s="4"/>
      <c r="V4" s="4"/>
      <c r="W4" s="4"/>
      <c r="X4" s="4"/>
      <c r="Y4" s="4"/>
      <c r="Z4" s="4"/>
    </row>
    <row r="5" ht="6.0" customHeight="1">
      <c r="A5" s="4"/>
      <c r="B5" s="42"/>
      <c r="C5" s="45"/>
      <c r="D5" s="45"/>
      <c r="E5" s="45"/>
      <c r="F5" s="166"/>
      <c r="G5" s="166"/>
      <c r="H5" s="166"/>
      <c r="I5" s="166"/>
      <c r="J5" s="166"/>
      <c r="K5" s="166"/>
      <c r="L5" s="166"/>
      <c r="M5" s="160"/>
      <c r="N5" s="166"/>
      <c r="O5" s="166"/>
      <c r="P5" s="176"/>
      <c r="Q5" s="166"/>
      <c r="R5" s="33"/>
      <c r="S5" s="429"/>
      <c r="T5" s="4"/>
      <c r="U5" s="4"/>
      <c r="V5" s="4"/>
      <c r="W5" s="4"/>
      <c r="X5" s="4"/>
      <c r="Y5" s="4"/>
      <c r="Z5" s="4"/>
    </row>
    <row r="6" ht="18.75" customHeight="1">
      <c r="A6" s="4"/>
      <c r="B6" s="42" t="s">
        <v>20</v>
      </c>
      <c r="C6" s="178">
        <f>TODAY()</f>
        <v>46278</v>
      </c>
      <c r="D6" s="26"/>
      <c r="E6" s="27"/>
      <c r="F6" s="433" t="s">
        <v>22</v>
      </c>
      <c r="G6" s="434" t="str">
        <f>J4</f>
        <v>WIII</v>
      </c>
      <c r="H6" s="435"/>
      <c r="I6" s="433" t="s">
        <v>23</v>
      </c>
      <c r="J6" s="434" t="s">
        <v>8</v>
      </c>
      <c r="K6" s="436"/>
      <c r="L6" s="436"/>
      <c r="M6" s="433" t="s">
        <v>12</v>
      </c>
      <c r="N6" s="434" t="str">
        <f>'533'!BH12</f>
        <v/>
      </c>
      <c r="O6" s="436"/>
      <c r="P6" s="437" t="s">
        <v>17</v>
      </c>
      <c r="Q6" s="436"/>
      <c r="R6" s="434" t="str">
        <f>'533'!BC20</f>
        <v/>
      </c>
      <c r="S6" s="429"/>
      <c r="T6" s="4"/>
      <c r="U6" s="4"/>
      <c r="V6" s="4"/>
      <c r="W6" s="4"/>
      <c r="X6" s="4"/>
      <c r="Y6" s="4"/>
      <c r="Z6" s="4"/>
    </row>
    <row r="7" ht="6.0" customHeight="1">
      <c r="A7" s="4"/>
      <c r="B7" s="42"/>
      <c r="C7" s="261"/>
      <c r="D7" s="45"/>
      <c r="E7" s="45"/>
      <c r="F7" s="166"/>
      <c r="G7" s="166"/>
      <c r="H7" s="166"/>
      <c r="I7" s="166"/>
      <c r="J7" s="166"/>
      <c r="K7" s="166"/>
      <c r="L7" s="166"/>
      <c r="M7" s="166"/>
      <c r="N7" s="166"/>
      <c r="O7" s="166"/>
      <c r="P7" s="176"/>
      <c r="Q7" s="166"/>
      <c r="R7" s="33"/>
      <c r="S7" s="429"/>
      <c r="T7" s="4"/>
      <c r="U7" s="4"/>
      <c r="V7" s="4"/>
      <c r="W7" s="4"/>
      <c r="X7" s="4"/>
      <c r="Y7" s="4"/>
      <c r="Z7" s="4"/>
    </row>
    <row r="8" ht="18.75" customHeight="1">
      <c r="A8" s="4"/>
      <c r="B8" s="42" t="s">
        <v>25</v>
      </c>
      <c r="C8" s="185" t="str">
        <f>'533'!BB3</f>
        <v>PK-AZD</v>
      </c>
      <c r="D8" s="392"/>
      <c r="E8" s="45"/>
      <c r="F8" s="188" t="s">
        <v>36</v>
      </c>
      <c r="G8" s="189" t="s">
        <v>8</v>
      </c>
      <c r="H8" s="190"/>
      <c r="I8" s="188" t="s">
        <v>37</v>
      </c>
      <c r="J8" s="189" t="s">
        <v>166</v>
      </c>
      <c r="K8" s="191"/>
      <c r="L8" s="191"/>
      <c r="M8" s="188" t="s">
        <v>12</v>
      </c>
      <c r="N8" s="189" t="str">
        <f>'533'!BH13</f>
        <v/>
      </c>
      <c r="O8" s="191"/>
      <c r="P8" s="194" t="s">
        <v>17</v>
      </c>
      <c r="Q8" s="191"/>
      <c r="R8" s="189" t="str">
        <f>'533'!BC21</f>
        <v/>
      </c>
      <c r="S8" s="429"/>
      <c r="T8" s="4"/>
      <c r="U8" s="4"/>
      <c r="V8" s="4"/>
      <c r="W8" s="4"/>
      <c r="X8" s="4"/>
      <c r="Y8" s="4"/>
      <c r="Z8" s="4"/>
    </row>
    <row r="9" ht="5.25" customHeight="1">
      <c r="A9" s="4"/>
      <c r="B9" s="94"/>
      <c r="C9" s="33"/>
      <c r="D9" s="33"/>
      <c r="E9" s="33"/>
      <c r="F9" s="200"/>
      <c r="G9" s="200"/>
      <c r="H9" s="191"/>
      <c r="I9" s="200"/>
      <c r="J9" s="191"/>
      <c r="K9" s="200"/>
      <c r="L9" s="200"/>
      <c r="M9" s="191"/>
      <c r="N9" s="191"/>
      <c r="O9" s="191"/>
      <c r="P9" s="194"/>
      <c r="Q9" s="191"/>
      <c r="R9" s="203"/>
      <c r="S9" s="429"/>
      <c r="T9" s="4"/>
      <c r="U9" s="4"/>
      <c r="V9" s="4"/>
      <c r="W9" s="4"/>
      <c r="X9" s="4"/>
      <c r="Y9" s="4"/>
      <c r="Z9" s="4"/>
    </row>
    <row r="10" ht="15.75" customHeight="1">
      <c r="A10" s="4"/>
      <c r="B10" s="272"/>
      <c r="C10" s="33"/>
      <c r="D10" s="33"/>
      <c r="E10" s="33"/>
      <c r="F10" s="188" t="s">
        <v>47</v>
      </c>
      <c r="G10" s="189" t="str">
        <f>J8</f>
        <v>WIBB</v>
      </c>
      <c r="H10" s="190"/>
      <c r="I10" s="188" t="s">
        <v>50</v>
      </c>
      <c r="J10" s="189" t="s">
        <v>8</v>
      </c>
      <c r="K10" s="191"/>
      <c r="L10" s="191"/>
      <c r="M10" s="188" t="s">
        <v>12</v>
      </c>
      <c r="N10" s="189" t="str">
        <f>'533'!BH14</f>
        <v/>
      </c>
      <c r="O10" s="191"/>
      <c r="P10" s="194" t="s">
        <v>17</v>
      </c>
      <c r="Q10" s="191"/>
      <c r="R10" s="189" t="str">
        <f>'533'!BC22</f>
        <v/>
      </c>
      <c r="S10" s="429"/>
      <c r="T10" s="4"/>
      <c r="U10" s="4"/>
      <c r="V10" s="4"/>
      <c r="W10" s="4"/>
      <c r="X10" s="4"/>
      <c r="Y10" s="4"/>
      <c r="Z10" s="4"/>
    </row>
    <row r="11" ht="6.0" customHeight="1">
      <c r="A11" s="4"/>
      <c r="B11" s="272"/>
      <c r="C11" s="33"/>
      <c r="D11" s="33"/>
      <c r="E11" s="33"/>
      <c r="F11" s="33"/>
      <c r="G11" s="33"/>
      <c r="H11" s="33"/>
      <c r="I11" s="33"/>
      <c r="J11" s="33"/>
      <c r="K11" s="33"/>
      <c r="L11" s="33"/>
      <c r="M11" s="33"/>
      <c r="N11" s="33"/>
      <c r="O11" s="33"/>
      <c r="P11" s="33"/>
      <c r="Q11" s="33"/>
      <c r="R11" s="33"/>
      <c r="S11" s="429"/>
      <c r="T11" s="4"/>
      <c r="U11" s="4"/>
      <c r="V11" s="4"/>
      <c r="W11" s="4"/>
      <c r="X11" s="4"/>
      <c r="Y11" s="4"/>
      <c r="Z11" s="4"/>
    </row>
    <row r="12" ht="18.75" customHeight="1">
      <c r="A12" s="4"/>
      <c r="B12" s="272"/>
      <c r="C12" s="33" t="s">
        <v>58</v>
      </c>
      <c r="D12" s="33"/>
      <c r="E12" s="33"/>
      <c r="F12" s="33"/>
      <c r="G12" s="33"/>
      <c r="H12" s="33"/>
      <c r="I12" s="33"/>
      <c r="J12" s="33"/>
      <c r="K12" s="33"/>
      <c r="L12" s="33"/>
      <c r="M12" s="33"/>
      <c r="N12" s="33"/>
      <c r="O12" s="33"/>
      <c r="P12" s="33"/>
      <c r="Q12" s="33"/>
      <c r="R12" s="449"/>
      <c r="S12" s="429"/>
      <c r="T12" s="4"/>
      <c r="U12" s="4"/>
      <c r="V12" s="4"/>
      <c r="W12" s="4"/>
      <c r="X12" s="4"/>
      <c r="Y12" s="4"/>
      <c r="Z12" s="4"/>
    </row>
    <row r="13" ht="84.75" customHeight="1">
      <c r="A13" s="4"/>
      <c r="B13" s="272"/>
      <c r="C13" s="111" t="s">
        <v>164</v>
      </c>
      <c r="D13" s="112" t="str">
        <f>WX!B13</f>
        <v/>
      </c>
      <c r="E13" s="87"/>
      <c r="F13" s="87"/>
      <c r="G13" s="87"/>
      <c r="H13" s="87"/>
      <c r="I13" s="87"/>
      <c r="J13" s="87"/>
      <c r="K13" s="87"/>
      <c r="L13" s="87"/>
      <c r="M13" s="87"/>
      <c r="N13" s="87"/>
      <c r="O13" s="87"/>
      <c r="P13" s="87"/>
      <c r="Q13" s="87"/>
      <c r="R13" s="88"/>
      <c r="S13" s="452"/>
      <c r="T13" s="4"/>
      <c r="U13" s="4"/>
      <c r="V13" s="4"/>
      <c r="W13" s="4"/>
      <c r="X13" s="4"/>
      <c r="Y13" s="4"/>
      <c r="Z13" s="4"/>
    </row>
    <row r="14" ht="84.75" customHeight="1">
      <c r="A14" s="4"/>
      <c r="B14" s="272"/>
      <c r="C14" s="111" t="s">
        <v>8</v>
      </c>
      <c r="D14" s="112" t="str">
        <f>WX!B3</f>
        <v>TAF WIII 060500Z 0606/0712 03010KT 9000 FEW020 
  TEMPO 0606/0609 5000 SHRA FEW018CB BKN020 
  BECMG 0611/0613 19003KT 
  BECMG 0619/0621 5000 HZ 
  BECMG 0700/0702 02010KT 8000 NSW</v>
      </c>
      <c r="E14" s="87"/>
      <c r="F14" s="87"/>
      <c r="G14" s="87"/>
      <c r="H14" s="87"/>
      <c r="I14" s="87"/>
      <c r="J14" s="87"/>
      <c r="K14" s="87"/>
      <c r="L14" s="87"/>
      <c r="M14" s="87"/>
      <c r="N14" s="87"/>
      <c r="O14" s="87"/>
      <c r="P14" s="87"/>
      <c r="Q14" s="87"/>
      <c r="R14" s="88"/>
      <c r="S14" s="452"/>
      <c r="T14" s="4"/>
      <c r="U14" s="4"/>
      <c r="V14" s="4"/>
      <c r="W14" s="4"/>
      <c r="X14" s="4"/>
      <c r="Y14" s="4"/>
      <c r="Z14" s="4"/>
    </row>
    <row r="15" ht="43.5" customHeight="1">
      <c r="A15" s="4"/>
      <c r="B15" s="272"/>
      <c r="C15" s="111" t="s">
        <v>69</v>
      </c>
      <c r="D15" s="112" t="str">
        <f>WX!B5</f>
        <v>TAF WIPP 060500Z 0606/0706 16008KT 9999 SCT015 
  TEMPO 0607/0610 4000 TSRA FEW010CB BKN012 
  TEMPO 0621/0624 5000 HZ</v>
      </c>
      <c r="E15" s="87"/>
      <c r="F15" s="87"/>
      <c r="G15" s="87"/>
      <c r="H15" s="87"/>
      <c r="I15" s="87"/>
      <c r="J15" s="87"/>
      <c r="K15" s="87"/>
      <c r="L15" s="87"/>
      <c r="M15" s="87"/>
      <c r="N15" s="87"/>
      <c r="O15" s="87"/>
      <c r="P15" s="87"/>
      <c r="Q15" s="87"/>
      <c r="R15" s="88"/>
      <c r="S15" s="456"/>
      <c r="T15" s="4"/>
      <c r="U15" s="4"/>
      <c r="V15" s="4"/>
      <c r="W15" s="4"/>
      <c r="X15" s="4"/>
      <c r="Y15" s="4"/>
      <c r="Z15" s="4"/>
    </row>
    <row r="16" ht="82.5" customHeight="1">
      <c r="A16" s="4"/>
      <c r="B16" s="272"/>
      <c r="C16" s="111" t="s">
        <v>169</v>
      </c>
      <c r="D16" s="112" t="str">
        <f>WX!B7</f>
        <v>TAF WARR 060500Z 0606/0706 09010KT 9999 FEW020 
  TEMPO 0621/0701 25004KT 5000 HZ</v>
      </c>
      <c r="E16" s="87"/>
      <c r="F16" s="87"/>
      <c r="G16" s="87"/>
      <c r="H16" s="87"/>
      <c r="I16" s="87"/>
      <c r="J16" s="87"/>
      <c r="K16" s="87"/>
      <c r="L16" s="87"/>
      <c r="M16" s="87"/>
      <c r="N16" s="87"/>
      <c r="O16" s="87"/>
      <c r="P16" s="87"/>
      <c r="Q16" s="87"/>
      <c r="R16" s="88"/>
      <c r="S16" s="457"/>
      <c r="T16" s="4"/>
      <c r="U16" s="4"/>
      <c r="V16" s="4"/>
      <c r="W16" s="4"/>
      <c r="X16" s="4"/>
      <c r="Y16" s="4"/>
      <c r="Z16" s="4"/>
    </row>
    <row r="17" ht="66.0" customHeight="1">
      <c r="A17" s="4"/>
      <c r="B17" s="272"/>
      <c r="C17" s="111" t="s">
        <v>152</v>
      </c>
      <c r="D17" s="112" t="str">
        <f>WX!B8</f>
        <v>TAF WADD 052300Z 0600/0700 11012KT 9999 SCT017 
  TEMPO 0614/0618 4000 RA BKN014</v>
      </c>
      <c r="E17" s="87"/>
      <c r="F17" s="87"/>
      <c r="G17" s="87"/>
      <c r="H17" s="87"/>
      <c r="I17" s="87"/>
      <c r="J17" s="87"/>
      <c r="K17" s="87"/>
      <c r="L17" s="87"/>
      <c r="M17" s="87"/>
      <c r="N17" s="87"/>
      <c r="O17" s="87"/>
      <c r="P17" s="87"/>
      <c r="Q17" s="87"/>
      <c r="R17" s="88"/>
      <c r="S17" s="452"/>
      <c r="T17" s="4"/>
      <c r="U17" s="4"/>
      <c r="V17" s="4"/>
      <c r="W17" s="4"/>
      <c r="X17" s="4"/>
      <c r="Y17" s="4"/>
      <c r="Z17" s="4"/>
    </row>
    <row r="18" ht="15.75" customHeight="1">
      <c r="A18" s="4"/>
      <c r="B18" s="272"/>
      <c r="C18" s="33"/>
      <c r="D18" s="33"/>
      <c r="E18" s="33"/>
      <c r="F18" s="33"/>
      <c r="G18" s="33"/>
      <c r="H18" s="33"/>
      <c r="I18" s="33"/>
      <c r="J18" s="33"/>
      <c r="K18" s="33"/>
      <c r="L18" s="33"/>
      <c r="M18" s="33"/>
      <c r="N18" s="33"/>
      <c r="O18" s="33"/>
      <c r="P18" s="33"/>
      <c r="Q18" s="33"/>
      <c r="R18" s="121"/>
      <c r="S18" s="429"/>
      <c r="T18" s="4"/>
      <c r="U18" s="4"/>
      <c r="V18" s="4"/>
      <c r="W18" s="4"/>
      <c r="X18" s="4"/>
      <c r="Y18" s="4"/>
      <c r="Z18" s="4"/>
    </row>
    <row r="19" ht="15.75" customHeight="1">
      <c r="A19" s="4"/>
      <c r="B19" s="272"/>
      <c r="C19" s="123"/>
      <c r="D19" s="123" t="s">
        <v>73</v>
      </c>
      <c r="E19" s="123" t="s">
        <v>74</v>
      </c>
      <c r="F19" s="125" t="s">
        <v>75</v>
      </c>
      <c r="G19" s="126"/>
      <c r="H19" s="126"/>
      <c r="I19" s="126"/>
      <c r="J19" s="127"/>
      <c r="K19" s="123" t="s">
        <v>73</v>
      </c>
      <c r="L19" s="123" t="s">
        <v>73</v>
      </c>
      <c r="M19" s="123" t="s">
        <v>74</v>
      </c>
      <c r="N19" s="125" t="s">
        <v>75</v>
      </c>
      <c r="O19" s="126"/>
      <c r="P19" s="126"/>
      <c r="Q19" s="126"/>
      <c r="R19" s="127"/>
      <c r="S19" s="461"/>
      <c r="T19" s="4"/>
      <c r="U19" s="4"/>
      <c r="V19" s="4"/>
      <c r="W19" s="4"/>
      <c r="X19" s="4"/>
      <c r="Y19" s="4"/>
      <c r="Z19" s="4"/>
    </row>
    <row r="20" ht="15.75" customHeight="1">
      <c r="A20" s="4"/>
      <c r="B20" s="272"/>
      <c r="C20" s="130"/>
      <c r="D20" s="398" t="s">
        <v>76</v>
      </c>
      <c r="E20" s="130"/>
      <c r="F20" s="132"/>
      <c r="G20" s="133"/>
      <c r="H20" s="133"/>
      <c r="I20" s="133"/>
      <c r="J20" s="134"/>
      <c r="K20" s="398" t="s">
        <v>76</v>
      </c>
      <c r="L20" s="398" t="s">
        <v>76</v>
      </c>
      <c r="M20" s="130"/>
      <c r="N20" s="132"/>
      <c r="O20" s="133"/>
      <c r="P20" s="133"/>
      <c r="Q20" s="133"/>
      <c r="R20" s="134"/>
      <c r="S20" s="461"/>
      <c r="T20" s="4"/>
      <c r="U20" s="4"/>
      <c r="V20" s="4"/>
      <c r="W20" s="4"/>
      <c r="X20" s="4"/>
      <c r="Y20" s="4"/>
      <c r="Z20" s="4"/>
    </row>
    <row r="21" ht="51.75" customHeight="1">
      <c r="A21" s="4"/>
      <c r="B21" s="272"/>
      <c r="C21" s="135" t="s">
        <v>7</v>
      </c>
      <c r="D21" s="111" t="str">
        <f>G4</f>
        <v>YPPH</v>
      </c>
      <c r="E21" s="170">
        <f>'533'!BE4</f>
        <v>0.4097222222</v>
      </c>
      <c r="F21" s="141" t="s">
        <v>172</v>
      </c>
      <c r="G21" s="87"/>
      <c r="H21" s="87"/>
      <c r="I21" s="87"/>
      <c r="J21" s="88"/>
      <c r="K21" s="250" t="s">
        <v>36</v>
      </c>
      <c r="L21" s="251" t="str">
        <f>G8</f>
        <v>WIII</v>
      </c>
      <c r="M21" s="253">
        <f>'533'!BE6</f>
        <v>0.4375</v>
      </c>
      <c r="N21" s="257"/>
      <c r="O21" s="87"/>
      <c r="P21" s="87"/>
      <c r="Q21" s="87"/>
      <c r="R21" s="88"/>
      <c r="S21" s="461"/>
      <c r="T21" s="4"/>
      <c r="U21" s="4"/>
      <c r="V21" s="4"/>
      <c r="W21" s="4"/>
      <c r="X21" s="4"/>
      <c r="Y21" s="4"/>
      <c r="Z21" s="4"/>
    </row>
    <row r="22" ht="51.75" customHeight="1">
      <c r="A22" s="4"/>
      <c r="B22" s="272"/>
      <c r="C22" s="135" t="s">
        <v>10</v>
      </c>
      <c r="D22" s="111" t="str">
        <f>J4</f>
        <v>WIII</v>
      </c>
      <c r="E22" s="170">
        <f>'533'!BF4</f>
        <v>0.6076388889</v>
      </c>
      <c r="F22" s="141" t="s">
        <v>174</v>
      </c>
      <c r="G22" s="87"/>
      <c r="H22" s="87"/>
      <c r="I22" s="87"/>
      <c r="J22" s="88"/>
      <c r="K22" s="250" t="s">
        <v>37</v>
      </c>
      <c r="L22" s="251" t="str">
        <f>J8</f>
        <v>WIBB</v>
      </c>
      <c r="M22" s="253">
        <f>'533'!BF6</f>
        <v>0.5104166667</v>
      </c>
      <c r="N22" s="257"/>
      <c r="O22" s="87"/>
      <c r="P22" s="87"/>
      <c r="Q22" s="87"/>
      <c r="R22" s="88"/>
      <c r="S22" s="461"/>
      <c r="T22" s="4"/>
      <c r="U22" s="4"/>
      <c r="V22" s="4"/>
      <c r="W22" s="4"/>
      <c r="X22" s="4"/>
      <c r="Y22" s="4"/>
      <c r="Z22" s="4"/>
    </row>
    <row r="23" ht="26.25" customHeight="1">
      <c r="A23" s="4"/>
      <c r="B23" s="272"/>
      <c r="C23" s="284"/>
      <c r="D23" s="284"/>
      <c r="E23" s="285"/>
      <c r="F23" s="284"/>
      <c r="G23" s="284"/>
      <c r="H23" s="284"/>
      <c r="I23" s="284"/>
      <c r="J23" s="284"/>
      <c r="K23" s="284"/>
      <c r="L23" s="284"/>
      <c r="M23" s="284"/>
      <c r="N23" s="284"/>
      <c r="O23" s="284"/>
      <c r="P23" s="284"/>
      <c r="Q23" s="284"/>
      <c r="R23" s="287"/>
      <c r="S23" s="461"/>
      <c r="T23" s="4"/>
      <c r="U23" s="4"/>
      <c r="V23" s="4"/>
      <c r="W23" s="4"/>
      <c r="X23" s="4"/>
      <c r="Y23" s="4"/>
      <c r="Z23" s="4"/>
    </row>
    <row r="24" ht="15.75" customHeight="1">
      <c r="A24" s="4"/>
      <c r="B24" s="272"/>
      <c r="C24" s="123"/>
      <c r="D24" s="406" t="s">
        <v>73</v>
      </c>
      <c r="E24" s="125" t="s">
        <v>119</v>
      </c>
      <c r="F24" s="126"/>
      <c r="G24" s="126"/>
      <c r="H24" s="126"/>
      <c r="I24" s="126"/>
      <c r="J24" s="126"/>
      <c r="K24" s="126"/>
      <c r="L24" s="126"/>
      <c r="M24" s="126"/>
      <c r="N24" s="126"/>
      <c r="O24" s="126"/>
      <c r="P24" s="126"/>
      <c r="Q24" s="126"/>
      <c r="R24" s="127"/>
      <c r="S24" s="461"/>
      <c r="T24" s="4"/>
      <c r="U24" s="4"/>
      <c r="V24" s="4"/>
      <c r="W24" s="4"/>
      <c r="X24" s="4"/>
      <c r="Y24" s="4"/>
      <c r="Z24" s="4"/>
    </row>
    <row r="25" ht="15.75" customHeight="1">
      <c r="A25" s="4"/>
      <c r="B25" s="272"/>
      <c r="C25" s="130"/>
      <c r="D25" s="407" t="s">
        <v>76</v>
      </c>
      <c r="E25" s="132"/>
      <c r="F25" s="133"/>
      <c r="G25" s="133"/>
      <c r="H25" s="133"/>
      <c r="I25" s="133"/>
      <c r="J25" s="133"/>
      <c r="K25" s="133"/>
      <c r="L25" s="133"/>
      <c r="M25" s="133"/>
      <c r="N25" s="133"/>
      <c r="O25" s="133"/>
      <c r="P25" s="133"/>
      <c r="Q25" s="133"/>
      <c r="R25" s="134"/>
      <c r="S25" s="461"/>
      <c r="T25" s="4"/>
      <c r="U25" s="4"/>
      <c r="V25" s="4"/>
      <c r="W25" s="4"/>
      <c r="X25" s="4"/>
      <c r="Y25" s="4"/>
      <c r="Z25" s="4"/>
    </row>
    <row r="26" ht="3.0" customHeight="1">
      <c r="A26" s="4"/>
      <c r="B26" s="272"/>
      <c r="C26" s="304"/>
      <c r="D26" s="304"/>
      <c r="E26" s="306"/>
      <c r="F26" s="308"/>
      <c r="G26" s="308"/>
      <c r="H26" s="308"/>
      <c r="I26" s="308"/>
      <c r="J26" s="308"/>
      <c r="K26" s="308"/>
      <c r="L26" s="308"/>
      <c r="M26" s="308"/>
      <c r="N26" s="308"/>
      <c r="O26" s="308"/>
      <c r="P26" s="308"/>
      <c r="Q26" s="308"/>
      <c r="R26" s="311"/>
      <c r="S26" s="466"/>
      <c r="T26" s="4"/>
      <c r="U26" s="4"/>
      <c r="V26" s="4"/>
      <c r="W26" s="4"/>
      <c r="X26" s="4"/>
      <c r="Y26" s="4"/>
      <c r="Z26" s="4"/>
    </row>
    <row r="27" ht="271.5" customHeight="1">
      <c r="A27" s="4"/>
      <c r="B27" s="272"/>
      <c r="C27" s="301"/>
      <c r="D27" s="302" t="s">
        <v>8</v>
      </c>
      <c r="E27" s="305" t="str">
        <f>NOTAM!B3</f>
        <v>A2668/24 - RWY 06/24 CLSD DUE TO RUBBER DEPOSITE REMOVAL. DAILY 1600-2200, 04 OCT 16:00 2024 UNTIL 11 OCT 22:00 2024. CREATED: 02 SEP 12:03 2024
A2667/24 - RWY 07L/25R CLSD DUE TO RUBBER DEPOSITE REMOVAL. SEP 05 1600-2200 06-07 1500-2200 08 1600-2200 09-10 1500-2200 OCT 04-05 1500-2200 06 1600-2200 07-09 1500-2200 10 1600-2200 11 1500-2200, 05 SEP 16:00 2024 UNTIL 11 OCT 22:00 2024. CREATED: 02 SEP 11:58 2024
A2175/24 - INSET THR LGT ON RWY 07R/25L U/S DUE TO WIP
RMK: ELEVATED THR LGT AVBL. 01 AUG 00:00 2024 UNTIL 31 OCT 23:59 2024. CREATED: 18 JUL 13:14 2024
A2172/24 - RWY CENTRE LINE LGT ON RWY 07R/25L U/S DUE TO WIP. 01 AUG 00:00 2024 UNTIL 31 OCT 23:59 2024. CREATED: 18 JUL 12:50 2024</v>
      </c>
      <c r="F27" s="87"/>
      <c r="G27" s="87"/>
      <c r="H27" s="87"/>
      <c r="I27" s="87"/>
      <c r="J27" s="87"/>
      <c r="K27" s="87"/>
      <c r="L27" s="87"/>
      <c r="M27" s="87"/>
      <c r="N27" s="87"/>
      <c r="O27" s="87"/>
      <c r="P27" s="87"/>
      <c r="Q27" s="87"/>
      <c r="R27" s="88"/>
      <c r="S27" s="466"/>
      <c r="T27" s="4"/>
      <c r="U27" s="4"/>
      <c r="V27" s="4"/>
      <c r="W27" s="4"/>
      <c r="X27" s="4"/>
      <c r="Y27" s="4"/>
      <c r="Z27" s="4"/>
    </row>
    <row r="28" ht="324.0" customHeight="1">
      <c r="A28" s="4"/>
      <c r="B28" s="272"/>
      <c r="C28" s="409"/>
      <c r="D28" s="111" t="s">
        <v>164</v>
      </c>
      <c r="E28" s="305" t="str">
        <f>NOTAM!B16</f>
        <v/>
      </c>
      <c r="F28" s="87"/>
      <c r="G28" s="87"/>
      <c r="H28" s="87"/>
      <c r="I28" s="87"/>
      <c r="J28" s="87"/>
      <c r="K28" s="87"/>
      <c r="L28" s="87"/>
      <c r="M28" s="87"/>
      <c r="N28" s="87"/>
      <c r="O28" s="87"/>
      <c r="P28" s="87"/>
      <c r="Q28" s="87"/>
      <c r="R28" s="88"/>
      <c r="S28" s="466"/>
      <c r="T28" s="4"/>
      <c r="U28" s="4"/>
      <c r="V28" s="4"/>
      <c r="W28" s="4"/>
      <c r="X28" s="4"/>
      <c r="Y28" s="4"/>
      <c r="Z28" s="4"/>
    </row>
    <row r="29" ht="229.5" customHeight="1">
      <c r="A29" s="4"/>
      <c r="B29" s="272"/>
      <c r="C29" s="409"/>
      <c r="D29" s="111" t="s">
        <v>152</v>
      </c>
      <c r="E29" s="305" t="str">
        <f>NOTAM!B8</f>
        <v>A2574/24 - TRIGGER NOTAM-PERM AIRAC AIP AMDT 151 WEF 03 OCT 2024
CHANGES INFORMATION OF I GUSTI NGURAH RAI AIRPORT - BALI. 03 OCT 00:00 2024
UNTIL 16 OCT 23:59 2024. CREATED: 26 AUG 02:49 2024</v>
      </c>
      <c r="F29" s="87"/>
      <c r="G29" s="87"/>
      <c r="H29" s="87"/>
      <c r="I29" s="87"/>
      <c r="J29" s="87"/>
      <c r="K29" s="87"/>
      <c r="L29" s="87"/>
      <c r="M29" s="87"/>
      <c r="N29" s="87"/>
      <c r="O29" s="87"/>
      <c r="P29" s="87"/>
      <c r="Q29" s="87"/>
      <c r="R29" s="88"/>
      <c r="S29" s="466"/>
      <c r="T29" s="4"/>
      <c r="U29" s="4"/>
      <c r="V29" s="4"/>
      <c r="W29" s="4"/>
      <c r="X29" s="4"/>
      <c r="Y29" s="4"/>
      <c r="Z29" s="4"/>
    </row>
    <row r="30" ht="144.0" customHeight="1">
      <c r="A30" s="4"/>
      <c r="B30" s="272"/>
      <c r="C30" s="469"/>
      <c r="D30" s="470" t="s">
        <v>69</v>
      </c>
      <c r="E30" s="332" t="str">
        <f>NOTAM!B5</f>
        <v>B2027/24 - RWY WIP DUE TO MAINT PSN 1245M BEYOND THR RWY 11, 26.5M NORTH EAST FM CENTERLINE AND PSN 1245M FM BEGINNING THR RWY 11, 67.5M SOUTHWEST FM CENTERLINE
RMK : ALL TFC CTN. 02 OCT 06:26 2024 UNTIL 16 OCT 22:00 2024. CREATED: 02 OCT 06:26 2024
B1894/24 - RWY 11/29 CLSD DUE TO RWY INSPECTION. DAILY 0550-0615, 16 SEP 05:50 2024 UNTIL 27 NOV 06:15 2024. CREATED: 15 SEP 10:46 2024
B1761/24 - PALS RWY 29 PARTLY U/S DUE TO TECR
RMK: AVBL APRX 85 PER CENT. 28 AUG 17:00 2024 UNTIL 28 NOV 16:00 2024. CREATED:
28 AUG 11:29 2024</v>
      </c>
      <c r="F30" s="333"/>
      <c r="G30" s="333"/>
      <c r="H30" s="333"/>
      <c r="I30" s="333"/>
      <c r="J30" s="333"/>
      <c r="K30" s="333"/>
      <c r="L30" s="333"/>
      <c r="M30" s="333"/>
      <c r="N30" s="333"/>
      <c r="O30" s="333"/>
      <c r="P30" s="333"/>
      <c r="Q30" s="333"/>
      <c r="R30" s="336"/>
      <c r="S30" s="471"/>
      <c r="T30" s="4"/>
      <c r="U30" s="4"/>
      <c r="V30" s="4"/>
      <c r="W30" s="4"/>
      <c r="X30" s="4"/>
      <c r="Y30" s="4"/>
      <c r="Z30" s="4"/>
    </row>
    <row r="31" ht="27.75" customHeight="1">
      <c r="A31" s="4"/>
      <c r="B31" s="272"/>
      <c r="C31" s="347" t="s">
        <v>134</v>
      </c>
      <c r="D31" s="87"/>
      <c r="E31" s="87"/>
      <c r="F31" s="87"/>
      <c r="G31" s="87"/>
      <c r="H31" s="87"/>
      <c r="I31" s="87"/>
      <c r="J31" s="87"/>
      <c r="K31" s="87"/>
      <c r="L31" s="87"/>
      <c r="M31" s="87"/>
      <c r="N31" s="87"/>
      <c r="O31" s="87"/>
      <c r="P31" s="87"/>
      <c r="Q31" s="87"/>
      <c r="R31" s="88"/>
      <c r="S31" s="429"/>
      <c r="T31" s="4"/>
      <c r="U31" s="4"/>
      <c r="V31" s="4"/>
      <c r="W31" s="4"/>
      <c r="X31" s="4"/>
      <c r="Y31" s="4"/>
      <c r="Z31" s="4"/>
    </row>
    <row r="32" ht="15.75" hidden="1" customHeight="1">
      <c r="A32" s="4"/>
      <c r="B32" s="272"/>
      <c r="C32" s="33"/>
      <c r="D32" s="33"/>
      <c r="E32" s="33"/>
      <c r="F32" s="33"/>
      <c r="G32" s="33"/>
      <c r="H32" s="33"/>
      <c r="I32" s="33"/>
      <c r="J32" s="33"/>
      <c r="K32" s="33"/>
      <c r="L32" s="33"/>
      <c r="M32" s="33"/>
      <c r="N32" s="33"/>
      <c r="O32" s="33"/>
      <c r="P32" s="33"/>
      <c r="Q32" s="33"/>
      <c r="R32" s="33"/>
      <c r="S32" s="429"/>
      <c r="T32" s="4"/>
      <c r="U32" s="4"/>
      <c r="V32" s="4"/>
      <c r="W32" s="4"/>
      <c r="X32" s="4"/>
      <c r="Y32" s="4"/>
      <c r="Z32" s="4"/>
    </row>
    <row r="33" ht="15.75" customHeight="1">
      <c r="A33" s="4"/>
      <c r="B33" s="272"/>
      <c r="C33" s="33"/>
      <c r="D33" s="33"/>
      <c r="E33" s="284" t="s">
        <v>125</v>
      </c>
      <c r="F33" s="33"/>
      <c r="G33" s="33"/>
      <c r="I33" s="33"/>
      <c r="J33" s="33"/>
      <c r="K33" s="33"/>
      <c r="L33" s="33"/>
      <c r="M33" s="33"/>
      <c r="N33" s="33"/>
      <c r="O33" s="33"/>
      <c r="P33" s="284" t="s">
        <v>126</v>
      </c>
      <c r="Q33" s="33"/>
      <c r="R33" s="33"/>
      <c r="S33" s="429"/>
      <c r="T33" s="4"/>
      <c r="U33" s="4"/>
      <c r="V33" s="4"/>
      <c r="W33" s="4"/>
      <c r="X33" s="4"/>
      <c r="Y33" s="4"/>
      <c r="Z33" s="4"/>
    </row>
    <row r="34" ht="15.75" customHeight="1">
      <c r="A34" s="4"/>
      <c r="B34" s="272"/>
      <c r="C34" s="33"/>
      <c r="D34" s="33"/>
      <c r="E34" s="284" t="s">
        <v>127</v>
      </c>
      <c r="F34" s="33"/>
      <c r="G34" s="33"/>
      <c r="I34" s="33"/>
      <c r="J34" s="33"/>
      <c r="K34" s="33"/>
      <c r="L34" s="33"/>
      <c r="M34" s="33"/>
      <c r="N34" s="33"/>
      <c r="O34" s="33"/>
      <c r="P34" s="284" t="s">
        <v>127</v>
      </c>
      <c r="Q34" s="33"/>
      <c r="R34" s="33"/>
      <c r="S34" s="429"/>
      <c r="T34" s="4"/>
      <c r="U34" s="4"/>
      <c r="V34" s="4"/>
      <c r="W34" s="4"/>
      <c r="X34" s="4"/>
      <c r="Y34" s="4"/>
      <c r="Z34" s="4"/>
    </row>
    <row r="35" ht="19.5" customHeight="1">
      <c r="A35" s="4"/>
      <c r="B35" s="272"/>
      <c r="C35" s="33"/>
      <c r="D35" s="33"/>
      <c r="E35" s="33"/>
      <c r="F35" s="33"/>
      <c r="G35" s="33"/>
      <c r="H35" s="33"/>
      <c r="I35" s="33"/>
      <c r="J35" s="33"/>
      <c r="K35" s="33"/>
      <c r="L35" s="33"/>
      <c r="M35" s="33"/>
      <c r="N35" s="33"/>
      <c r="O35" s="33"/>
      <c r="P35" s="33"/>
      <c r="Q35" s="33"/>
      <c r="R35" s="33"/>
      <c r="S35" s="429"/>
      <c r="T35" s="4"/>
      <c r="U35" s="4"/>
      <c r="V35" s="4"/>
      <c r="W35" s="4"/>
      <c r="X35" s="4"/>
      <c r="Y35" s="4"/>
      <c r="Z35" s="4"/>
    </row>
    <row r="36" ht="19.5" customHeight="1">
      <c r="A36" s="4"/>
      <c r="B36" s="272"/>
      <c r="C36" s="33"/>
      <c r="D36" s="33"/>
      <c r="E36" s="33"/>
      <c r="F36" s="33"/>
      <c r="G36" s="33"/>
      <c r="H36" s="33"/>
      <c r="I36" s="33"/>
      <c r="J36" s="33"/>
      <c r="K36" s="33"/>
      <c r="L36" s="33"/>
      <c r="M36" s="33"/>
      <c r="N36" s="33"/>
      <c r="O36" s="33"/>
      <c r="P36" s="33"/>
      <c r="Q36" s="33"/>
      <c r="R36" s="33"/>
      <c r="S36" s="429"/>
      <c r="T36" s="4"/>
      <c r="U36" s="4"/>
      <c r="V36" s="4"/>
      <c r="W36" s="4"/>
      <c r="X36" s="4"/>
      <c r="Y36" s="4"/>
      <c r="Z36" s="4"/>
    </row>
    <row r="37" ht="15.75" customHeight="1">
      <c r="A37" s="4"/>
      <c r="B37" s="272"/>
      <c r="C37" s="33"/>
      <c r="G37" s="45"/>
      <c r="H37" s="33"/>
      <c r="I37" s="33"/>
      <c r="J37" s="33"/>
      <c r="K37" s="33"/>
      <c r="L37" s="33"/>
      <c r="M37" s="33"/>
      <c r="N37" s="33"/>
      <c r="O37" s="33"/>
      <c r="P37" s="33"/>
      <c r="Q37" s="33"/>
      <c r="R37" s="33"/>
      <c r="S37" s="429"/>
      <c r="T37" s="4"/>
      <c r="U37" s="4"/>
      <c r="V37" s="4"/>
      <c r="W37" s="4"/>
      <c r="X37" s="4"/>
      <c r="Y37" s="4"/>
      <c r="Z37" s="4"/>
    </row>
    <row r="38" ht="15.75" customHeight="1">
      <c r="A38" s="4"/>
      <c r="B38" s="272"/>
      <c r="C38" s="33"/>
      <c r="D38" s="45" t="s">
        <v>175</v>
      </c>
      <c r="E38" s="45"/>
      <c r="F38" s="45"/>
      <c r="K38" s="33"/>
      <c r="L38" s="33"/>
      <c r="M38" s="33"/>
      <c r="N38" s="323" t="str">
        <f>'533'!BC17</f>
        <v>CAPT. DAVID WIBAWA SAPULETE</v>
      </c>
      <c r="S38" s="429"/>
      <c r="T38" s="4"/>
      <c r="U38" s="4"/>
      <c r="V38" s="4"/>
      <c r="W38" s="4"/>
      <c r="X38" s="4"/>
      <c r="Y38" s="4"/>
      <c r="Z38" s="4"/>
    </row>
    <row r="39" ht="15.75" customHeight="1">
      <c r="A39" s="4"/>
      <c r="B39" s="272"/>
      <c r="C39" s="33"/>
      <c r="D39" s="478" t="s">
        <v>130</v>
      </c>
      <c r="F39" s="33"/>
      <c r="G39" s="33"/>
      <c r="I39" s="33"/>
      <c r="J39" s="33"/>
      <c r="K39" s="33"/>
      <c r="L39" s="33"/>
      <c r="M39" s="33"/>
      <c r="N39" s="33"/>
      <c r="O39" s="33"/>
      <c r="P39" s="33" t="s">
        <v>131</v>
      </c>
      <c r="Q39" s="33"/>
      <c r="R39" s="33"/>
      <c r="S39" s="429"/>
      <c r="T39" s="4"/>
      <c r="U39" s="4"/>
      <c r="V39" s="4"/>
      <c r="W39" s="4"/>
      <c r="X39" s="4"/>
      <c r="Y39" s="4"/>
      <c r="Z39" s="4"/>
    </row>
    <row r="40" ht="6.0" customHeight="1">
      <c r="A40" s="4"/>
      <c r="B40" s="329"/>
      <c r="C40" s="330"/>
      <c r="D40" s="330"/>
      <c r="E40" s="330"/>
      <c r="F40" s="330"/>
      <c r="G40" s="330"/>
      <c r="H40" s="330"/>
      <c r="I40" s="330"/>
      <c r="J40" s="330"/>
      <c r="K40" s="330"/>
      <c r="L40" s="330"/>
      <c r="M40" s="330"/>
      <c r="N40" s="330"/>
      <c r="O40" s="330"/>
      <c r="P40" s="330"/>
      <c r="Q40" s="330"/>
      <c r="R40" s="330"/>
      <c r="S40" s="335"/>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C6:E6"/>
    <mergeCell ref="C19:C20"/>
    <mergeCell ref="E19:E20"/>
    <mergeCell ref="C24:C25"/>
    <mergeCell ref="B2:S2"/>
    <mergeCell ref="C4:E4"/>
    <mergeCell ref="D13:R13"/>
    <mergeCell ref="D14:R14"/>
    <mergeCell ref="D15:R15"/>
    <mergeCell ref="D16:R16"/>
    <mergeCell ref="D17:R17"/>
    <mergeCell ref="E24:R25"/>
    <mergeCell ref="E27:R27"/>
    <mergeCell ref="E28:R28"/>
    <mergeCell ref="E29:R29"/>
    <mergeCell ref="E30:R30"/>
    <mergeCell ref="C31:R31"/>
    <mergeCell ref="N38:R38"/>
    <mergeCell ref="D39:E39"/>
    <mergeCell ref="F19:J20"/>
    <mergeCell ref="M19:M20"/>
    <mergeCell ref="N19:R20"/>
    <mergeCell ref="F21:J21"/>
    <mergeCell ref="N21:R21"/>
    <mergeCell ref="F22:J22"/>
    <mergeCell ref="N22:R22"/>
  </mergeCells>
  <printOptions horizontalCentered="1" verticalCentered="1"/>
  <pageMargins bottom="0.0" footer="0.0" header="0.0" left="0.119444444444444" right="0.0798611111111111" top="0.0"/>
  <pageSetup paperSize="9" orientation="portrait"/>
  <headerFooter>
    <oddFooter>&amp;CPage &amp;P of</oddFooter>
  </headerFooter>
  <rowBreaks count="1" manualBreakCount="1">
    <brk id="40" man="1"/>
  </rowBrea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workbookViewId="0"/>
  </sheetViews>
  <sheetFormatPr customHeight="1" defaultColWidth="12.63" defaultRowHeight="15.0"/>
  <cols>
    <col customWidth="1" min="1" max="1" width="3.5"/>
    <col customWidth="1" min="2" max="2" width="3.0"/>
    <col customWidth="1" min="3" max="3" width="8.0"/>
    <col customWidth="1" min="4" max="4" width="1.63"/>
    <col customWidth="1" min="5" max="6" width="4.5"/>
    <col customWidth="1" min="7" max="7" width="8.25"/>
    <col customWidth="1" min="8" max="8" width="2.38"/>
    <col customWidth="1" min="9" max="10" width="2.13"/>
    <col customWidth="1" min="11" max="11" width="2.0"/>
    <col customWidth="1" min="12" max="12" width="4.5"/>
    <col customWidth="1" min="13" max="13" width="3.13"/>
    <col customWidth="1" min="14" max="14" width="3.5"/>
    <col customWidth="1" min="15" max="15" width="3.0"/>
    <col customWidth="1" min="16" max="16" width="8.0"/>
    <col customWidth="1" min="17" max="17" width="1.63"/>
    <col customWidth="1" min="18" max="18" width="4.5"/>
    <col customWidth="1" min="19" max="19" width="6.25"/>
    <col customWidth="1" min="20" max="20" width="8.25"/>
    <col customWidth="1" min="21" max="21" width="2.38"/>
    <col customWidth="1" min="22" max="23" width="2.13"/>
    <col customWidth="1" min="24" max="24" width="2.0"/>
    <col customWidth="1" min="25" max="25" width="4.5"/>
    <col customWidth="1" min="26" max="26" width="2.75"/>
    <col customWidth="1" min="27" max="27" width="3.5"/>
    <col customWidth="1" min="28" max="28" width="3.0"/>
    <col customWidth="1" min="29" max="29" width="8.0"/>
    <col customWidth="1" min="30" max="30" width="1.63"/>
    <col customWidth="1" min="31" max="31" width="4.5"/>
    <col customWidth="1" min="32" max="32" width="6.88"/>
    <col customWidth="1" min="33" max="33" width="8.25"/>
    <col customWidth="1" min="34" max="34" width="2.38"/>
    <col customWidth="1" min="35" max="36" width="2.13"/>
    <col customWidth="1" min="37" max="37" width="2.0"/>
    <col customWidth="1" min="38" max="38" width="4.5"/>
    <col customWidth="1" min="39" max="39" width="4.63"/>
    <col customWidth="1" min="40" max="40" width="2.38"/>
    <col customWidth="1" min="41" max="41" width="3.0"/>
    <col customWidth="1" min="42" max="42" width="8.0"/>
    <col customWidth="1" min="43" max="43" width="1.63"/>
    <col customWidth="1" min="44" max="44" width="4.5"/>
    <col customWidth="1" min="45" max="45" width="6.75"/>
    <col customWidth="1" min="46" max="46" width="8.25"/>
    <col customWidth="1" min="47" max="47" width="2.38"/>
    <col customWidth="1" min="48" max="49" width="2.13"/>
    <col customWidth="1" min="50" max="50" width="2.0"/>
    <col customWidth="1" min="51" max="51" width="2.88"/>
    <col customWidth="1" min="52" max="52" width="4.38"/>
    <col customWidth="1" min="53" max="53" width="4.5"/>
    <col customWidth="1" min="54" max="54" width="10.13"/>
    <col customWidth="1" min="55" max="62" width="8.0"/>
  </cols>
  <sheetData>
    <row r="2">
      <c r="A2" s="8" t="str">
        <f>BB3</f>
        <v>PKAZK</v>
      </c>
      <c r="B2" s="9"/>
      <c r="C2" s="9"/>
      <c r="D2" s="9"/>
      <c r="E2" s="9"/>
      <c r="F2" s="13"/>
      <c r="N2" s="367"/>
      <c r="AA2" s="367"/>
      <c r="AN2" s="367"/>
      <c r="BB2" s="2">
        <f>TODAY()</f>
        <v>46278</v>
      </c>
      <c r="BH2" s="5" t="s">
        <v>0</v>
      </c>
      <c r="BI2" s="6"/>
    </row>
    <row r="3">
      <c r="A3" s="30" t="s">
        <v>4</v>
      </c>
      <c r="B3" s="32"/>
      <c r="C3" s="32"/>
      <c r="D3" s="32"/>
      <c r="E3" s="32"/>
      <c r="F3" s="32"/>
      <c r="G3" s="32"/>
      <c r="H3" s="32"/>
      <c r="I3" s="32"/>
      <c r="J3" s="32"/>
      <c r="K3" s="32"/>
      <c r="L3" s="32"/>
      <c r="M3" s="35"/>
      <c r="N3" s="430" t="s">
        <v>4</v>
      </c>
      <c r="O3" s="431"/>
      <c r="P3" s="431"/>
      <c r="Q3" s="431"/>
      <c r="R3" s="431"/>
      <c r="S3" s="431"/>
      <c r="T3" s="431"/>
      <c r="U3" s="431"/>
      <c r="V3" s="431"/>
      <c r="W3" s="431"/>
      <c r="X3" s="431"/>
      <c r="Y3" s="431"/>
      <c r="Z3" s="432"/>
      <c r="AA3" s="430" t="s">
        <v>4</v>
      </c>
      <c r="AB3" s="431"/>
      <c r="AC3" s="431"/>
      <c r="AD3" s="431"/>
      <c r="AE3" s="431"/>
      <c r="AF3" s="431"/>
      <c r="AG3" s="431"/>
      <c r="AH3" s="431"/>
      <c r="AI3" s="431"/>
      <c r="AJ3" s="431"/>
      <c r="AK3" s="431"/>
      <c r="AL3" s="431"/>
      <c r="AM3" s="432"/>
      <c r="AN3" s="430" t="s">
        <v>4</v>
      </c>
      <c r="AO3" s="431"/>
      <c r="AP3" s="431"/>
      <c r="AQ3" s="431"/>
      <c r="AR3" s="431"/>
      <c r="AS3" s="431"/>
      <c r="AT3" s="431"/>
      <c r="AU3" s="431"/>
      <c r="AV3" s="431"/>
      <c r="AW3" s="431"/>
      <c r="AX3" s="431"/>
      <c r="AY3" s="431"/>
      <c r="AZ3" s="432"/>
      <c r="BB3" s="37" t="s">
        <v>165</v>
      </c>
      <c r="BH3" s="11">
        <f>BE4-BJ3</f>
        <v>0.1319444444</v>
      </c>
      <c r="BI3" s="12"/>
      <c r="BJ3" s="24">
        <v>0.25</v>
      </c>
    </row>
    <row r="4">
      <c r="A4" s="56"/>
      <c r="B4" s="48" t="s">
        <v>19</v>
      </c>
      <c r="C4" s="49"/>
      <c r="D4" s="49"/>
      <c r="E4" s="49"/>
      <c r="F4" s="49"/>
      <c r="G4" s="51"/>
      <c r="H4" s="51"/>
      <c r="I4" s="51"/>
      <c r="J4" s="54">
        <v>1.0</v>
      </c>
      <c r="K4" s="9"/>
      <c r="L4" s="13"/>
      <c r="M4" s="55"/>
      <c r="N4" s="438"/>
      <c r="O4" s="439" t="s">
        <v>19</v>
      </c>
      <c r="P4" s="49"/>
      <c r="Q4" s="49"/>
      <c r="R4" s="49"/>
      <c r="S4" s="49"/>
      <c r="T4" s="440"/>
      <c r="U4" s="440"/>
      <c r="V4" s="440"/>
      <c r="W4" s="441">
        <v>2.0</v>
      </c>
      <c r="X4" s="9"/>
      <c r="Y4" s="13"/>
      <c r="Z4" s="442"/>
      <c r="AA4" s="438"/>
      <c r="AB4" s="439" t="s">
        <v>19</v>
      </c>
      <c r="AC4" s="49"/>
      <c r="AD4" s="49"/>
      <c r="AE4" s="49"/>
      <c r="AF4" s="49"/>
      <c r="AG4" s="440"/>
      <c r="AH4" s="440"/>
      <c r="AI4" s="440"/>
      <c r="AJ4" s="441">
        <v>3.0</v>
      </c>
      <c r="AK4" s="9"/>
      <c r="AL4" s="13"/>
      <c r="AM4" s="442"/>
      <c r="AN4" s="438"/>
      <c r="AO4" s="439" t="s">
        <v>19</v>
      </c>
      <c r="AP4" s="49"/>
      <c r="AQ4" s="49"/>
      <c r="AR4" s="49"/>
      <c r="AS4" s="49"/>
      <c r="AT4" s="440"/>
      <c r="AU4" s="440"/>
      <c r="AV4" s="440"/>
      <c r="AW4" s="441">
        <v>4.0</v>
      </c>
      <c r="AX4" s="9"/>
      <c r="AY4" s="13"/>
      <c r="AZ4" s="442"/>
      <c r="BB4" s="443" t="s">
        <v>167</v>
      </c>
      <c r="BC4" s="443" t="s">
        <v>13</v>
      </c>
      <c r="BD4" s="443" t="s">
        <v>21</v>
      </c>
      <c r="BE4" s="444">
        <v>0.381944444444444</v>
      </c>
      <c r="BF4" s="444">
        <v>0.458333333333333</v>
      </c>
      <c r="BG4" s="445"/>
    </row>
    <row r="5">
      <c r="A5" s="56"/>
      <c r="B5" s="68"/>
      <c r="C5" s="68"/>
      <c r="D5" s="69"/>
      <c r="E5" s="70"/>
      <c r="F5" s="70"/>
      <c r="G5" s="70"/>
      <c r="H5" s="70"/>
      <c r="I5" s="70"/>
      <c r="J5" s="69"/>
      <c r="K5" s="69"/>
      <c r="L5" s="73"/>
      <c r="M5" s="55"/>
      <c r="N5" s="438"/>
      <c r="O5" s="446"/>
      <c r="P5" s="446"/>
      <c r="Q5" s="447"/>
      <c r="R5" s="448"/>
      <c r="S5" s="448"/>
      <c r="T5" s="448"/>
      <c r="U5" s="448"/>
      <c r="V5" s="448"/>
      <c r="W5" s="447"/>
      <c r="X5" s="447"/>
      <c r="Y5" s="450"/>
      <c r="Z5" s="442"/>
      <c r="AA5" s="438"/>
      <c r="AB5" s="446"/>
      <c r="AC5" s="446"/>
      <c r="AD5" s="447"/>
      <c r="AE5" s="448"/>
      <c r="AF5" s="448"/>
      <c r="AG5" s="448"/>
      <c r="AH5" s="448"/>
      <c r="AI5" s="448"/>
      <c r="AJ5" s="447"/>
      <c r="AK5" s="447"/>
      <c r="AL5" s="450"/>
      <c r="AM5" s="442"/>
      <c r="AN5" s="438"/>
      <c r="AO5" s="446"/>
      <c r="AP5" s="446"/>
      <c r="AQ5" s="447"/>
      <c r="AR5" s="448"/>
      <c r="AS5" s="448"/>
      <c r="AT5" s="448"/>
      <c r="AU5" s="448"/>
      <c r="AV5" s="448"/>
      <c r="AW5" s="447"/>
      <c r="AX5" s="447"/>
      <c r="AY5" s="450"/>
      <c r="AZ5" s="442"/>
      <c r="BB5" s="38" t="s">
        <v>168</v>
      </c>
      <c r="BC5" s="38" t="str">
        <f>BD4</f>
        <v>SIN</v>
      </c>
      <c r="BD5" s="38" t="s">
        <v>13</v>
      </c>
      <c r="BE5" s="451">
        <v>0.486111111111111</v>
      </c>
      <c r="BF5" s="451">
        <v>0.5625</v>
      </c>
    </row>
    <row r="6" ht="18.0" customHeight="1">
      <c r="A6" s="56"/>
      <c r="B6" s="85" t="s">
        <v>42</v>
      </c>
      <c r="C6" s="87"/>
      <c r="D6" s="88"/>
      <c r="E6" s="370" t="str">
        <f>BB4</f>
        <v>AWQ 260</v>
      </c>
      <c r="F6" s="88"/>
      <c r="G6" s="93" t="s">
        <v>43</v>
      </c>
      <c r="H6" s="370"/>
      <c r="I6" s="87"/>
      <c r="J6" s="87"/>
      <c r="K6" s="87"/>
      <c r="L6" s="88"/>
      <c r="M6" s="55"/>
      <c r="N6" s="438"/>
      <c r="O6" s="453" t="s">
        <v>42</v>
      </c>
      <c r="P6" s="87"/>
      <c r="Q6" s="88"/>
      <c r="R6" s="454" t="str">
        <f>BB5</f>
        <v>AWQ 261</v>
      </c>
      <c r="S6" s="88"/>
      <c r="T6" s="455" t="s">
        <v>43</v>
      </c>
      <c r="U6" s="454"/>
      <c r="V6" s="87"/>
      <c r="W6" s="87"/>
      <c r="X6" s="87"/>
      <c r="Y6" s="88"/>
      <c r="Z6" s="442"/>
      <c r="AA6" s="438"/>
      <c r="AB6" s="453" t="s">
        <v>42</v>
      </c>
      <c r="AC6" s="87"/>
      <c r="AD6" s="88"/>
      <c r="AE6" s="454" t="str">
        <f>BB6</f>
        <v>AWQ 240</v>
      </c>
      <c r="AF6" s="88"/>
      <c r="AG6" s="455" t="s">
        <v>43</v>
      </c>
      <c r="AH6" s="454"/>
      <c r="AI6" s="87"/>
      <c r="AJ6" s="87"/>
      <c r="AK6" s="87"/>
      <c r="AL6" s="88"/>
      <c r="AM6" s="442"/>
      <c r="AN6" s="438"/>
      <c r="AO6" s="453" t="s">
        <v>42</v>
      </c>
      <c r="AP6" s="87"/>
      <c r="AQ6" s="88"/>
      <c r="AR6" s="454" t="str">
        <f>BB7</f>
        <v>AWQ 241</v>
      </c>
      <c r="AS6" s="88"/>
      <c r="AT6" s="455" t="s">
        <v>43</v>
      </c>
      <c r="AU6" s="454"/>
      <c r="AV6" s="87"/>
      <c r="AW6" s="87"/>
      <c r="AX6" s="87"/>
      <c r="AY6" s="88"/>
      <c r="AZ6" s="442"/>
      <c r="BB6" s="47" t="s">
        <v>170</v>
      </c>
      <c r="BC6" s="47" t="s">
        <v>13</v>
      </c>
      <c r="BD6" s="47" t="s">
        <v>171</v>
      </c>
      <c r="BE6" s="50">
        <v>0.541666666666667</v>
      </c>
      <c r="BF6" s="50">
        <v>0.607638888888889</v>
      </c>
    </row>
    <row r="7" ht="18.0" customHeight="1">
      <c r="A7" s="56"/>
      <c r="B7" s="85" t="s">
        <v>57</v>
      </c>
      <c r="C7" s="87"/>
      <c r="D7" s="88"/>
      <c r="E7" s="458" t="str">
        <f>BB3</f>
        <v>PKAZK</v>
      </c>
      <c r="F7" s="88"/>
      <c r="G7" s="93" t="s">
        <v>59</v>
      </c>
      <c r="H7" s="459">
        <f>BE4</f>
        <v>0.3819444444</v>
      </c>
      <c r="I7" s="87"/>
      <c r="J7" s="87"/>
      <c r="K7" s="87"/>
      <c r="L7" s="88"/>
      <c r="M7" s="110"/>
      <c r="N7" s="438"/>
      <c r="O7" s="453" t="s">
        <v>57</v>
      </c>
      <c r="P7" s="87"/>
      <c r="Q7" s="88"/>
      <c r="R7" s="460" t="str">
        <f>E7</f>
        <v>PKAZK</v>
      </c>
      <c r="S7" s="88"/>
      <c r="T7" s="455" t="s">
        <v>59</v>
      </c>
      <c r="U7" s="462">
        <f>BE5</f>
        <v>0.4861111111</v>
      </c>
      <c r="V7" s="87"/>
      <c r="W7" s="87"/>
      <c r="X7" s="87"/>
      <c r="Y7" s="88"/>
      <c r="Z7" s="463"/>
      <c r="AA7" s="438"/>
      <c r="AB7" s="453" t="s">
        <v>57</v>
      </c>
      <c r="AC7" s="87"/>
      <c r="AD7" s="88"/>
      <c r="AE7" s="460" t="str">
        <f>R7</f>
        <v>PKAZK</v>
      </c>
      <c r="AF7" s="88"/>
      <c r="AG7" s="455" t="s">
        <v>59</v>
      </c>
      <c r="AH7" s="462">
        <f>BE6</f>
        <v>0.5416666667</v>
      </c>
      <c r="AI7" s="87"/>
      <c r="AJ7" s="87"/>
      <c r="AK7" s="87"/>
      <c r="AL7" s="88"/>
      <c r="AM7" s="463"/>
      <c r="AN7" s="438"/>
      <c r="AO7" s="453" t="s">
        <v>57</v>
      </c>
      <c r="AP7" s="87"/>
      <c r="AQ7" s="88"/>
      <c r="AR7" s="460" t="str">
        <f>AE7</f>
        <v>PKAZK</v>
      </c>
      <c r="AS7" s="88"/>
      <c r="AT7" s="455" t="s">
        <v>59</v>
      </c>
      <c r="AU7" s="462">
        <f>BE7</f>
        <v>0.625</v>
      </c>
      <c r="AV7" s="87"/>
      <c r="AW7" s="87"/>
      <c r="AX7" s="87"/>
      <c r="AY7" s="88"/>
      <c r="AZ7" s="463"/>
      <c r="BB7" s="47" t="s">
        <v>173</v>
      </c>
      <c r="BC7" s="47" t="str">
        <f>BD6</f>
        <v>JHB</v>
      </c>
      <c r="BD7" s="47" t="s">
        <v>13</v>
      </c>
      <c r="BE7" s="50">
        <v>0.625</v>
      </c>
      <c r="BF7" s="50">
        <v>0.697916666666667</v>
      </c>
    </row>
    <row r="8" ht="18.0" customHeight="1">
      <c r="A8" s="56"/>
      <c r="B8" s="85" t="s">
        <v>65</v>
      </c>
      <c r="C8" s="87"/>
      <c r="D8" s="88"/>
      <c r="E8" s="370" t="str">
        <f>BC4</f>
        <v>CGK</v>
      </c>
      <c r="F8" s="88"/>
      <c r="G8" s="93" t="s">
        <v>67</v>
      </c>
      <c r="H8" s="464">
        <f>BD11</f>
        <v>0</v>
      </c>
      <c r="I8" s="87"/>
      <c r="J8" s="87"/>
      <c r="K8" s="87"/>
      <c r="L8" s="88"/>
      <c r="M8" s="110"/>
      <c r="N8" s="438"/>
      <c r="O8" s="453" t="s">
        <v>65</v>
      </c>
      <c r="P8" s="87"/>
      <c r="Q8" s="88"/>
      <c r="R8" s="454" t="str">
        <f>BC5</f>
        <v>SIN</v>
      </c>
      <c r="S8" s="88"/>
      <c r="T8" s="455" t="s">
        <v>67</v>
      </c>
      <c r="U8" s="465">
        <f>BD12</f>
        <v>0</v>
      </c>
      <c r="V8" s="87"/>
      <c r="W8" s="87"/>
      <c r="X8" s="87"/>
      <c r="Y8" s="88"/>
      <c r="Z8" s="463"/>
      <c r="AA8" s="438"/>
      <c r="AB8" s="453" t="s">
        <v>65</v>
      </c>
      <c r="AC8" s="87"/>
      <c r="AD8" s="88"/>
      <c r="AE8" s="454" t="str">
        <f>BC6</f>
        <v>CGK</v>
      </c>
      <c r="AF8" s="88"/>
      <c r="AG8" s="455" t="s">
        <v>67</v>
      </c>
      <c r="AH8" s="465" t="str">
        <f>BD13</f>
        <v/>
      </c>
      <c r="AI8" s="87"/>
      <c r="AJ8" s="87"/>
      <c r="AK8" s="87"/>
      <c r="AL8" s="88"/>
      <c r="AM8" s="463"/>
      <c r="AN8" s="438"/>
      <c r="AO8" s="453" t="s">
        <v>65</v>
      </c>
      <c r="AP8" s="87"/>
      <c r="AQ8" s="88"/>
      <c r="AR8" s="454" t="str">
        <f>BC7</f>
        <v>JHB</v>
      </c>
      <c r="AS8" s="88"/>
      <c r="AT8" s="455" t="s">
        <v>67</v>
      </c>
      <c r="AU8" s="465" t="str">
        <f>BD14</f>
        <v/>
      </c>
      <c r="AV8" s="87"/>
      <c r="AW8" s="87"/>
      <c r="AX8" s="87"/>
      <c r="AY8" s="88"/>
      <c r="AZ8" s="463"/>
    </row>
    <row r="9" ht="18.0" customHeight="1">
      <c r="A9" s="56"/>
      <c r="B9" s="85" t="s">
        <v>71</v>
      </c>
      <c r="C9" s="87"/>
      <c r="D9" s="88"/>
      <c r="E9" s="467">
        <f>BB2</f>
        <v>46278</v>
      </c>
      <c r="F9" s="88"/>
      <c r="G9" s="93" t="s">
        <v>72</v>
      </c>
      <c r="H9" s="464" t="str">
        <f>BB11</f>
        <v/>
      </c>
      <c r="I9" s="87"/>
      <c r="J9" s="87"/>
      <c r="K9" s="87"/>
      <c r="L9" s="88"/>
      <c r="M9" s="110"/>
      <c r="N9" s="438"/>
      <c r="O9" s="453" t="s">
        <v>71</v>
      </c>
      <c r="P9" s="87"/>
      <c r="Q9" s="88"/>
      <c r="R9" s="468">
        <f>E9</f>
        <v>46278</v>
      </c>
      <c r="S9" s="88"/>
      <c r="T9" s="455" t="s">
        <v>72</v>
      </c>
      <c r="U9" s="465" t="str">
        <f>BB12</f>
        <v/>
      </c>
      <c r="V9" s="87"/>
      <c r="W9" s="87"/>
      <c r="X9" s="87"/>
      <c r="Y9" s="88"/>
      <c r="Z9" s="463"/>
      <c r="AA9" s="438"/>
      <c r="AB9" s="453" t="s">
        <v>71</v>
      </c>
      <c r="AC9" s="87"/>
      <c r="AD9" s="88"/>
      <c r="AE9" s="468">
        <f>R9</f>
        <v>46278</v>
      </c>
      <c r="AF9" s="88"/>
      <c r="AG9" s="455" t="s">
        <v>72</v>
      </c>
      <c r="AH9" s="465" t="str">
        <f>BB13</f>
        <v/>
      </c>
      <c r="AI9" s="87"/>
      <c r="AJ9" s="87"/>
      <c r="AK9" s="87"/>
      <c r="AL9" s="88"/>
      <c r="AM9" s="463"/>
      <c r="AN9" s="438"/>
      <c r="AO9" s="453" t="s">
        <v>71</v>
      </c>
      <c r="AP9" s="87"/>
      <c r="AQ9" s="88"/>
      <c r="AR9" s="468">
        <f>AE9</f>
        <v>46278</v>
      </c>
      <c r="AS9" s="88"/>
      <c r="AT9" s="455" t="s">
        <v>72</v>
      </c>
      <c r="AU9" s="465" t="str">
        <f>BB14</f>
        <v/>
      </c>
      <c r="AV9" s="87"/>
      <c r="AW9" s="87"/>
      <c r="AX9" s="87"/>
      <c r="AY9" s="88"/>
      <c r="AZ9" s="463"/>
    </row>
    <row r="10" ht="23.25" customHeight="1">
      <c r="A10" s="56"/>
      <c r="B10" s="136"/>
      <c r="C10" s="136"/>
      <c r="D10" s="137"/>
      <c r="E10" s="137"/>
      <c r="F10" s="138"/>
      <c r="G10" s="138"/>
      <c r="H10" s="139"/>
      <c r="I10" s="138"/>
      <c r="J10" s="138"/>
      <c r="K10" s="138"/>
      <c r="L10" s="138"/>
      <c r="M10" s="142"/>
      <c r="N10" s="438"/>
      <c r="O10" s="472"/>
      <c r="P10" s="472"/>
      <c r="Q10" s="473"/>
      <c r="R10" s="473"/>
      <c r="S10" s="474"/>
      <c r="T10" s="474"/>
      <c r="U10" s="475"/>
      <c r="V10" s="474"/>
      <c r="W10" s="474"/>
      <c r="X10" s="474"/>
      <c r="Y10" s="474"/>
      <c r="Z10" s="476"/>
      <c r="AA10" s="438"/>
      <c r="AB10" s="472"/>
      <c r="AC10" s="472"/>
      <c r="AD10" s="473"/>
      <c r="AE10" s="473"/>
      <c r="AF10" s="474"/>
      <c r="AG10" s="474"/>
      <c r="AH10" s="475"/>
      <c r="AI10" s="474"/>
      <c r="AJ10" s="474"/>
      <c r="AK10" s="474"/>
      <c r="AL10" s="474"/>
      <c r="AM10" s="476"/>
      <c r="AN10" s="438"/>
      <c r="AO10" s="472"/>
      <c r="AP10" s="472"/>
      <c r="AQ10" s="473"/>
      <c r="AR10" s="473"/>
      <c r="AS10" s="474"/>
      <c r="AT10" s="474"/>
      <c r="AU10" s="475"/>
      <c r="AV10" s="474"/>
      <c r="AW10" s="474"/>
      <c r="AX10" s="474"/>
      <c r="AY10" s="474"/>
      <c r="AZ10" s="476"/>
      <c r="BB10" s="66" t="s">
        <v>146</v>
      </c>
      <c r="BC10" s="66" t="s">
        <v>29</v>
      </c>
      <c r="BD10" s="66" t="s">
        <v>176</v>
      </c>
      <c r="BE10" s="66" t="s">
        <v>177</v>
      </c>
      <c r="BF10" s="66" t="s">
        <v>32</v>
      </c>
      <c r="BG10" s="66" t="s">
        <v>79</v>
      </c>
      <c r="BH10" s="66" t="s">
        <v>80</v>
      </c>
      <c r="BI10" s="66" t="s">
        <v>34</v>
      </c>
      <c r="BJ10" s="66" t="s">
        <v>35</v>
      </c>
    </row>
    <row r="11">
      <c r="A11" s="56"/>
      <c r="B11" s="151" t="s">
        <v>81</v>
      </c>
      <c r="C11" s="151"/>
      <c r="D11" s="151"/>
      <c r="E11" s="151"/>
      <c r="F11" s="151"/>
      <c r="G11" s="477">
        <v>66000.0</v>
      </c>
      <c r="H11" s="87"/>
      <c r="I11" s="87"/>
      <c r="J11" s="87"/>
      <c r="K11" s="87"/>
      <c r="L11" s="88"/>
      <c r="M11" s="154"/>
      <c r="N11" s="438"/>
      <c r="O11" s="479" t="s">
        <v>81</v>
      </c>
      <c r="P11" s="479"/>
      <c r="Q11" s="479"/>
      <c r="R11" s="480"/>
      <c r="S11" s="480"/>
      <c r="T11" s="481">
        <v>66000.0</v>
      </c>
      <c r="U11" s="87"/>
      <c r="V11" s="87"/>
      <c r="W11" s="87"/>
      <c r="X11" s="87"/>
      <c r="Y11" s="88"/>
      <c r="Z11" s="482"/>
      <c r="AA11" s="438"/>
      <c r="AB11" s="479" t="s">
        <v>81</v>
      </c>
      <c r="AC11" s="479"/>
      <c r="AD11" s="479"/>
      <c r="AE11" s="480"/>
      <c r="AF11" s="480"/>
      <c r="AG11" s="481">
        <v>66000.0</v>
      </c>
      <c r="AH11" s="87"/>
      <c r="AI11" s="87"/>
      <c r="AJ11" s="87"/>
      <c r="AK11" s="87"/>
      <c r="AL11" s="88"/>
      <c r="AM11" s="482"/>
      <c r="AN11" s="438"/>
      <c r="AO11" s="479" t="s">
        <v>81</v>
      </c>
      <c r="AP11" s="479"/>
      <c r="AQ11" s="479"/>
      <c r="AR11" s="480"/>
      <c r="AS11" s="480"/>
      <c r="AT11" s="481">
        <v>66000.0</v>
      </c>
      <c r="AU11" s="87"/>
      <c r="AV11" s="87"/>
      <c r="AW11" s="87"/>
      <c r="AX11" s="87"/>
      <c r="AY11" s="88"/>
      <c r="AZ11" s="482"/>
      <c r="BB11" s="38"/>
      <c r="BC11" s="38">
        <v>0.0</v>
      </c>
      <c r="BD11" s="38">
        <v>0.0</v>
      </c>
      <c r="BE11" s="38">
        <v>1000.0</v>
      </c>
      <c r="BF11" s="38">
        <f>96+120</f>
        <v>216</v>
      </c>
      <c r="BG11" s="38"/>
      <c r="BH11" s="71" t="s">
        <v>64</v>
      </c>
      <c r="BI11" s="38">
        <v>0.0</v>
      </c>
      <c r="BJ11" s="483">
        <v>0.0</v>
      </c>
    </row>
    <row r="12">
      <c r="A12" s="56"/>
      <c r="B12" s="151" t="s">
        <v>86</v>
      </c>
      <c r="C12" s="151"/>
      <c r="D12" s="151"/>
      <c r="E12" s="151"/>
      <c r="F12" s="151"/>
      <c r="G12" s="484">
        <f>H8</f>
        <v>0</v>
      </c>
      <c r="H12" s="87"/>
      <c r="I12" s="87"/>
      <c r="J12" s="87"/>
      <c r="K12" s="87"/>
      <c r="L12" s="88"/>
      <c r="M12" s="110"/>
      <c r="N12" s="438"/>
      <c r="O12" s="479" t="s">
        <v>86</v>
      </c>
      <c r="P12" s="479"/>
      <c r="Q12" s="479"/>
      <c r="R12" s="480"/>
      <c r="S12" s="480"/>
      <c r="T12" s="485">
        <f>U8</f>
        <v>0</v>
      </c>
      <c r="U12" s="87"/>
      <c r="V12" s="87"/>
      <c r="W12" s="87"/>
      <c r="X12" s="87"/>
      <c r="Y12" s="88"/>
      <c r="Z12" s="463"/>
      <c r="AA12" s="438"/>
      <c r="AB12" s="479" t="s">
        <v>86</v>
      </c>
      <c r="AC12" s="479"/>
      <c r="AD12" s="479"/>
      <c r="AE12" s="480"/>
      <c r="AF12" s="480"/>
      <c r="AG12" s="485" t="str">
        <f>AH8</f>
        <v/>
      </c>
      <c r="AH12" s="87"/>
      <c r="AI12" s="87"/>
      <c r="AJ12" s="87"/>
      <c r="AK12" s="87"/>
      <c r="AL12" s="88"/>
      <c r="AM12" s="463"/>
      <c r="AN12" s="438"/>
      <c r="AO12" s="479" t="s">
        <v>86</v>
      </c>
      <c r="AP12" s="479"/>
      <c r="AQ12" s="479"/>
      <c r="AR12" s="480"/>
      <c r="AS12" s="480"/>
      <c r="AT12" s="485" t="str">
        <f>BD14</f>
        <v/>
      </c>
      <c r="AU12" s="87"/>
      <c r="AV12" s="87"/>
      <c r="AW12" s="87"/>
      <c r="AX12" s="87"/>
      <c r="AY12" s="88"/>
      <c r="AZ12" s="463"/>
      <c r="BB12" s="38"/>
      <c r="BC12" s="38">
        <v>0.0</v>
      </c>
      <c r="BD12" s="38">
        <v>0.0</v>
      </c>
      <c r="BE12" s="38">
        <v>1000.0</v>
      </c>
      <c r="BF12" s="38">
        <f>84+108</f>
        <v>192</v>
      </c>
      <c r="BG12" s="38"/>
      <c r="BH12" s="71" t="s">
        <v>69</v>
      </c>
      <c r="BI12" s="71">
        <v>3000.0</v>
      </c>
      <c r="BJ12" s="71">
        <v>585.32</v>
      </c>
    </row>
    <row r="13">
      <c r="A13" s="56"/>
      <c r="B13" s="151" t="s">
        <v>87</v>
      </c>
      <c r="C13" s="151"/>
      <c r="D13" s="151"/>
      <c r="E13" s="151"/>
      <c r="F13" s="180" t="s">
        <v>88</v>
      </c>
      <c r="G13" s="486">
        <f>G11+G12</f>
        <v>66000</v>
      </c>
      <c r="H13" s="87"/>
      <c r="I13" s="87"/>
      <c r="J13" s="87"/>
      <c r="K13" s="87"/>
      <c r="L13" s="88"/>
      <c r="M13" s="110"/>
      <c r="N13" s="438"/>
      <c r="O13" s="479" t="s">
        <v>87</v>
      </c>
      <c r="P13" s="479"/>
      <c r="Q13" s="479"/>
      <c r="R13" s="480"/>
      <c r="S13" s="487" t="s">
        <v>88</v>
      </c>
      <c r="T13" s="488">
        <f>T11+T12</f>
        <v>66000</v>
      </c>
      <c r="U13" s="87"/>
      <c r="V13" s="87"/>
      <c r="W13" s="87"/>
      <c r="X13" s="87"/>
      <c r="Y13" s="88"/>
      <c r="Z13" s="463"/>
      <c r="AA13" s="438"/>
      <c r="AB13" s="479" t="s">
        <v>87</v>
      </c>
      <c r="AC13" s="479"/>
      <c r="AD13" s="479"/>
      <c r="AE13" s="480"/>
      <c r="AF13" s="487" t="s">
        <v>88</v>
      </c>
      <c r="AG13" s="488">
        <f>AG11+AG12</f>
        <v>66000</v>
      </c>
      <c r="AH13" s="87"/>
      <c r="AI13" s="87"/>
      <c r="AJ13" s="87"/>
      <c r="AK13" s="87"/>
      <c r="AL13" s="88"/>
      <c r="AM13" s="463"/>
      <c r="AN13" s="438"/>
      <c r="AO13" s="479" t="s">
        <v>87</v>
      </c>
      <c r="AP13" s="479"/>
      <c r="AQ13" s="479"/>
      <c r="AR13" s="480"/>
      <c r="AS13" s="487" t="s">
        <v>88</v>
      </c>
      <c r="AT13" s="488">
        <f>AT11+AT12</f>
        <v>66000</v>
      </c>
      <c r="AU13" s="87"/>
      <c r="AV13" s="87"/>
      <c r="AW13" s="87"/>
      <c r="AX13" s="87"/>
      <c r="AY13" s="88"/>
      <c r="AZ13" s="463"/>
      <c r="BB13" s="47"/>
      <c r="BC13" s="47"/>
      <c r="BD13" s="47"/>
      <c r="BE13" s="47"/>
      <c r="BF13" s="47"/>
      <c r="BG13" s="47"/>
      <c r="BH13" s="89"/>
      <c r="BI13" s="47"/>
      <c r="BJ13" s="489"/>
    </row>
    <row r="14">
      <c r="A14" s="56"/>
      <c r="B14" s="151"/>
      <c r="C14" s="151"/>
      <c r="D14" s="151"/>
      <c r="E14" s="151"/>
      <c r="F14" s="151"/>
      <c r="G14" s="151"/>
      <c r="H14" s="151"/>
      <c r="I14" s="151"/>
      <c r="J14" s="151"/>
      <c r="K14" s="151"/>
      <c r="L14" s="151"/>
      <c r="M14" s="55"/>
      <c r="N14" s="438"/>
      <c r="O14" s="479"/>
      <c r="P14" s="479"/>
      <c r="Q14" s="479"/>
      <c r="R14" s="480"/>
      <c r="S14" s="480"/>
      <c r="T14" s="480"/>
      <c r="U14" s="480"/>
      <c r="V14" s="480"/>
      <c r="W14" s="480"/>
      <c r="X14" s="480"/>
      <c r="Y14" s="480"/>
      <c r="Z14" s="442"/>
      <c r="AA14" s="438"/>
      <c r="AB14" s="479"/>
      <c r="AC14" s="479"/>
      <c r="AD14" s="479"/>
      <c r="AE14" s="480"/>
      <c r="AF14" s="480"/>
      <c r="AG14" s="480"/>
      <c r="AH14" s="480"/>
      <c r="AI14" s="480"/>
      <c r="AJ14" s="480"/>
      <c r="AK14" s="480"/>
      <c r="AL14" s="480"/>
      <c r="AM14" s="442"/>
      <c r="AN14" s="438"/>
      <c r="AO14" s="479"/>
      <c r="AP14" s="479"/>
      <c r="AQ14" s="479"/>
      <c r="AR14" s="480"/>
      <c r="AS14" s="480"/>
      <c r="AT14" s="480"/>
      <c r="AU14" s="480"/>
      <c r="AV14" s="480"/>
      <c r="AW14" s="480"/>
      <c r="AX14" s="480"/>
      <c r="AY14" s="480"/>
      <c r="AZ14" s="442"/>
      <c r="BB14" s="47"/>
      <c r="BC14" s="47"/>
      <c r="BD14" s="47"/>
      <c r="BE14" s="47"/>
      <c r="BF14" s="47"/>
      <c r="BG14" s="47"/>
      <c r="BH14" s="89">
        <v>4.0</v>
      </c>
      <c r="BI14" s="89"/>
      <c r="BJ14" s="89"/>
    </row>
    <row r="15">
      <c r="A15" s="56"/>
      <c r="B15" s="195" t="s">
        <v>90</v>
      </c>
      <c r="C15" s="196"/>
      <c r="D15" s="196"/>
      <c r="E15" s="196"/>
      <c r="F15" s="196"/>
      <c r="G15" s="196"/>
      <c r="H15" s="197"/>
      <c r="I15" s="199" t="s">
        <v>91</v>
      </c>
      <c r="J15" s="87"/>
      <c r="K15" s="87"/>
      <c r="L15" s="88"/>
      <c r="M15" s="55"/>
      <c r="N15" s="438"/>
      <c r="O15" s="490" t="s">
        <v>90</v>
      </c>
      <c r="P15" s="491"/>
      <c r="Q15" s="491"/>
      <c r="R15" s="492"/>
      <c r="S15" s="492"/>
      <c r="T15" s="492"/>
      <c r="U15" s="493"/>
      <c r="V15" s="494" t="s">
        <v>91</v>
      </c>
      <c r="W15" s="87"/>
      <c r="X15" s="87"/>
      <c r="Y15" s="88"/>
      <c r="Z15" s="442"/>
      <c r="AA15" s="438"/>
      <c r="AB15" s="490" t="s">
        <v>90</v>
      </c>
      <c r="AC15" s="491"/>
      <c r="AD15" s="491"/>
      <c r="AE15" s="492"/>
      <c r="AF15" s="492"/>
      <c r="AG15" s="492"/>
      <c r="AH15" s="493"/>
      <c r="AI15" s="494" t="s">
        <v>91</v>
      </c>
      <c r="AJ15" s="87"/>
      <c r="AK15" s="87"/>
      <c r="AL15" s="88"/>
      <c r="AM15" s="442"/>
      <c r="AN15" s="438"/>
      <c r="AO15" s="490" t="s">
        <v>90</v>
      </c>
      <c r="AP15" s="491"/>
      <c r="AQ15" s="491"/>
      <c r="AR15" s="492"/>
      <c r="AS15" s="492"/>
      <c r="AT15" s="492"/>
      <c r="AU15" s="493"/>
      <c r="AV15" s="494" t="s">
        <v>91</v>
      </c>
      <c r="AW15" s="87"/>
      <c r="AX15" s="87"/>
      <c r="AY15" s="88"/>
      <c r="AZ15" s="442"/>
    </row>
    <row r="16">
      <c r="A16" s="56"/>
      <c r="B16" s="211" t="s">
        <v>92</v>
      </c>
      <c r="C16" s="212"/>
      <c r="D16" s="212"/>
      <c r="E16" s="199" t="s">
        <v>93</v>
      </c>
      <c r="F16" s="87"/>
      <c r="G16" s="87"/>
      <c r="H16" s="88"/>
      <c r="I16" s="199" t="s">
        <v>94</v>
      </c>
      <c r="J16" s="87"/>
      <c r="K16" s="87"/>
      <c r="L16" s="88"/>
      <c r="M16" s="55"/>
      <c r="N16" s="438"/>
      <c r="O16" s="498" t="s">
        <v>92</v>
      </c>
      <c r="P16" s="499"/>
      <c r="Q16" s="499"/>
      <c r="R16" s="494" t="s">
        <v>93</v>
      </c>
      <c r="S16" s="87"/>
      <c r="T16" s="87"/>
      <c r="U16" s="88"/>
      <c r="V16" s="494" t="s">
        <v>94</v>
      </c>
      <c r="W16" s="87"/>
      <c r="X16" s="87"/>
      <c r="Y16" s="88"/>
      <c r="Z16" s="442"/>
      <c r="AA16" s="438"/>
      <c r="AB16" s="498" t="s">
        <v>92</v>
      </c>
      <c r="AC16" s="499"/>
      <c r="AD16" s="499"/>
      <c r="AE16" s="494" t="s">
        <v>93</v>
      </c>
      <c r="AF16" s="87"/>
      <c r="AG16" s="87"/>
      <c r="AH16" s="88"/>
      <c r="AI16" s="494" t="s">
        <v>94</v>
      </c>
      <c r="AJ16" s="87"/>
      <c r="AK16" s="87"/>
      <c r="AL16" s="88"/>
      <c r="AM16" s="442"/>
      <c r="AN16" s="438"/>
      <c r="AO16" s="498" t="s">
        <v>92</v>
      </c>
      <c r="AP16" s="499"/>
      <c r="AQ16" s="499"/>
      <c r="AR16" s="494" t="s">
        <v>93</v>
      </c>
      <c r="AS16" s="87"/>
      <c r="AT16" s="87"/>
      <c r="AU16" s="88"/>
      <c r="AV16" s="494" t="s">
        <v>94</v>
      </c>
      <c r="AW16" s="87"/>
      <c r="AX16" s="87"/>
      <c r="AY16" s="88"/>
      <c r="AZ16" s="442"/>
    </row>
    <row r="17">
      <c r="A17" s="56"/>
      <c r="B17" s="195" t="s">
        <v>87</v>
      </c>
      <c r="C17" s="196"/>
      <c r="D17" s="196"/>
      <c r="E17" s="197"/>
      <c r="F17" s="180" t="s">
        <v>99</v>
      </c>
      <c r="G17" s="501">
        <v>73500.0</v>
      </c>
      <c r="H17" s="87"/>
      <c r="I17" s="87"/>
      <c r="J17" s="87"/>
      <c r="K17" s="87"/>
      <c r="L17" s="88"/>
      <c r="M17" s="55"/>
      <c r="N17" s="438"/>
      <c r="O17" s="490" t="s">
        <v>87</v>
      </c>
      <c r="P17" s="491"/>
      <c r="Q17" s="491"/>
      <c r="R17" s="493"/>
      <c r="S17" s="487" t="s">
        <v>99</v>
      </c>
      <c r="T17" s="503">
        <f>G17</f>
        <v>73500</v>
      </c>
      <c r="U17" s="87"/>
      <c r="V17" s="87"/>
      <c r="W17" s="87"/>
      <c r="X17" s="87"/>
      <c r="Y17" s="88"/>
      <c r="Z17" s="442"/>
      <c r="AA17" s="438"/>
      <c r="AB17" s="490" t="s">
        <v>87</v>
      </c>
      <c r="AC17" s="491"/>
      <c r="AD17" s="491"/>
      <c r="AE17" s="493"/>
      <c r="AF17" s="487" t="s">
        <v>99</v>
      </c>
      <c r="AG17" s="503">
        <f>T17</f>
        <v>73500</v>
      </c>
      <c r="AH17" s="87"/>
      <c r="AI17" s="87"/>
      <c r="AJ17" s="87"/>
      <c r="AK17" s="87"/>
      <c r="AL17" s="88"/>
      <c r="AM17" s="442"/>
      <c r="AN17" s="438"/>
      <c r="AO17" s="490" t="s">
        <v>87</v>
      </c>
      <c r="AP17" s="491"/>
      <c r="AQ17" s="491"/>
      <c r="AR17" s="493"/>
      <c r="AS17" s="487" t="s">
        <v>99</v>
      </c>
      <c r="AT17" s="503">
        <f>AG17</f>
        <v>73500</v>
      </c>
      <c r="AU17" s="87"/>
      <c r="AV17" s="87"/>
      <c r="AW17" s="87"/>
      <c r="AX17" s="87"/>
      <c r="AY17" s="88"/>
      <c r="AZ17" s="442"/>
      <c r="BB17" s="1" t="s">
        <v>105</v>
      </c>
      <c r="BC17" s="98" t="s">
        <v>179</v>
      </c>
    </row>
    <row r="18">
      <c r="A18" s="56"/>
      <c r="B18" s="151"/>
      <c r="C18" s="151"/>
      <c r="D18" s="151"/>
      <c r="E18" s="151"/>
      <c r="F18" s="151"/>
      <c r="G18" s="504"/>
      <c r="H18" s="504"/>
      <c r="I18" s="504"/>
      <c r="J18" s="504"/>
      <c r="K18" s="504"/>
      <c r="L18" s="504"/>
      <c r="M18" s="55"/>
      <c r="N18" s="438"/>
      <c r="O18" s="479"/>
      <c r="P18" s="479"/>
      <c r="Q18" s="479"/>
      <c r="R18" s="480"/>
      <c r="S18" s="480"/>
      <c r="T18" s="505"/>
      <c r="U18" s="505"/>
      <c r="V18" s="505"/>
      <c r="W18" s="505"/>
      <c r="X18" s="505"/>
      <c r="Y18" s="505"/>
      <c r="Z18" s="442"/>
      <c r="AA18" s="438"/>
      <c r="AB18" s="479"/>
      <c r="AC18" s="479"/>
      <c r="AD18" s="479"/>
      <c r="AE18" s="480"/>
      <c r="AF18" s="480"/>
      <c r="AG18" s="505"/>
      <c r="AH18" s="505"/>
      <c r="AI18" s="505"/>
      <c r="AJ18" s="505"/>
      <c r="AK18" s="505"/>
      <c r="AL18" s="505"/>
      <c r="AM18" s="442"/>
      <c r="AN18" s="438"/>
      <c r="AO18" s="479"/>
      <c r="AP18" s="479"/>
      <c r="AQ18" s="479"/>
      <c r="AR18" s="480"/>
      <c r="AS18" s="480"/>
      <c r="AT18" s="505"/>
      <c r="AU18" s="505"/>
      <c r="AV18" s="505"/>
      <c r="AW18" s="505"/>
      <c r="AX18" s="505"/>
      <c r="AY18" s="505"/>
      <c r="AZ18" s="442"/>
    </row>
    <row r="19">
      <c r="A19" s="56"/>
      <c r="B19" s="195" t="s">
        <v>109</v>
      </c>
      <c r="C19" s="196"/>
      <c r="D19" s="196"/>
      <c r="E19" s="196"/>
      <c r="F19" s="197"/>
      <c r="G19" s="507">
        <f>G13</f>
        <v>66000</v>
      </c>
      <c r="H19" s="87"/>
      <c r="I19" s="87"/>
      <c r="J19" s="87"/>
      <c r="K19" s="87"/>
      <c r="L19" s="88"/>
      <c r="M19" s="110"/>
      <c r="N19" s="438"/>
      <c r="O19" s="490" t="s">
        <v>109</v>
      </c>
      <c r="P19" s="491"/>
      <c r="Q19" s="491"/>
      <c r="R19" s="492"/>
      <c r="S19" s="493"/>
      <c r="T19" s="508">
        <f>T13</f>
        <v>66000</v>
      </c>
      <c r="U19" s="87"/>
      <c r="V19" s="87"/>
      <c r="W19" s="87"/>
      <c r="X19" s="87"/>
      <c r="Y19" s="88"/>
      <c r="Z19" s="463"/>
      <c r="AA19" s="438"/>
      <c r="AB19" s="490" t="s">
        <v>109</v>
      </c>
      <c r="AC19" s="491"/>
      <c r="AD19" s="491"/>
      <c r="AE19" s="492"/>
      <c r="AF19" s="493"/>
      <c r="AG19" s="508">
        <f>AG13</f>
        <v>66000</v>
      </c>
      <c r="AH19" s="87"/>
      <c r="AI19" s="87"/>
      <c r="AJ19" s="87"/>
      <c r="AK19" s="87"/>
      <c r="AL19" s="88"/>
      <c r="AM19" s="463"/>
      <c r="AN19" s="438"/>
      <c r="AO19" s="490" t="s">
        <v>109</v>
      </c>
      <c r="AP19" s="491"/>
      <c r="AQ19" s="491"/>
      <c r="AR19" s="492"/>
      <c r="AS19" s="493"/>
      <c r="AT19" s="508">
        <f>AT13</f>
        <v>66000</v>
      </c>
      <c r="AU19" s="87"/>
      <c r="AV19" s="87"/>
      <c r="AW19" s="87"/>
      <c r="AX19" s="87"/>
      <c r="AY19" s="88"/>
      <c r="AZ19" s="463"/>
      <c r="BB19" s="1" t="s">
        <v>46</v>
      </c>
      <c r="BC19" s="3">
        <v>71119.0</v>
      </c>
    </row>
    <row r="20">
      <c r="A20" s="56"/>
      <c r="B20" s="195" t="s">
        <v>113</v>
      </c>
      <c r="C20" s="196"/>
      <c r="D20" s="196"/>
      <c r="E20" s="196"/>
      <c r="F20" s="197"/>
      <c r="G20" s="509" t="str">
        <f>BG11</f>
        <v/>
      </c>
      <c r="H20" s="87"/>
      <c r="I20" s="87"/>
      <c r="J20" s="87"/>
      <c r="K20" s="87"/>
      <c r="L20" s="88"/>
      <c r="M20" s="110"/>
      <c r="N20" s="438"/>
      <c r="O20" s="490" t="s">
        <v>113</v>
      </c>
      <c r="P20" s="491"/>
      <c r="Q20" s="491"/>
      <c r="R20" s="492"/>
      <c r="S20" s="493"/>
      <c r="T20" s="510" t="str">
        <f>BG12</f>
        <v/>
      </c>
      <c r="U20" s="87"/>
      <c r="V20" s="87"/>
      <c r="W20" s="87"/>
      <c r="X20" s="87"/>
      <c r="Y20" s="88"/>
      <c r="Z20" s="463"/>
      <c r="AA20" s="438"/>
      <c r="AB20" s="490" t="s">
        <v>113</v>
      </c>
      <c r="AC20" s="491"/>
      <c r="AD20" s="491"/>
      <c r="AE20" s="492"/>
      <c r="AF20" s="493"/>
      <c r="AG20" s="510" t="str">
        <f>BG13</f>
        <v/>
      </c>
      <c r="AH20" s="87"/>
      <c r="AI20" s="87"/>
      <c r="AJ20" s="87"/>
      <c r="AK20" s="87"/>
      <c r="AL20" s="88"/>
      <c r="AM20" s="463"/>
      <c r="AN20" s="438"/>
      <c r="AO20" s="490" t="s">
        <v>113</v>
      </c>
      <c r="AP20" s="491"/>
      <c r="AQ20" s="491"/>
      <c r="AR20" s="492"/>
      <c r="AS20" s="493"/>
      <c r="AT20" s="510" t="str">
        <f>BG14</f>
        <v/>
      </c>
      <c r="AU20" s="87"/>
      <c r="AV20" s="87"/>
      <c r="AW20" s="87"/>
      <c r="AX20" s="87"/>
      <c r="AY20" s="88"/>
      <c r="AZ20" s="463"/>
      <c r="BB20" s="1" t="s">
        <v>48</v>
      </c>
      <c r="BC20" s="3">
        <v>71120.0</v>
      </c>
    </row>
    <row r="21" ht="15.75" customHeight="1">
      <c r="A21" s="56"/>
      <c r="B21" s="195" t="s">
        <v>116</v>
      </c>
      <c r="C21" s="196"/>
      <c r="D21" s="196"/>
      <c r="E21" s="196"/>
      <c r="F21" s="197"/>
      <c r="G21" s="486">
        <f>G19-G20</f>
        <v>66000</v>
      </c>
      <c r="H21" s="87"/>
      <c r="I21" s="87"/>
      <c r="J21" s="87"/>
      <c r="K21" s="87"/>
      <c r="L21" s="88"/>
      <c r="M21" s="110"/>
      <c r="N21" s="438"/>
      <c r="O21" s="490" t="s">
        <v>116</v>
      </c>
      <c r="P21" s="491"/>
      <c r="Q21" s="491"/>
      <c r="R21" s="492"/>
      <c r="S21" s="493"/>
      <c r="T21" s="488">
        <f>T19-T20</f>
        <v>66000</v>
      </c>
      <c r="U21" s="87"/>
      <c r="V21" s="87"/>
      <c r="W21" s="87"/>
      <c r="X21" s="87"/>
      <c r="Y21" s="88"/>
      <c r="Z21" s="463"/>
      <c r="AA21" s="438"/>
      <c r="AB21" s="490" t="s">
        <v>116</v>
      </c>
      <c r="AC21" s="491"/>
      <c r="AD21" s="491"/>
      <c r="AE21" s="492"/>
      <c r="AF21" s="493"/>
      <c r="AG21" s="488">
        <f>AG19-AG20</f>
        <v>66000</v>
      </c>
      <c r="AH21" s="87"/>
      <c r="AI21" s="87"/>
      <c r="AJ21" s="87"/>
      <c r="AK21" s="87"/>
      <c r="AL21" s="88"/>
      <c r="AM21" s="463"/>
      <c r="AN21" s="438"/>
      <c r="AO21" s="490" t="s">
        <v>116</v>
      </c>
      <c r="AP21" s="491"/>
      <c r="AQ21" s="491"/>
      <c r="AR21" s="492"/>
      <c r="AS21" s="493"/>
      <c r="AT21" s="488">
        <f>AT19-AT20</f>
        <v>66000</v>
      </c>
      <c r="AU21" s="87"/>
      <c r="AV21" s="87"/>
      <c r="AW21" s="87"/>
      <c r="AX21" s="87"/>
      <c r="AY21" s="88"/>
      <c r="AZ21" s="463"/>
      <c r="BB21" s="103" t="s">
        <v>51</v>
      </c>
      <c r="BC21" s="511"/>
    </row>
    <row r="22" ht="15.75" customHeight="1">
      <c r="A22" s="56"/>
      <c r="B22" s="195" t="s">
        <v>120</v>
      </c>
      <c r="C22" s="196"/>
      <c r="D22" s="196"/>
      <c r="E22" s="196"/>
      <c r="F22" s="197"/>
      <c r="G22" s="484">
        <f>BE11</f>
        <v>1000</v>
      </c>
      <c r="H22" s="87"/>
      <c r="I22" s="87"/>
      <c r="J22" s="87"/>
      <c r="K22" s="87"/>
      <c r="L22" s="88"/>
      <c r="M22" s="110"/>
      <c r="N22" s="438"/>
      <c r="O22" s="490" t="s">
        <v>120</v>
      </c>
      <c r="P22" s="491"/>
      <c r="Q22" s="491"/>
      <c r="R22" s="492"/>
      <c r="S22" s="493"/>
      <c r="T22" s="485">
        <f>BE12</f>
        <v>1000</v>
      </c>
      <c r="U22" s="87"/>
      <c r="V22" s="87"/>
      <c r="W22" s="87"/>
      <c r="X22" s="87"/>
      <c r="Y22" s="88"/>
      <c r="Z22" s="463"/>
      <c r="AA22" s="438"/>
      <c r="AB22" s="490" t="s">
        <v>120</v>
      </c>
      <c r="AC22" s="491"/>
      <c r="AD22" s="491"/>
      <c r="AE22" s="492"/>
      <c r="AF22" s="493"/>
      <c r="AG22" s="485" t="str">
        <f>BE13</f>
        <v/>
      </c>
      <c r="AH22" s="87"/>
      <c r="AI22" s="87"/>
      <c r="AJ22" s="87"/>
      <c r="AK22" s="87"/>
      <c r="AL22" s="88"/>
      <c r="AM22" s="463"/>
      <c r="AN22" s="438"/>
      <c r="AO22" s="490" t="s">
        <v>120</v>
      </c>
      <c r="AP22" s="491"/>
      <c r="AQ22" s="491"/>
      <c r="AR22" s="492"/>
      <c r="AS22" s="493"/>
      <c r="AT22" s="485" t="str">
        <f>BE14</f>
        <v/>
      </c>
      <c r="AU22" s="87"/>
      <c r="AV22" s="87"/>
      <c r="AW22" s="87"/>
      <c r="AX22" s="87"/>
      <c r="AY22" s="88"/>
      <c r="AZ22" s="463"/>
      <c r="BB22" s="103" t="s">
        <v>52</v>
      </c>
      <c r="BC22" s="511"/>
    </row>
    <row r="23" ht="15.75" customHeight="1">
      <c r="A23" s="56"/>
      <c r="B23" s="195" t="s">
        <v>121</v>
      </c>
      <c r="C23" s="196"/>
      <c r="D23" s="196"/>
      <c r="E23" s="196"/>
      <c r="F23" s="197"/>
      <c r="G23" s="512">
        <f>G21-G22</f>
        <v>65000</v>
      </c>
      <c r="H23" s="87"/>
      <c r="I23" s="87"/>
      <c r="J23" s="87"/>
      <c r="K23" s="87"/>
      <c r="L23" s="88"/>
      <c r="M23" s="110"/>
      <c r="N23" s="438"/>
      <c r="O23" s="490" t="s">
        <v>121</v>
      </c>
      <c r="P23" s="491"/>
      <c r="Q23" s="491"/>
      <c r="R23" s="492"/>
      <c r="S23" s="493"/>
      <c r="T23" s="513">
        <f>T21-T22</f>
        <v>65000</v>
      </c>
      <c r="U23" s="87"/>
      <c r="V23" s="87"/>
      <c r="W23" s="87"/>
      <c r="X23" s="87"/>
      <c r="Y23" s="88"/>
      <c r="Z23" s="463"/>
      <c r="AA23" s="438"/>
      <c r="AB23" s="490" t="s">
        <v>121</v>
      </c>
      <c r="AC23" s="491"/>
      <c r="AD23" s="491"/>
      <c r="AE23" s="492"/>
      <c r="AF23" s="493"/>
      <c r="AG23" s="513">
        <f>AG21-AG22</f>
        <v>66000</v>
      </c>
      <c r="AH23" s="87"/>
      <c r="AI23" s="87"/>
      <c r="AJ23" s="87"/>
      <c r="AK23" s="87"/>
      <c r="AL23" s="88"/>
      <c r="AM23" s="463"/>
      <c r="AN23" s="438"/>
      <c r="AO23" s="490" t="s">
        <v>121</v>
      </c>
      <c r="AP23" s="491"/>
      <c r="AQ23" s="491"/>
      <c r="AR23" s="492"/>
      <c r="AS23" s="493"/>
      <c r="AT23" s="513">
        <f>AT21-AT22</f>
        <v>66000</v>
      </c>
      <c r="AU23" s="87"/>
      <c r="AV23" s="87"/>
      <c r="AW23" s="87"/>
      <c r="AX23" s="87"/>
      <c r="AY23" s="88"/>
      <c r="AZ23" s="463"/>
    </row>
    <row r="24" ht="15.75" customHeight="1">
      <c r="A24" s="56"/>
      <c r="B24" s="151"/>
      <c r="C24" s="151"/>
      <c r="D24" s="151"/>
      <c r="E24" s="151"/>
      <c r="F24" s="151"/>
      <c r="G24" s="504"/>
      <c r="H24" s="504"/>
      <c r="I24" s="504"/>
      <c r="J24" s="504"/>
      <c r="K24" s="504"/>
      <c r="L24" s="504"/>
      <c r="M24" s="55"/>
      <c r="N24" s="438"/>
      <c r="O24" s="479"/>
      <c r="P24" s="479"/>
      <c r="Q24" s="479"/>
      <c r="R24" s="480"/>
      <c r="S24" s="480"/>
      <c r="T24" s="505"/>
      <c r="U24" s="505"/>
      <c r="V24" s="505"/>
      <c r="W24" s="505"/>
      <c r="X24" s="505"/>
      <c r="Y24" s="505"/>
      <c r="Z24" s="442"/>
      <c r="AA24" s="438"/>
      <c r="AB24" s="479"/>
      <c r="AC24" s="479"/>
      <c r="AD24" s="479"/>
      <c r="AE24" s="480"/>
      <c r="AF24" s="480"/>
      <c r="AG24" s="505"/>
      <c r="AH24" s="505"/>
      <c r="AI24" s="505"/>
      <c r="AJ24" s="505"/>
      <c r="AK24" s="505"/>
      <c r="AL24" s="505"/>
      <c r="AM24" s="442"/>
      <c r="AN24" s="438"/>
      <c r="AO24" s="479"/>
      <c r="AP24" s="479"/>
      <c r="AQ24" s="479"/>
      <c r="AR24" s="480"/>
      <c r="AS24" s="480"/>
      <c r="AT24" s="505"/>
      <c r="AU24" s="505"/>
      <c r="AV24" s="505"/>
      <c r="AW24" s="505"/>
      <c r="AX24" s="505"/>
      <c r="AY24" s="505"/>
      <c r="AZ24" s="442"/>
      <c r="BB24" s="1" t="s">
        <v>54</v>
      </c>
      <c r="BC24" s="3" t="s">
        <v>54</v>
      </c>
    </row>
    <row r="25" ht="15.75" customHeight="1">
      <c r="A25" s="56"/>
      <c r="B25" s="195" t="s">
        <v>123</v>
      </c>
      <c r="C25" s="196"/>
      <c r="D25" s="196"/>
      <c r="E25" s="196"/>
      <c r="F25" s="197"/>
      <c r="G25" s="516"/>
      <c r="H25" s="87"/>
      <c r="I25" s="87"/>
      <c r="J25" s="87"/>
      <c r="K25" s="87"/>
      <c r="L25" s="88"/>
      <c r="M25" s="55"/>
      <c r="N25" s="438"/>
      <c r="O25" s="490" t="s">
        <v>123</v>
      </c>
      <c r="P25" s="491"/>
      <c r="Q25" s="491"/>
      <c r="R25" s="492"/>
      <c r="S25" s="493"/>
      <c r="T25" s="517"/>
      <c r="U25" s="87"/>
      <c r="V25" s="87"/>
      <c r="W25" s="87"/>
      <c r="X25" s="87"/>
      <c r="Y25" s="88"/>
      <c r="Z25" s="442"/>
      <c r="AA25" s="438"/>
      <c r="AB25" s="490" t="s">
        <v>123</v>
      </c>
      <c r="AC25" s="491"/>
      <c r="AD25" s="491"/>
      <c r="AE25" s="492"/>
      <c r="AF25" s="493"/>
      <c r="AG25" s="517"/>
      <c r="AH25" s="87"/>
      <c r="AI25" s="87"/>
      <c r="AJ25" s="87"/>
      <c r="AK25" s="87"/>
      <c r="AL25" s="88"/>
      <c r="AM25" s="442"/>
      <c r="AN25" s="438"/>
      <c r="AO25" s="490" t="s">
        <v>123</v>
      </c>
      <c r="AP25" s="491"/>
      <c r="AQ25" s="491"/>
      <c r="AR25" s="492"/>
      <c r="AS25" s="493"/>
      <c r="AT25" s="517"/>
      <c r="AU25" s="87"/>
      <c r="AV25" s="87"/>
      <c r="AW25" s="87"/>
      <c r="AX25" s="87"/>
      <c r="AY25" s="88"/>
      <c r="AZ25" s="442"/>
    </row>
    <row r="26" ht="15.75" customHeight="1">
      <c r="A26" s="56"/>
      <c r="B26" s="195" t="s">
        <v>124</v>
      </c>
      <c r="C26" s="196"/>
      <c r="D26" s="196"/>
      <c r="E26" s="196"/>
      <c r="F26" s="197"/>
      <c r="G26" s="484">
        <f>BF11</f>
        <v>216</v>
      </c>
      <c r="H26" s="87"/>
      <c r="I26" s="87"/>
      <c r="J26" s="87"/>
      <c r="K26" s="87"/>
      <c r="L26" s="88"/>
      <c r="M26" s="110"/>
      <c r="N26" s="438"/>
      <c r="O26" s="490" t="s">
        <v>124</v>
      </c>
      <c r="P26" s="491"/>
      <c r="Q26" s="491"/>
      <c r="R26" s="492"/>
      <c r="S26" s="493"/>
      <c r="T26" s="485">
        <f>BF12</f>
        <v>192</v>
      </c>
      <c r="U26" s="87"/>
      <c r="V26" s="87"/>
      <c r="W26" s="87"/>
      <c r="X26" s="87"/>
      <c r="Y26" s="88"/>
      <c r="Z26" s="463"/>
      <c r="AA26" s="438"/>
      <c r="AB26" s="490" t="s">
        <v>124</v>
      </c>
      <c r="AC26" s="491"/>
      <c r="AD26" s="491"/>
      <c r="AE26" s="492"/>
      <c r="AF26" s="493"/>
      <c r="AG26" s="485" t="str">
        <f>BF13</f>
        <v/>
      </c>
      <c r="AH26" s="87"/>
      <c r="AI26" s="87"/>
      <c r="AJ26" s="87"/>
      <c r="AK26" s="87"/>
      <c r="AL26" s="88"/>
      <c r="AM26" s="463"/>
      <c r="AN26" s="438"/>
      <c r="AO26" s="490" t="s">
        <v>124</v>
      </c>
      <c r="AP26" s="491"/>
      <c r="AQ26" s="491"/>
      <c r="AR26" s="492"/>
      <c r="AS26" s="493"/>
      <c r="AT26" s="485" t="str">
        <f>BF14</f>
        <v/>
      </c>
      <c r="AU26" s="87"/>
      <c r="AV26" s="87"/>
      <c r="AW26" s="87"/>
      <c r="AX26" s="87"/>
      <c r="AY26" s="88"/>
      <c r="AZ26" s="463"/>
    </row>
    <row r="27" ht="15.75" customHeight="1">
      <c r="A27" s="56"/>
      <c r="B27" s="195" t="s">
        <v>128</v>
      </c>
      <c r="C27" s="196"/>
      <c r="D27" s="196"/>
      <c r="E27" s="196"/>
      <c r="F27" s="197"/>
      <c r="G27" s="516"/>
      <c r="H27" s="87"/>
      <c r="I27" s="87"/>
      <c r="J27" s="87"/>
      <c r="K27" s="87"/>
      <c r="L27" s="88"/>
      <c r="M27" s="55"/>
      <c r="N27" s="438"/>
      <c r="O27" s="490" t="s">
        <v>128</v>
      </c>
      <c r="P27" s="491"/>
      <c r="Q27" s="491"/>
      <c r="R27" s="492"/>
      <c r="S27" s="493"/>
      <c r="T27" s="517"/>
      <c r="U27" s="87"/>
      <c r="V27" s="87"/>
      <c r="W27" s="87"/>
      <c r="X27" s="87"/>
      <c r="Y27" s="88"/>
      <c r="Z27" s="442"/>
      <c r="AA27" s="438"/>
      <c r="AB27" s="490" t="s">
        <v>128</v>
      </c>
      <c r="AC27" s="491"/>
      <c r="AD27" s="491"/>
      <c r="AE27" s="492"/>
      <c r="AF27" s="493"/>
      <c r="AG27" s="517"/>
      <c r="AH27" s="87"/>
      <c r="AI27" s="87"/>
      <c r="AJ27" s="87"/>
      <c r="AK27" s="87"/>
      <c r="AL27" s="88"/>
      <c r="AM27" s="442"/>
      <c r="AN27" s="438"/>
      <c r="AO27" s="490" t="s">
        <v>128</v>
      </c>
      <c r="AP27" s="491"/>
      <c r="AQ27" s="491"/>
      <c r="AR27" s="492"/>
      <c r="AS27" s="493"/>
      <c r="AT27" s="517"/>
      <c r="AU27" s="87"/>
      <c r="AV27" s="87"/>
      <c r="AW27" s="87"/>
      <c r="AX27" s="87"/>
      <c r="AY27" s="88"/>
      <c r="AZ27" s="442"/>
    </row>
    <row r="28" ht="15.75" customHeight="1">
      <c r="A28" s="56"/>
      <c r="B28" s="136"/>
      <c r="C28" s="136"/>
      <c r="D28" s="151"/>
      <c r="E28" s="151"/>
      <c r="F28" s="151"/>
      <c r="G28" s="151"/>
      <c r="H28" s="151"/>
      <c r="I28" s="151"/>
      <c r="J28" s="151"/>
      <c r="K28" s="151"/>
      <c r="L28" s="151"/>
      <c r="M28" s="55"/>
      <c r="N28" s="438"/>
      <c r="O28" s="472"/>
      <c r="P28" s="472"/>
      <c r="Q28" s="479"/>
      <c r="R28" s="479"/>
      <c r="S28" s="479"/>
      <c r="T28" s="479"/>
      <c r="U28" s="479"/>
      <c r="V28" s="479"/>
      <c r="W28" s="479"/>
      <c r="X28" s="479"/>
      <c r="Y28" s="479"/>
      <c r="Z28" s="442"/>
      <c r="AA28" s="438"/>
      <c r="AB28" s="472"/>
      <c r="AC28" s="472"/>
      <c r="AD28" s="479"/>
      <c r="AE28" s="479"/>
      <c r="AF28" s="479"/>
      <c r="AG28" s="479"/>
      <c r="AH28" s="479"/>
      <c r="AI28" s="479"/>
      <c r="AJ28" s="479"/>
      <c r="AK28" s="479"/>
      <c r="AL28" s="479"/>
      <c r="AM28" s="442"/>
      <c r="AN28" s="438"/>
      <c r="AO28" s="472"/>
      <c r="AP28" s="472"/>
      <c r="AQ28" s="479"/>
      <c r="AR28" s="479"/>
      <c r="AS28" s="479"/>
      <c r="AT28" s="479"/>
      <c r="AU28" s="479"/>
      <c r="AV28" s="479"/>
      <c r="AW28" s="479"/>
      <c r="AX28" s="479"/>
      <c r="AY28" s="479"/>
      <c r="AZ28" s="442"/>
    </row>
    <row r="29" ht="15.75" customHeight="1">
      <c r="A29" s="56"/>
      <c r="B29" s="136"/>
      <c r="C29" s="136"/>
      <c r="D29" s="151"/>
      <c r="E29" s="151"/>
      <c r="F29" s="151"/>
      <c r="G29" s="151"/>
      <c r="H29" s="151"/>
      <c r="I29" s="151"/>
      <c r="J29" s="151"/>
      <c r="K29" s="151"/>
      <c r="L29" s="151"/>
      <c r="M29" s="55"/>
      <c r="N29" s="438"/>
      <c r="O29" s="472"/>
      <c r="P29" s="472"/>
      <c r="Q29" s="479"/>
      <c r="R29" s="479"/>
      <c r="S29" s="479"/>
      <c r="T29" s="479"/>
      <c r="U29" s="479"/>
      <c r="V29" s="479"/>
      <c r="W29" s="479"/>
      <c r="X29" s="479"/>
      <c r="Y29" s="479"/>
      <c r="Z29" s="442"/>
      <c r="AA29" s="438"/>
      <c r="AB29" s="472"/>
      <c r="AC29" s="472"/>
      <c r="AD29" s="479"/>
      <c r="AE29" s="479"/>
      <c r="AF29" s="479"/>
      <c r="AG29" s="479"/>
      <c r="AH29" s="479"/>
      <c r="AI29" s="479"/>
      <c r="AJ29" s="479"/>
      <c r="AK29" s="479"/>
      <c r="AL29" s="479"/>
      <c r="AM29" s="442"/>
      <c r="AN29" s="438"/>
      <c r="AO29" s="472"/>
      <c r="AP29" s="472"/>
      <c r="AQ29" s="479"/>
      <c r="AR29" s="479"/>
      <c r="AS29" s="479"/>
      <c r="AT29" s="479"/>
      <c r="AU29" s="479"/>
      <c r="AV29" s="479"/>
      <c r="AW29" s="479"/>
      <c r="AX29" s="479"/>
      <c r="AY29" s="479"/>
      <c r="AZ29" s="442"/>
    </row>
    <row r="30" ht="15.75" customHeight="1">
      <c r="A30" s="56"/>
      <c r="B30" s="136" t="s">
        <v>132</v>
      </c>
      <c r="C30" s="136"/>
      <c r="D30" s="151"/>
      <c r="E30" s="340" t="str">
        <f>BC17</f>
        <v>CAPT. AUDI PRADHIPTO BRASALI</v>
      </c>
      <c r="F30" s="49"/>
      <c r="G30" s="49"/>
      <c r="H30" s="49"/>
      <c r="I30" s="49"/>
      <c r="J30" s="49"/>
      <c r="K30" s="49"/>
      <c r="L30" s="49"/>
      <c r="M30" s="55"/>
      <c r="N30" s="438"/>
      <c r="O30" s="472" t="s">
        <v>132</v>
      </c>
      <c r="P30" s="472"/>
      <c r="Q30" s="479"/>
      <c r="R30" s="522" t="str">
        <f>E30</f>
        <v>CAPT. AUDI PRADHIPTO BRASALI</v>
      </c>
      <c r="S30" s="522"/>
      <c r="T30" s="522"/>
      <c r="U30" s="522"/>
      <c r="V30" s="522"/>
      <c r="W30" s="522"/>
      <c r="X30" s="522"/>
      <c r="Y30" s="479"/>
      <c r="Z30" s="442"/>
      <c r="AA30" s="438"/>
      <c r="AB30" s="472" t="s">
        <v>132</v>
      </c>
      <c r="AC30" s="472"/>
      <c r="AD30" s="479"/>
      <c r="AE30" s="522" t="str">
        <f>R30</f>
        <v>CAPT. AUDI PRADHIPTO BRASALI</v>
      </c>
      <c r="AF30" s="522"/>
      <c r="AG30" s="522"/>
      <c r="AH30" s="522"/>
      <c r="AI30" s="522"/>
      <c r="AJ30" s="522"/>
      <c r="AK30" s="522"/>
      <c r="AL30" s="479"/>
      <c r="AM30" s="442"/>
      <c r="AN30" s="438"/>
      <c r="AO30" s="472" t="s">
        <v>132</v>
      </c>
      <c r="AP30" s="472"/>
      <c r="AQ30" s="479"/>
      <c r="AR30" s="522" t="str">
        <f>AE30</f>
        <v>CAPT. AUDI PRADHIPTO BRASALI</v>
      </c>
      <c r="AS30" s="522"/>
      <c r="AT30" s="522"/>
      <c r="AU30" s="522"/>
      <c r="AV30" s="522"/>
      <c r="AW30" s="522"/>
      <c r="AX30" s="522"/>
      <c r="AY30" s="479"/>
      <c r="AZ30" s="442"/>
    </row>
    <row r="31" ht="59.25" customHeight="1">
      <c r="A31" s="56"/>
      <c r="B31" s="136"/>
      <c r="C31" s="136"/>
      <c r="D31" s="345" t="s">
        <v>133</v>
      </c>
      <c r="E31" s="49"/>
      <c r="F31" s="49"/>
      <c r="G31" s="49"/>
      <c r="H31" s="49"/>
      <c r="I31" s="49"/>
      <c r="J31" s="151"/>
      <c r="K31" s="151"/>
      <c r="L31" s="151"/>
      <c r="M31" s="55"/>
      <c r="N31" s="438"/>
      <c r="O31" s="472"/>
      <c r="P31" s="472"/>
      <c r="Q31" s="523" t="s">
        <v>133</v>
      </c>
      <c r="R31" s="49"/>
      <c r="S31" s="49"/>
      <c r="T31" s="49"/>
      <c r="U31" s="49"/>
      <c r="V31" s="49"/>
      <c r="W31" s="479"/>
      <c r="X31" s="479"/>
      <c r="Y31" s="479"/>
      <c r="Z31" s="442"/>
      <c r="AA31" s="438"/>
      <c r="AB31" s="472"/>
      <c r="AC31" s="472"/>
      <c r="AD31" s="523" t="s">
        <v>133</v>
      </c>
      <c r="AE31" s="49"/>
      <c r="AF31" s="49"/>
      <c r="AG31" s="49"/>
      <c r="AH31" s="49"/>
      <c r="AI31" s="49"/>
      <c r="AJ31" s="479"/>
      <c r="AK31" s="479"/>
      <c r="AL31" s="479"/>
      <c r="AM31" s="442"/>
      <c r="AN31" s="438"/>
      <c r="AO31" s="472"/>
      <c r="AP31" s="472"/>
      <c r="AQ31" s="523" t="s">
        <v>133</v>
      </c>
      <c r="AR31" s="49"/>
      <c r="AS31" s="49"/>
      <c r="AT31" s="49"/>
      <c r="AU31" s="49"/>
      <c r="AV31" s="49"/>
      <c r="AW31" s="479"/>
      <c r="AX31" s="479"/>
      <c r="AY31" s="479"/>
      <c r="AZ31" s="442"/>
    </row>
    <row r="32" ht="15.75" customHeight="1">
      <c r="A32" s="56"/>
      <c r="B32" s="136"/>
      <c r="C32" s="136"/>
      <c r="D32" s="151"/>
      <c r="E32" s="151"/>
      <c r="F32" s="151"/>
      <c r="G32" s="151"/>
      <c r="H32" s="151"/>
      <c r="I32" s="151"/>
      <c r="J32" s="151"/>
      <c r="K32" s="151"/>
      <c r="L32" s="151"/>
      <c r="M32" s="55"/>
      <c r="N32" s="438"/>
      <c r="O32" s="472"/>
      <c r="P32" s="472"/>
      <c r="Q32" s="479"/>
      <c r="R32" s="479"/>
      <c r="S32" s="479"/>
      <c r="T32" s="479"/>
      <c r="U32" s="479"/>
      <c r="V32" s="479"/>
      <c r="W32" s="479"/>
      <c r="X32" s="479"/>
      <c r="Y32" s="479"/>
      <c r="Z32" s="442"/>
      <c r="AA32" s="438"/>
      <c r="AB32" s="472"/>
      <c r="AC32" s="472"/>
      <c r="AD32" s="479"/>
      <c r="AE32" s="479"/>
      <c r="AF32" s="479"/>
      <c r="AG32" s="479"/>
      <c r="AH32" s="479"/>
      <c r="AI32" s="479"/>
      <c r="AJ32" s="479"/>
      <c r="AK32" s="479"/>
      <c r="AL32" s="479"/>
      <c r="AM32" s="442"/>
      <c r="AN32" s="438"/>
      <c r="AO32" s="472"/>
      <c r="AP32" s="472"/>
      <c r="AQ32" s="479"/>
      <c r="AR32" s="479"/>
      <c r="AS32" s="479"/>
      <c r="AT32" s="479"/>
      <c r="AU32" s="479"/>
      <c r="AV32" s="479"/>
      <c r="AW32" s="479"/>
      <c r="AX32" s="479"/>
      <c r="AY32" s="479"/>
      <c r="AZ32" s="442"/>
    </row>
    <row r="33" ht="15.75" customHeight="1">
      <c r="A33" s="56"/>
      <c r="B33" s="136"/>
      <c r="C33" s="136"/>
      <c r="D33" s="151"/>
      <c r="E33" s="151"/>
      <c r="F33" s="151"/>
      <c r="G33" s="151"/>
      <c r="H33" s="151"/>
      <c r="I33" s="151"/>
      <c r="J33" s="151"/>
      <c r="K33" s="151"/>
      <c r="L33" s="151"/>
      <c r="M33" s="55"/>
      <c r="N33" s="438"/>
      <c r="O33" s="472"/>
      <c r="P33" s="472"/>
      <c r="Q33" s="479"/>
      <c r="R33" s="479"/>
      <c r="S33" s="479"/>
      <c r="T33" s="479"/>
      <c r="U33" s="479"/>
      <c r="V33" s="479"/>
      <c r="W33" s="479"/>
      <c r="X33" s="479"/>
      <c r="Y33" s="479"/>
      <c r="Z33" s="442"/>
      <c r="AA33" s="438"/>
      <c r="AB33" s="472"/>
      <c r="AC33" s="472"/>
      <c r="AD33" s="479"/>
      <c r="AE33" s="479"/>
      <c r="AF33" s="479"/>
      <c r="AG33" s="479"/>
      <c r="AH33" s="479"/>
      <c r="AI33" s="479"/>
      <c r="AJ33" s="479"/>
      <c r="AK33" s="479"/>
      <c r="AL33" s="479"/>
      <c r="AM33" s="442"/>
      <c r="AN33" s="438"/>
      <c r="AO33" s="472"/>
      <c r="AP33" s="472"/>
      <c r="AQ33" s="479"/>
      <c r="AR33" s="479"/>
      <c r="AS33" s="479"/>
      <c r="AT33" s="479"/>
      <c r="AU33" s="479"/>
      <c r="AV33" s="479"/>
      <c r="AW33" s="479"/>
      <c r="AX33" s="479"/>
      <c r="AY33" s="479"/>
      <c r="AZ33" s="442"/>
    </row>
    <row r="34" ht="15.75" customHeight="1">
      <c r="A34" s="56"/>
      <c r="B34" s="136" t="s">
        <v>135</v>
      </c>
      <c r="C34" s="136"/>
      <c r="D34" s="348">
        <f>BC11</f>
        <v>0</v>
      </c>
      <c r="E34" s="49"/>
      <c r="F34" s="49"/>
      <c r="G34" s="151" t="s">
        <v>136</v>
      </c>
      <c r="H34" s="151"/>
      <c r="I34" s="151"/>
      <c r="J34" s="151"/>
      <c r="K34" s="151"/>
      <c r="L34" s="151"/>
      <c r="M34" s="55"/>
      <c r="N34" s="438"/>
      <c r="O34" s="472" t="s">
        <v>135</v>
      </c>
      <c r="P34" s="472"/>
      <c r="Q34" s="524">
        <f>BC12</f>
        <v>0</v>
      </c>
      <c r="R34" s="49"/>
      <c r="S34" s="49"/>
      <c r="T34" s="479" t="s">
        <v>136</v>
      </c>
      <c r="U34" s="479"/>
      <c r="V34" s="479"/>
      <c r="W34" s="479"/>
      <c r="X34" s="479"/>
      <c r="Y34" s="479"/>
      <c r="Z34" s="442"/>
      <c r="AA34" s="438"/>
      <c r="AB34" s="472" t="s">
        <v>135</v>
      </c>
      <c r="AC34" s="472"/>
      <c r="AD34" s="524" t="str">
        <f>BC13</f>
        <v/>
      </c>
      <c r="AE34" s="49"/>
      <c r="AF34" s="49"/>
      <c r="AG34" s="479" t="s">
        <v>136</v>
      </c>
      <c r="AH34" s="479"/>
      <c r="AI34" s="479"/>
      <c r="AJ34" s="479"/>
      <c r="AK34" s="479"/>
      <c r="AL34" s="479"/>
      <c r="AM34" s="442"/>
      <c r="AN34" s="438"/>
      <c r="AO34" s="472" t="s">
        <v>135</v>
      </c>
      <c r="AP34" s="472"/>
      <c r="AQ34" s="524" t="str">
        <f>BC14</f>
        <v/>
      </c>
      <c r="AR34" s="49"/>
      <c r="AS34" s="49"/>
      <c r="AT34" s="479" t="s">
        <v>136</v>
      </c>
      <c r="AU34" s="479"/>
      <c r="AV34" s="479"/>
      <c r="AW34" s="479"/>
      <c r="AX34" s="479"/>
      <c r="AY34" s="479"/>
      <c r="AZ34" s="442"/>
    </row>
    <row r="35" ht="95.25" customHeight="1">
      <c r="A35" s="354"/>
      <c r="B35" s="355"/>
      <c r="C35" s="355"/>
      <c r="D35" s="356"/>
      <c r="E35" s="356"/>
      <c r="F35" s="356"/>
      <c r="G35" s="356"/>
      <c r="H35" s="356"/>
      <c r="I35" s="356"/>
      <c r="J35" s="356"/>
      <c r="K35" s="356"/>
      <c r="L35" s="356"/>
      <c r="M35" s="357"/>
      <c r="N35" s="525"/>
      <c r="O35" s="526"/>
      <c r="P35" s="526"/>
      <c r="Q35" s="527"/>
      <c r="R35" s="527"/>
      <c r="S35" s="527"/>
      <c r="T35" s="527"/>
      <c r="U35" s="527"/>
      <c r="V35" s="527"/>
      <c r="W35" s="527"/>
      <c r="X35" s="527"/>
      <c r="Y35" s="527"/>
      <c r="Z35" s="528"/>
      <c r="AA35" s="525"/>
      <c r="AB35" s="526"/>
      <c r="AC35" s="526"/>
      <c r="AD35" s="527"/>
      <c r="AE35" s="527"/>
      <c r="AF35" s="527"/>
      <c r="AG35" s="527"/>
      <c r="AH35" s="527"/>
      <c r="AI35" s="527"/>
      <c r="AJ35" s="527"/>
      <c r="AK35" s="527"/>
      <c r="AL35" s="527"/>
      <c r="AM35" s="528"/>
      <c r="AN35" s="525"/>
      <c r="AO35" s="526"/>
      <c r="AP35" s="526"/>
      <c r="AQ35" s="527"/>
      <c r="AR35" s="527"/>
      <c r="AS35" s="527"/>
      <c r="AT35" s="527"/>
      <c r="AU35" s="527"/>
      <c r="AV35" s="527"/>
      <c r="AW35" s="527"/>
      <c r="AX35" s="527"/>
      <c r="AY35" s="527"/>
      <c r="AZ35" s="528"/>
    </row>
    <row r="36" ht="15.75" customHeight="1"/>
    <row r="37" ht="15.75" customHeight="1">
      <c r="A37" s="1"/>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2">
    <mergeCell ref="W4:Y4"/>
    <mergeCell ref="AB4:AF4"/>
    <mergeCell ref="AJ4:AL4"/>
    <mergeCell ref="AO4:AS4"/>
    <mergeCell ref="A2:F2"/>
    <mergeCell ref="N2:S2"/>
    <mergeCell ref="AA2:AF2"/>
    <mergeCell ref="AN2:AS2"/>
    <mergeCell ref="BH2:BI2"/>
    <mergeCell ref="BH3:BI3"/>
    <mergeCell ref="B4:F4"/>
    <mergeCell ref="AW4:AY4"/>
    <mergeCell ref="U6:Y6"/>
    <mergeCell ref="AB6:AD6"/>
    <mergeCell ref="AE6:AF6"/>
    <mergeCell ref="AH6:AL6"/>
    <mergeCell ref="AO6:AQ6"/>
    <mergeCell ref="AR6:AS6"/>
    <mergeCell ref="AU6:AY6"/>
    <mergeCell ref="J4:L4"/>
    <mergeCell ref="O4:S4"/>
    <mergeCell ref="B6:D6"/>
    <mergeCell ref="E6:F6"/>
    <mergeCell ref="H6:L6"/>
    <mergeCell ref="O6:Q6"/>
    <mergeCell ref="R6:S6"/>
    <mergeCell ref="AE7:AF7"/>
    <mergeCell ref="AH7:AL7"/>
    <mergeCell ref="AO7:AQ7"/>
    <mergeCell ref="AR7:AS7"/>
    <mergeCell ref="AU7:AY7"/>
    <mergeCell ref="B7:D7"/>
    <mergeCell ref="E7:F7"/>
    <mergeCell ref="H7:L7"/>
    <mergeCell ref="O7:Q7"/>
    <mergeCell ref="R7:S7"/>
    <mergeCell ref="U7:Y7"/>
    <mergeCell ref="AB7:AD7"/>
    <mergeCell ref="AE8:AF8"/>
    <mergeCell ref="AH8:AL8"/>
    <mergeCell ref="AO8:AQ8"/>
    <mergeCell ref="AR8:AS8"/>
    <mergeCell ref="AU8:AY8"/>
    <mergeCell ref="B8:D8"/>
    <mergeCell ref="E8:F8"/>
    <mergeCell ref="H8:L8"/>
    <mergeCell ref="O8:Q8"/>
    <mergeCell ref="R8:S8"/>
    <mergeCell ref="U8:Y8"/>
    <mergeCell ref="AB8:AD8"/>
    <mergeCell ref="AE9:AF9"/>
    <mergeCell ref="AH9:AL9"/>
    <mergeCell ref="AO9:AQ9"/>
    <mergeCell ref="AR9:AS9"/>
    <mergeCell ref="AU9:AY9"/>
    <mergeCell ref="B9:D9"/>
    <mergeCell ref="E9:F9"/>
    <mergeCell ref="H9:L9"/>
    <mergeCell ref="O9:Q9"/>
    <mergeCell ref="R9:S9"/>
    <mergeCell ref="U9:Y9"/>
    <mergeCell ref="AB9:AD9"/>
    <mergeCell ref="G11:L11"/>
    <mergeCell ref="T11:Y11"/>
    <mergeCell ref="AG11:AL11"/>
    <mergeCell ref="AT11:AY11"/>
    <mergeCell ref="T12:Y12"/>
    <mergeCell ref="AG12:AL12"/>
    <mergeCell ref="AT12:AY12"/>
    <mergeCell ref="AT13:AY13"/>
    <mergeCell ref="AV15:AY15"/>
    <mergeCell ref="G12:L12"/>
    <mergeCell ref="G13:L13"/>
    <mergeCell ref="T13:Y13"/>
    <mergeCell ref="AG13:AL13"/>
    <mergeCell ref="I15:L15"/>
    <mergeCell ref="V15:Y15"/>
    <mergeCell ref="AI15:AL15"/>
    <mergeCell ref="T27:Y27"/>
    <mergeCell ref="Q34:S34"/>
    <mergeCell ref="T19:Y19"/>
    <mergeCell ref="T20:Y20"/>
    <mergeCell ref="T21:Y21"/>
    <mergeCell ref="T22:Y22"/>
    <mergeCell ref="T23:Y23"/>
    <mergeCell ref="T25:Y25"/>
    <mergeCell ref="T26:Y26"/>
    <mergeCell ref="E16:H16"/>
    <mergeCell ref="R16:U16"/>
    <mergeCell ref="V16:Y16"/>
    <mergeCell ref="AE16:AH16"/>
    <mergeCell ref="AI16:AL16"/>
    <mergeCell ref="AR16:AU16"/>
    <mergeCell ref="AV16:AY16"/>
    <mergeCell ref="AG21:AL21"/>
    <mergeCell ref="AG22:AL22"/>
    <mergeCell ref="AG23:AL23"/>
    <mergeCell ref="AG25:AL25"/>
    <mergeCell ref="AG26:AL26"/>
    <mergeCell ref="AG27:AL27"/>
    <mergeCell ref="AD34:AF34"/>
    <mergeCell ref="I16:L16"/>
    <mergeCell ref="G17:L17"/>
    <mergeCell ref="T17:Y17"/>
    <mergeCell ref="AG17:AL17"/>
    <mergeCell ref="G19:L19"/>
    <mergeCell ref="AG19:AL19"/>
    <mergeCell ref="AG20:AL20"/>
    <mergeCell ref="AT26:AY26"/>
    <mergeCell ref="AT27:AY27"/>
    <mergeCell ref="AQ34:AS34"/>
    <mergeCell ref="AT17:AY17"/>
    <mergeCell ref="AT19:AY19"/>
    <mergeCell ref="AT20:AY20"/>
    <mergeCell ref="AT21:AY21"/>
    <mergeCell ref="AT22:AY22"/>
    <mergeCell ref="AT23:AY23"/>
    <mergeCell ref="AT25:AY25"/>
    <mergeCell ref="E30:L30"/>
    <mergeCell ref="D31:I31"/>
    <mergeCell ref="Q31:V31"/>
    <mergeCell ref="AD31:AI31"/>
    <mergeCell ref="AQ31:AV31"/>
    <mergeCell ref="D34:F34"/>
    <mergeCell ref="A37:B37"/>
    <mergeCell ref="G20:L20"/>
    <mergeCell ref="G21:L21"/>
    <mergeCell ref="G22:L22"/>
    <mergeCell ref="G23:L23"/>
    <mergeCell ref="G25:L25"/>
    <mergeCell ref="G26:L26"/>
    <mergeCell ref="G27:L27"/>
  </mergeCells>
  <printOptions/>
  <pageMargins bottom="0.0784722222222222" footer="0.0" header="0.0" left="0.156944444444444" right="0.0388888888888889" top="0.196527777777778"/>
  <pageSetup paperSize="9" orientation="landscape"/>
  <colBreaks count="1" manualBreakCount="1">
    <brk id="52" man="1"/>
  </colBrea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workbookViewId="0"/>
  </sheetViews>
  <sheetFormatPr customHeight="1" defaultColWidth="12.63" defaultRowHeight="15.0"/>
  <cols>
    <col customWidth="1" min="1" max="1" width="1.88"/>
    <col customWidth="1" min="2" max="2" width="10.38"/>
    <col customWidth="1" min="3" max="3" width="11.13"/>
    <col customWidth="1" min="4" max="4" width="9.0"/>
    <col customWidth="1" min="5" max="5" width="10.5"/>
    <col customWidth="1" min="6" max="6" width="17.13"/>
    <col customWidth="1" min="7" max="7" width="8.25"/>
    <col customWidth="1" min="8" max="8" width="11.5"/>
    <col customWidth="1" min="9" max="9" width="7.0"/>
    <col customWidth="1" min="10" max="10" width="8.75"/>
    <col customWidth="1" min="11" max="12" width="9.5"/>
    <col customWidth="1" min="13" max="13" width="10.25"/>
    <col customWidth="1" min="14" max="14" width="8.38"/>
    <col customWidth="1" min="15" max="15" width="11.13"/>
    <col customWidth="1" min="16" max="16" width="13.13"/>
    <col customWidth="1" min="17" max="17" width="2.5"/>
    <col customWidth="1" min="18" max="18" width="11.13"/>
    <col customWidth="1" min="19" max="19" width="7.63"/>
    <col customWidth="1" min="20" max="20" width="2.13"/>
    <col customWidth="1" min="21" max="26" width="11.5"/>
  </cols>
  <sheetData>
    <row r="1" ht="15.75" customHeight="1">
      <c r="A1" s="4"/>
      <c r="B1" s="4"/>
      <c r="C1" s="4"/>
      <c r="D1" s="4"/>
      <c r="E1" s="4"/>
      <c r="F1" s="4"/>
      <c r="G1" s="4"/>
      <c r="H1" s="4"/>
      <c r="I1" s="4"/>
      <c r="J1" s="4"/>
      <c r="K1" s="4"/>
      <c r="L1" s="4"/>
      <c r="M1" s="4"/>
      <c r="N1" s="4"/>
      <c r="O1" s="4"/>
      <c r="P1" s="4"/>
      <c r="Q1" s="4"/>
      <c r="R1" s="4"/>
      <c r="S1" s="4"/>
      <c r="T1" s="4"/>
      <c r="U1" s="4"/>
      <c r="V1" s="4"/>
      <c r="W1" s="4"/>
      <c r="X1" s="4"/>
      <c r="Y1" s="4"/>
      <c r="Z1" s="4"/>
    </row>
    <row r="2" ht="67.5" customHeight="1">
      <c r="A2" s="4"/>
      <c r="B2" s="10" t="s">
        <v>2</v>
      </c>
      <c r="C2" s="9"/>
      <c r="D2" s="9"/>
      <c r="E2" s="9"/>
      <c r="F2" s="9"/>
      <c r="G2" s="9"/>
      <c r="H2" s="9"/>
      <c r="I2" s="9"/>
      <c r="J2" s="9"/>
      <c r="K2" s="9"/>
      <c r="L2" s="9"/>
      <c r="M2" s="9"/>
      <c r="N2" s="9"/>
      <c r="O2" s="9"/>
      <c r="P2" s="9"/>
      <c r="Q2" s="9"/>
      <c r="R2" s="9"/>
      <c r="S2" s="13"/>
      <c r="T2" s="4" t="s">
        <v>3</v>
      </c>
      <c r="U2" s="4"/>
      <c r="V2" s="4"/>
      <c r="W2" s="4"/>
      <c r="X2" s="4"/>
      <c r="Y2" s="4"/>
      <c r="Z2" s="4"/>
    </row>
    <row r="3" ht="22.5" customHeight="1">
      <c r="A3" s="4"/>
      <c r="B3" s="15"/>
      <c r="C3" s="4"/>
      <c r="D3" s="4"/>
      <c r="E3" s="4"/>
      <c r="F3" s="4"/>
      <c r="G3" s="4"/>
      <c r="H3" s="4"/>
      <c r="I3" s="4"/>
      <c r="J3" s="4"/>
      <c r="K3" s="4"/>
      <c r="L3" s="4"/>
      <c r="M3" s="4"/>
      <c r="N3" s="4"/>
      <c r="O3" s="4"/>
      <c r="P3" s="4"/>
      <c r="Q3" s="4"/>
      <c r="R3" s="4"/>
      <c r="S3" s="19"/>
      <c r="T3" s="4"/>
      <c r="U3" s="4"/>
      <c r="V3" s="4"/>
      <c r="W3" s="4"/>
      <c r="X3" s="4"/>
      <c r="Y3" s="4"/>
      <c r="Z3" s="4"/>
    </row>
    <row r="4" ht="18.75" customHeight="1">
      <c r="A4" s="4"/>
      <c r="B4" s="42" t="s">
        <v>5</v>
      </c>
      <c r="C4" s="155" t="s">
        <v>178</v>
      </c>
      <c r="D4" s="26"/>
      <c r="E4" s="27"/>
      <c r="F4" s="160" t="s">
        <v>7</v>
      </c>
      <c r="G4" s="162" t="s">
        <v>8</v>
      </c>
      <c r="H4" s="163"/>
      <c r="I4" s="165" t="s">
        <v>10</v>
      </c>
      <c r="J4" s="162" t="s">
        <v>38</v>
      </c>
      <c r="K4" s="166"/>
      <c r="L4" s="166"/>
      <c r="M4" s="160" t="s">
        <v>12</v>
      </c>
      <c r="N4" s="162" t="str">
        <f>'260'!BH11</f>
        <v>WMKJ</v>
      </c>
      <c r="O4" s="166"/>
      <c r="P4" s="169" t="s">
        <v>17</v>
      </c>
      <c r="Q4" s="171"/>
      <c r="R4" s="173">
        <f>'260'!BC19</f>
        <v>71119</v>
      </c>
      <c r="S4" s="429"/>
      <c r="T4" s="4"/>
      <c r="U4" s="4"/>
      <c r="V4" s="4"/>
      <c r="W4" s="4"/>
      <c r="X4" s="4"/>
      <c r="Y4" s="4"/>
      <c r="Z4" s="4"/>
    </row>
    <row r="5" ht="6.0" customHeight="1">
      <c r="A5" s="4"/>
      <c r="B5" s="42"/>
      <c r="C5" s="45"/>
      <c r="D5" s="45"/>
      <c r="E5" s="45"/>
      <c r="F5" s="166"/>
      <c r="G5" s="166"/>
      <c r="H5" s="166"/>
      <c r="I5" s="166"/>
      <c r="J5" s="166"/>
      <c r="K5" s="166"/>
      <c r="L5" s="166"/>
      <c r="M5" s="160"/>
      <c r="N5" s="166"/>
      <c r="O5" s="166"/>
      <c r="P5" s="176"/>
      <c r="Q5" s="166"/>
      <c r="R5" s="33"/>
      <c r="S5" s="429"/>
      <c r="T5" s="4"/>
      <c r="U5" s="4"/>
      <c r="V5" s="4"/>
      <c r="W5" s="4"/>
      <c r="X5" s="4"/>
      <c r="Y5" s="4"/>
      <c r="Z5" s="4"/>
    </row>
    <row r="6" ht="18.75" customHeight="1">
      <c r="A6" s="4"/>
      <c r="B6" s="42" t="s">
        <v>20</v>
      </c>
      <c r="C6" s="391">
        <f>TODAY()</f>
        <v>46278</v>
      </c>
      <c r="D6" s="26"/>
      <c r="E6" s="27"/>
      <c r="F6" s="495" t="s">
        <v>22</v>
      </c>
      <c r="G6" s="496" t="str">
        <f>J4</f>
        <v>WSSS</v>
      </c>
      <c r="H6" s="497"/>
      <c r="I6" s="495" t="s">
        <v>23</v>
      </c>
      <c r="J6" s="496" t="s">
        <v>8</v>
      </c>
      <c r="K6" s="368"/>
      <c r="L6" s="368"/>
      <c r="M6" s="495" t="s">
        <v>12</v>
      </c>
      <c r="N6" s="496" t="str">
        <f>'260'!BH12</f>
        <v>WIPP</v>
      </c>
      <c r="O6" s="368"/>
      <c r="P6" s="500" t="s">
        <v>17</v>
      </c>
      <c r="Q6" s="368"/>
      <c r="R6" s="496">
        <f>'260'!BC20</f>
        <v>71120</v>
      </c>
      <c r="S6" s="429"/>
      <c r="T6" s="4"/>
      <c r="U6" s="4"/>
      <c r="V6" s="4"/>
      <c r="W6" s="4"/>
      <c r="X6" s="4"/>
      <c r="Y6" s="4"/>
      <c r="Z6" s="4"/>
    </row>
    <row r="7" ht="6.0" customHeight="1">
      <c r="A7" s="4"/>
      <c r="B7" s="42"/>
      <c r="C7" s="182"/>
      <c r="D7" s="33"/>
      <c r="E7" s="33"/>
      <c r="F7" s="368"/>
      <c r="G7" s="368"/>
      <c r="H7" s="368"/>
      <c r="I7" s="368"/>
      <c r="J7" s="368"/>
      <c r="K7" s="368"/>
      <c r="L7" s="368"/>
      <c r="M7" s="368"/>
      <c r="N7" s="368"/>
      <c r="O7" s="368"/>
      <c r="P7" s="500"/>
      <c r="Q7" s="368"/>
      <c r="R7" s="502"/>
      <c r="S7" s="429"/>
      <c r="T7" s="4"/>
      <c r="U7" s="4"/>
      <c r="V7" s="4"/>
      <c r="W7" s="4"/>
      <c r="X7" s="4"/>
      <c r="Y7" s="4"/>
      <c r="Z7" s="4"/>
    </row>
    <row r="8" ht="18.75" customHeight="1">
      <c r="A8" s="4"/>
      <c r="B8" s="42" t="s">
        <v>25</v>
      </c>
      <c r="C8" s="185" t="str">
        <f>'260'!BB3</f>
        <v>PKAZK</v>
      </c>
      <c r="D8" s="186"/>
      <c r="E8" s="33"/>
      <c r="F8" s="433" t="s">
        <v>36</v>
      </c>
      <c r="G8" s="434" t="str">
        <f>J6</f>
        <v>WIII</v>
      </c>
      <c r="H8" s="435"/>
      <c r="I8" s="433" t="s">
        <v>37</v>
      </c>
      <c r="J8" s="434" t="s">
        <v>64</v>
      </c>
      <c r="K8" s="436"/>
      <c r="L8" s="436"/>
      <c r="M8" s="433" t="s">
        <v>12</v>
      </c>
      <c r="N8" s="434" t="str">
        <f>'260'!BH13</f>
        <v/>
      </c>
      <c r="O8" s="436"/>
      <c r="P8" s="437" t="s">
        <v>17</v>
      </c>
      <c r="Q8" s="436"/>
      <c r="R8" s="434" t="str">
        <f>'260'!BC21</f>
        <v/>
      </c>
      <c r="S8" s="429"/>
      <c r="T8" s="4"/>
      <c r="U8" s="4"/>
      <c r="V8" s="4"/>
      <c r="W8" s="4"/>
      <c r="X8" s="4"/>
      <c r="Y8" s="4"/>
      <c r="Z8" s="4"/>
    </row>
    <row r="9" ht="5.25" customHeight="1">
      <c r="A9" s="4"/>
      <c r="B9" s="94"/>
      <c r="C9" s="33"/>
      <c r="D9" s="33"/>
      <c r="E9" s="33"/>
      <c r="F9" s="506"/>
      <c r="G9" s="506"/>
      <c r="H9" s="436"/>
      <c r="I9" s="506"/>
      <c r="J9" s="436"/>
      <c r="K9" s="506"/>
      <c r="L9" s="506"/>
      <c r="M9" s="436"/>
      <c r="N9" s="436"/>
      <c r="O9" s="436"/>
      <c r="P9" s="437"/>
      <c r="Q9" s="436"/>
      <c r="R9" s="83"/>
      <c r="S9" s="429"/>
      <c r="T9" s="4"/>
      <c r="U9" s="4"/>
      <c r="V9" s="4"/>
      <c r="W9" s="4"/>
      <c r="X9" s="4"/>
      <c r="Y9" s="4"/>
      <c r="Z9" s="4"/>
    </row>
    <row r="10" ht="15.75" customHeight="1">
      <c r="A10" s="4"/>
      <c r="B10" s="272"/>
      <c r="C10" s="33"/>
      <c r="D10" s="33"/>
      <c r="E10" s="33"/>
      <c r="F10" s="433" t="s">
        <v>47</v>
      </c>
      <c r="G10" s="434" t="str">
        <f>J8</f>
        <v>WMKJ</v>
      </c>
      <c r="H10" s="435"/>
      <c r="I10" s="433" t="s">
        <v>50</v>
      </c>
      <c r="J10" s="434" t="s">
        <v>8</v>
      </c>
      <c r="K10" s="436"/>
      <c r="L10" s="436"/>
      <c r="M10" s="433" t="s">
        <v>12</v>
      </c>
      <c r="N10" s="434">
        <f>'260'!BH14</f>
        <v>4</v>
      </c>
      <c r="O10" s="436"/>
      <c r="P10" s="437" t="s">
        <v>17</v>
      </c>
      <c r="Q10" s="436"/>
      <c r="R10" s="434" t="str">
        <f>'260'!BC22</f>
        <v/>
      </c>
      <c r="S10" s="429"/>
      <c r="T10" s="4"/>
      <c r="U10" s="4"/>
      <c r="V10" s="4"/>
      <c r="W10" s="4"/>
      <c r="X10" s="4"/>
      <c r="Y10" s="4"/>
      <c r="Z10" s="4"/>
    </row>
    <row r="11" ht="6.0" customHeight="1">
      <c r="A11" s="4"/>
      <c r="B11" s="272"/>
      <c r="C11" s="33"/>
      <c r="D11" s="33"/>
      <c r="E11" s="33"/>
      <c r="F11" s="33"/>
      <c r="G11" s="33"/>
      <c r="H11" s="33"/>
      <c r="I11" s="33"/>
      <c r="J11" s="33"/>
      <c r="K11" s="33"/>
      <c r="L11" s="33"/>
      <c r="M11" s="33"/>
      <c r="N11" s="33"/>
      <c r="O11" s="33"/>
      <c r="P11" s="33"/>
      <c r="Q11" s="33"/>
      <c r="R11" s="33"/>
      <c r="S11" s="429"/>
      <c r="T11" s="4"/>
      <c r="U11" s="4"/>
      <c r="V11" s="4"/>
      <c r="W11" s="4"/>
      <c r="X11" s="4"/>
      <c r="Y11" s="4"/>
      <c r="Z11" s="4"/>
    </row>
    <row r="12" ht="18.75" customHeight="1">
      <c r="A12" s="4"/>
      <c r="B12" s="272"/>
      <c r="C12" s="33" t="s">
        <v>58</v>
      </c>
      <c r="D12" s="33"/>
      <c r="E12" s="33"/>
      <c r="F12" s="33"/>
      <c r="G12" s="33"/>
      <c r="H12" s="33"/>
      <c r="I12" s="33"/>
      <c r="J12" s="33"/>
      <c r="K12" s="33"/>
      <c r="L12" s="33"/>
      <c r="M12" s="33"/>
      <c r="N12" s="33"/>
      <c r="O12" s="33"/>
      <c r="P12" s="33"/>
      <c r="Q12" s="33"/>
      <c r="R12" s="449"/>
      <c r="S12" s="429"/>
      <c r="T12" s="4"/>
      <c r="U12" s="4"/>
      <c r="V12" s="4"/>
      <c r="W12" s="4"/>
      <c r="X12" s="4"/>
      <c r="Y12" s="4"/>
      <c r="Z12" s="4"/>
    </row>
    <row r="13" ht="90.75" customHeight="1">
      <c r="A13" s="4"/>
      <c r="B13" s="272"/>
      <c r="C13" s="111" t="s">
        <v>8</v>
      </c>
      <c r="D13" s="112" t="str">
        <f>WX!B3</f>
        <v>TAF WIII 060500Z 0606/0712 03010KT 9000 FEW020 
  TEMPO 0606/0609 5000 SHRA FEW018CB BKN020 
  BECMG 0611/0613 19003KT 
  BECMG 0619/0621 5000 HZ 
  BECMG 0700/0702 02010KT 8000 NSW</v>
      </c>
      <c r="E13" s="87"/>
      <c r="F13" s="87"/>
      <c r="G13" s="87"/>
      <c r="H13" s="87"/>
      <c r="I13" s="87"/>
      <c r="J13" s="87"/>
      <c r="K13" s="87"/>
      <c r="L13" s="87"/>
      <c r="M13" s="87"/>
      <c r="N13" s="87"/>
      <c r="O13" s="87"/>
      <c r="P13" s="87"/>
      <c r="Q13" s="87"/>
      <c r="R13" s="88"/>
      <c r="S13" s="452"/>
      <c r="T13" s="4"/>
      <c r="U13" s="4"/>
      <c r="V13" s="4"/>
      <c r="W13" s="4"/>
      <c r="X13" s="4"/>
      <c r="Y13" s="4"/>
      <c r="Z13" s="4"/>
    </row>
    <row r="14" ht="58.5" customHeight="1">
      <c r="A14" s="4"/>
      <c r="B14" s="272"/>
      <c r="C14" s="111" t="s">
        <v>38</v>
      </c>
      <c r="D14" s="112" t="str">
        <f>WX!D3</f>
        <v>TAF WSSS 060500Z 0606/0712 21007KT 9999 FEW015 SCT020</v>
      </c>
      <c r="E14" s="87"/>
      <c r="F14" s="87"/>
      <c r="G14" s="87"/>
      <c r="H14" s="87"/>
      <c r="I14" s="87"/>
      <c r="J14" s="87"/>
      <c r="K14" s="87"/>
      <c r="L14" s="87"/>
      <c r="M14" s="87"/>
      <c r="N14" s="87"/>
      <c r="O14" s="87"/>
      <c r="P14" s="87"/>
      <c r="Q14" s="87"/>
      <c r="R14" s="88"/>
      <c r="S14" s="452"/>
      <c r="T14" s="4"/>
      <c r="U14" s="4"/>
      <c r="V14" s="4"/>
      <c r="W14" s="4"/>
      <c r="X14" s="4"/>
      <c r="Y14" s="4"/>
      <c r="Z14" s="4"/>
    </row>
    <row r="15" ht="87.0" customHeight="1">
      <c r="A15" s="4"/>
      <c r="B15" s="272"/>
      <c r="C15" s="111" t="s">
        <v>64</v>
      </c>
      <c r="D15" s="112" t="str">
        <f>WX!D6</f>
        <v>TAF WMKJ 060500Z 0606/0706 VRB02KT 9999 FEW025 
  PROB30 
  TEMPO 0607/0611 4000 TSRA FEW017CB</v>
      </c>
      <c r="E15" s="87"/>
      <c r="F15" s="87"/>
      <c r="G15" s="87"/>
      <c r="H15" s="87"/>
      <c r="I15" s="87"/>
      <c r="J15" s="87"/>
      <c r="K15" s="87"/>
      <c r="L15" s="87"/>
      <c r="M15" s="87"/>
      <c r="N15" s="87"/>
      <c r="O15" s="87"/>
      <c r="P15" s="87"/>
      <c r="Q15" s="87"/>
      <c r="R15" s="88"/>
      <c r="S15" s="452"/>
      <c r="T15" s="4"/>
      <c r="U15" s="4"/>
      <c r="V15" s="4"/>
      <c r="W15" s="4"/>
      <c r="X15" s="4"/>
      <c r="Y15" s="4"/>
      <c r="Z15" s="4"/>
    </row>
    <row r="16" ht="108.0" customHeight="1">
      <c r="A16" s="4"/>
      <c r="B16" s="272"/>
      <c r="C16" s="111" t="s">
        <v>11</v>
      </c>
      <c r="D16" s="112" t="str">
        <f>WX!D4</f>
        <v>TAF WMKK 060500Z 0606/0712 VRB02KT 9999 FEW025 
  TEMPO 0607/0611 4000 TSRA FEW017CB 
  PROB30 
  TEMPO 0707/0711 4000 TSRA FEW017CB</v>
      </c>
      <c r="E16" s="87"/>
      <c r="F16" s="87"/>
      <c r="G16" s="87"/>
      <c r="H16" s="87"/>
      <c r="I16" s="87"/>
      <c r="J16" s="87"/>
      <c r="K16" s="87"/>
      <c r="L16" s="87"/>
      <c r="M16" s="87"/>
      <c r="N16" s="87"/>
      <c r="O16" s="87"/>
      <c r="P16" s="87"/>
      <c r="Q16" s="87"/>
      <c r="R16" s="88"/>
      <c r="S16" s="452"/>
      <c r="T16" s="4"/>
      <c r="U16" s="4"/>
      <c r="V16" s="4"/>
      <c r="W16" s="4"/>
      <c r="X16" s="4"/>
      <c r="Y16" s="4"/>
      <c r="Z16" s="4"/>
    </row>
    <row r="17" ht="60.0" customHeight="1">
      <c r="A17" s="4"/>
      <c r="B17" s="272"/>
      <c r="C17" s="111" t="s">
        <v>69</v>
      </c>
      <c r="D17" s="112" t="str">
        <f>WX!B5</f>
        <v>TAF WIPP 060500Z 0606/0706 16008KT 9999 SCT015 
  TEMPO 0607/0610 4000 TSRA FEW010CB BKN012 
  TEMPO 0621/0624 5000 HZ</v>
      </c>
      <c r="E17" s="87"/>
      <c r="F17" s="87"/>
      <c r="G17" s="87"/>
      <c r="H17" s="87"/>
      <c r="I17" s="87"/>
      <c r="J17" s="87"/>
      <c r="K17" s="87"/>
      <c r="L17" s="87"/>
      <c r="M17" s="87"/>
      <c r="N17" s="87"/>
      <c r="O17" s="87"/>
      <c r="P17" s="87"/>
      <c r="Q17" s="87"/>
      <c r="R17" s="88"/>
      <c r="S17" s="456"/>
      <c r="T17" s="4"/>
      <c r="U17" s="4"/>
      <c r="V17" s="4"/>
      <c r="W17" s="4"/>
      <c r="X17" s="4"/>
      <c r="Y17" s="4"/>
      <c r="Z17" s="4"/>
    </row>
    <row r="18" ht="15.75" customHeight="1">
      <c r="A18" s="4"/>
      <c r="B18" s="272"/>
      <c r="C18" s="33"/>
      <c r="D18" s="33"/>
      <c r="E18" s="33"/>
      <c r="F18" s="33"/>
      <c r="G18" s="33"/>
      <c r="H18" s="33"/>
      <c r="I18" s="33"/>
      <c r="J18" s="33"/>
      <c r="K18" s="33"/>
      <c r="L18" s="33"/>
      <c r="M18" s="33"/>
      <c r="N18" s="33"/>
      <c r="O18" s="33"/>
      <c r="P18" s="33"/>
      <c r="Q18" s="33"/>
      <c r="R18" s="121"/>
      <c r="S18" s="429"/>
      <c r="T18" s="4"/>
      <c r="U18" s="4"/>
      <c r="V18" s="4"/>
      <c r="W18" s="4"/>
      <c r="X18" s="4"/>
      <c r="Y18" s="4"/>
      <c r="Z18" s="4"/>
    </row>
    <row r="19" ht="15.75" customHeight="1">
      <c r="A19" s="4"/>
      <c r="B19" s="272"/>
      <c r="C19" s="123"/>
      <c r="D19" s="123" t="s">
        <v>73</v>
      </c>
      <c r="E19" s="123" t="s">
        <v>74</v>
      </c>
      <c r="F19" s="125" t="s">
        <v>75</v>
      </c>
      <c r="G19" s="126"/>
      <c r="H19" s="126"/>
      <c r="I19" s="126"/>
      <c r="J19" s="127"/>
      <c r="K19" s="123" t="s">
        <v>73</v>
      </c>
      <c r="L19" s="123" t="s">
        <v>73</v>
      </c>
      <c r="M19" s="123" t="s">
        <v>74</v>
      </c>
      <c r="N19" s="125" t="s">
        <v>75</v>
      </c>
      <c r="O19" s="126"/>
      <c r="P19" s="126"/>
      <c r="Q19" s="126"/>
      <c r="R19" s="127"/>
      <c r="S19" s="461"/>
      <c r="T19" s="4"/>
      <c r="U19" s="4"/>
      <c r="V19" s="4"/>
      <c r="W19" s="4"/>
      <c r="X19" s="4"/>
      <c r="Y19" s="4"/>
      <c r="Z19" s="4"/>
    </row>
    <row r="20" ht="15.75" customHeight="1">
      <c r="A20" s="4"/>
      <c r="B20" s="272"/>
      <c r="C20" s="130"/>
      <c r="D20" s="398" t="s">
        <v>76</v>
      </c>
      <c r="E20" s="130"/>
      <c r="F20" s="132"/>
      <c r="G20" s="133"/>
      <c r="H20" s="133"/>
      <c r="I20" s="133"/>
      <c r="J20" s="134"/>
      <c r="K20" s="398" t="s">
        <v>76</v>
      </c>
      <c r="L20" s="398" t="s">
        <v>76</v>
      </c>
      <c r="M20" s="130"/>
      <c r="N20" s="132"/>
      <c r="O20" s="133"/>
      <c r="P20" s="133"/>
      <c r="Q20" s="133"/>
      <c r="R20" s="134"/>
      <c r="S20" s="461"/>
      <c r="T20" s="4"/>
      <c r="U20" s="4"/>
      <c r="V20" s="4"/>
      <c r="W20" s="4"/>
      <c r="X20" s="4"/>
      <c r="Y20" s="4"/>
      <c r="Z20" s="4"/>
    </row>
    <row r="21" ht="48.0" customHeight="1">
      <c r="A21" s="4"/>
      <c r="B21" s="272"/>
      <c r="C21" s="135" t="s">
        <v>7</v>
      </c>
      <c r="D21" s="111" t="str">
        <f>G4</f>
        <v>WIII</v>
      </c>
      <c r="E21" s="170">
        <f>'260'!BE4</f>
        <v>0.3819444444</v>
      </c>
      <c r="F21" s="141" t="s">
        <v>180</v>
      </c>
      <c r="G21" s="87"/>
      <c r="H21" s="87"/>
      <c r="I21" s="87"/>
      <c r="J21" s="88"/>
      <c r="K21" s="143" t="s">
        <v>36</v>
      </c>
      <c r="L21" s="514" t="str">
        <f>G8</f>
        <v>WIII</v>
      </c>
      <c r="M21" s="175">
        <f>'260'!BE6</f>
        <v>0.5416666667</v>
      </c>
      <c r="N21" s="515"/>
      <c r="O21" s="87"/>
      <c r="P21" s="87"/>
      <c r="Q21" s="87"/>
      <c r="R21" s="88"/>
      <c r="S21" s="461"/>
      <c r="T21" s="4"/>
      <c r="U21" s="4"/>
      <c r="V21" s="4"/>
      <c r="W21" s="4"/>
      <c r="X21" s="4"/>
      <c r="Y21" s="4"/>
      <c r="Z21" s="4"/>
    </row>
    <row r="22" ht="51.75" customHeight="1">
      <c r="A22" s="4"/>
      <c r="B22" s="272"/>
      <c r="C22" s="135" t="s">
        <v>10</v>
      </c>
      <c r="D22" s="111" t="str">
        <f>J4</f>
        <v>WSSS</v>
      </c>
      <c r="E22" s="170">
        <f>'260'!BF4</f>
        <v>0.4583333333</v>
      </c>
      <c r="F22" s="141" t="s">
        <v>181</v>
      </c>
      <c r="G22" s="87"/>
      <c r="H22" s="87"/>
      <c r="I22" s="87"/>
      <c r="J22" s="88"/>
      <c r="K22" s="143" t="s">
        <v>37</v>
      </c>
      <c r="L22" s="514" t="str">
        <f>J8</f>
        <v>WMKJ</v>
      </c>
      <c r="M22" s="175">
        <f>'260'!BF6</f>
        <v>0.6076388889</v>
      </c>
      <c r="N22" s="515"/>
      <c r="O22" s="87"/>
      <c r="P22" s="87"/>
      <c r="Q22" s="87"/>
      <c r="R22" s="88"/>
      <c r="S22" s="461"/>
      <c r="T22" s="4"/>
      <c r="U22" s="4"/>
      <c r="V22" s="4"/>
      <c r="W22" s="4"/>
      <c r="X22" s="4"/>
      <c r="Y22" s="4"/>
      <c r="Z22" s="4"/>
    </row>
    <row r="23" ht="45.0" customHeight="1">
      <c r="A23" s="4"/>
      <c r="B23" s="272"/>
      <c r="C23" s="518" t="s">
        <v>22</v>
      </c>
      <c r="D23" s="519" t="str">
        <f>G6</f>
        <v>WSSS</v>
      </c>
      <c r="E23" s="520">
        <f>'260'!BE5</f>
        <v>0.4861111111</v>
      </c>
      <c r="F23" s="167" t="s">
        <v>181</v>
      </c>
      <c r="G23" s="87"/>
      <c r="H23" s="87"/>
      <c r="I23" s="87"/>
      <c r="J23" s="88"/>
      <c r="K23" s="143" t="s">
        <v>47</v>
      </c>
      <c r="L23" s="150" t="str">
        <f>G10</f>
        <v>WMKJ</v>
      </c>
      <c r="M23" s="175">
        <f>'260'!BE7</f>
        <v>0.625</v>
      </c>
      <c r="N23" s="515"/>
      <c r="O23" s="87"/>
      <c r="P23" s="87"/>
      <c r="Q23" s="87"/>
      <c r="R23" s="88"/>
      <c r="S23" s="461"/>
      <c r="T23" s="4"/>
      <c r="U23" s="4"/>
      <c r="V23" s="4"/>
      <c r="W23" s="4"/>
      <c r="X23" s="4"/>
      <c r="Y23" s="4"/>
      <c r="Z23" s="4"/>
    </row>
    <row r="24" ht="45.0" customHeight="1">
      <c r="A24" s="4"/>
      <c r="B24" s="272"/>
      <c r="C24" s="518" t="s">
        <v>23</v>
      </c>
      <c r="D24" s="521" t="str">
        <f>J6</f>
        <v>WIII</v>
      </c>
      <c r="E24" s="520">
        <f>'260'!BF5</f>
        <v>0.5625</v>
      </c>
      <c r="F24" s="167" t="s">
        <v>182</v>
      </c>
      <c r="G24" s="87"/>
      <c r="H24" s="87"/>
      <c r="I24" s="87"/>
      <c r="J24" s="88"/>
      <c r="K24" s="143" t="s">
        <v>50</v>
      </c>
      <c r="L24" s="514" t="str">
        <f>J10</f>
        <v>WIII</v>
      </c>
      <c r="M24" s="175">
        <f>'260'!BF7</f>
        <v>0.6979166667</v>
      </c>
      <c r="N24" s="515"/>
      <c r="O24" s="87"/>
      <c r="P24" s="87"/>
      <c r="Q24" s="87"/>
      <c r="R24" s="88"/>
      <c r="S24" s="461"/>
      <c r="T24" s="4"/>
      <c r="U24" s="4"/>
      <c r="V24" s="4"/>
      <c r="W24" s="4"/>
      <c r="X24" s="4"/>
      <c r="Y24" s="4"/>
      <c r="Z24" s="4"/>
    </row>
    <row r="25" ht="31.5" customHeight="1">
      <c r="A25" s="4"/>
      <c r="B25" s="272"/>
      <c r="C25" s="284"/>
      <c r="D25" s="284"/>
      <c r="E25" s="285"/>
      <c r="F25" s="284"/>
      <c r="G25" s="284"/>
      <c r="H25" s="284"/>
      <c r="I25" s="284"/>
      <c r="J25" s="284"/>
      <c r="K25" s="284"/>
      <c r="L25" s="284"/>
      <c r="M25" s="284"/>
      <c r="N25" s="284"/>
      <c r="O25" s="284"/>
      <c r="P25" s="284"/>
      <c r="Q25" s="284"/>
      <c r="R25" s="287"/>
      <c r="S25" s="461"/>
      <c r="T25" s="4"/>
      <c r="U25" s="4"/>
      <c r="V25" s="4"/>
      <c r="W25" s="4"/>
      <c r="X25" s="4"/>
      <c r="Y25" s="4"/>
      <c r="Z25" s="4"/>
    </row>
    <row r="26" ht="15.75" customHeight="1">
      <c r="A26" s="4"/>
      <c r="B26" s="272"/>
      <c r="C26" s="123"/>
      <c r="D26" s="406" t="s">
        <v>73</v>
      </c>
      <c r="E26" s="125" t="s">
        <v>119</v>
      </c>
      <c r="F26" s="126"/>
      <c r="G26" s="126"/>
      <c r="H26" s="126"/>
      <c r="I26" s="126"/>
      <c r="J26" s="126"/>
      <c r="K26" s="126"/>
      <c r="L26" s="126"/>
      <c r="M26" s="126"/>
      <c r="N26" s="126"/>
      <c r="O26" s="126"/>
      <c r="P26" s="126"/>
      <c r="Q26" s="126"/>
      <c r="R26" s="127"/>
      <c r="S26" s="461"/>
      <c r="T26" s="4"/>
      <c r="U26" s="4"/>
      <c r="V26" s="4"/>
      <c r="W26" s="4"/>
      <c r="X26" s="4"/>
      <c r="Y26" s="4"/>
      <c r="Z26" s="4"/>
    </row>
    <row r="27" ht="15.75" customHeight="1">
      <c r="A27" s="4"/>
      <c r="B27" s="272"/>
      <c r="C27" s="130"/>
      <c r="D27" s="407" t="s">
        <v>76</v>
      </c>
      <c r="E27" s="132"/>
      <c r="F27" s="133"/>
      <c r="G27" s="133"/>
      <c r="H27" s="133"/>
      <c r="I27" s="133"/>
      <c r="J27" s="133"/>
      <c r="K27" s="133"/>
      <c r="L27" s="133"/>
      <c r="M27" s="133"/>
      <c r="N27" s="133"/>
      <c r="O27" s="133"/>
      <c r="P27" s="133"/>
      <c r="Q27" s="133"/>
      <c r="R27" s="134"/>
      <c r="S27" s="461"/>
      <c r="T27" s="4"/>
      <c r="U27" s="4"/>
      <c r="V27" s="4"/>
      <c r="W27" s="4"/>
      <c r="X27" s="4"/>
      <c r="Y27" s="4"/>
      <c r="Z27" s="4"/>
    </row>
    <row r="28" ht="3.0" customHeight="1">
      <c r="A28" s="4"/>
      <c r="B28" s="272"/>
      <c r="C28" s="304"/>
      <c r="D28" s="304"/>
      <c r="E28" s="306"/>
      <c r="F28" s="308"/>
      <c r="G28" s="308"/>
      <c r="H28" s="308"/>
      <c r="I28" s="308"/>
      <c r="J28" s="308"/>
      <c r="K28" s="308"/>
      <c r="L28" s="308"/>
      <c r="M28" s="308"/>
      <c r="N28" s="308"/>
      <c r="O28" s="308"/>
      <c r="P28" s="308"/>
      <c r="Q28" s="308"/>
      <c r="R28" s="311"/>
      <c r="S28" s="466"/>
      <c r="T28" s="4"/>
      <c r="U28" s="4"/>
      <c r="V28" s="4"/>
      <c r="W28" s="4"/>
      <c r="X28" s="4"/>
      <c r="Y28" s="4"/>
      <c r="Z28" s="4"/>
    </row>
    <row r="29" ht="262.5" customHeight="1">
      <c r="A29" s="4"/>
      <c r="B29" s="272"/>
      <c r="C29" s="301"/>
      <c r="D29" s="302" t="s">
        <v>8</v>
      </c>
      <c r="E29" s="305" t="str">
        <f>NOTAM!B3</f>
        <v>A2668/24 - RWY 06/24 CLSD DUE TO RUBBER DEPOSITE REMOVAL. DAILY 1600-2200, 04 OCT 16:00 2024 UNTIL 11 OCT 22:00 2024. CREATED: 02 SEP 12:03 2024
A2667/24 - RWY 07L/25R CLSD DUE TO RUBBER DEPOSITE REMOVAL. SEP 05 1600-2200 06-07 1500-2200 08 1600-2200 09-10 1500-2200 OCT 04-05 1500-2200 06 1600-2200 07-09 1500-2200 10 1600-2200 11 1500-2200, 05 SEP 16:00 2024 UNTIL 11 OCT 22:00 2024. CREATED: 02 SEP 11:58 2024
A2175/24 - INSET THR LGT ON RWY 07R/25L U/S DUE TO WIP
RMK: ELEVATED THR LGT AVBL. 01 AUG 00:00 2024 UNTIL 31 OCT 23:59 2024. CREATED: 18 JUL 13:14 2024
A2172/24 - RWY CENTRE LINE LGT ON RWY 07R/25L U/S DUE TO WIP. 01 AUG 00:00 2024 UNTIL 31 OCT 23:59 2024. CREATED: 18 JUL 12:50 2024</v>
      </c>
      <c r="F29" s="87"/>
      <c r="G29" s="87"/>
      <c r="H29" s="87"/>
      <c r="I29" s="87"/>
      <c r="J29" s="87"/>
      <c r="K29" s="87"/>
      <c r="L29" s="87"/>
      <c r="M29" s="87"/>
      <c r="N29" s="87"/>
      <c r="O29" s="87"/>
      <c r="P29" s="87"/>
      <c r="Q29" s="87"/>
      <c r="R29" s="88"/>
      <c r="S29" s="466"/>
      <c r="T29" s="4"/>
      <c r="U29" s="4"/>
      <c r="V29" s="4"/>
      <c r="W29" s="4"/>
      <c r="X29" s="4"/>
      <c r="Y29" s="4"/>
      <c r="Z29" s="4"/>
    </row>
    <row r="30" ht="303.75" customHeight="1">
      <c r="A30" s="4"/>
      <c r="B30" s="272"/>
      <c r="C30" s="409"/>
      <c r="D30" s="111" t="s">
        <v>38</v>
      </c>
      <c r="E30" s="310" t="str">
        <f>NOTAM!D3</f>
        <v>A3414/24 - TWY S2 CLSD. 30 SEP 16:00 2024 UNTIL 30 NOV 15:59 2024. CREATED: 30 SEP 09:29
2024
A3396/24 - TWY CENTRE LINE LIGHTS AT CHANGI AIRPORT WILL BE TURNED ON
PROGRESSIVELY DUE TESTING IN PROGRESS. PILOTS ARE TO STRICTLY
ADHERE TO VERBAL ATC TAXI INSTRUCTIONS AND STOP BEHIND RED STOPBAR
LIGHTS AT ALL TIMES. SEP 30 0400-0900, OCT 01-31 0400-0900, NOV 01-24 0400-0900,
30 SEP 04:00 2024 UNTIL 24 NOV 09:00 2024. CREATED: 29 SEP 12:04 2024
A3396/24 - TWY CENTRE LINE LIGHTS AT CHANGI AIRPORT WILL BE TURNED ON
PROGRESSIVELY DUE TESTING IN PROGRESS. PILOTS ARE TO STRICTLY
ADHERE TO VERBAL ATC TAXI INSTRUCTIONS AND STOP BEHIND RED STOPBAR
LIGHTS AT ALL TIMES. SEP 30 0400-0900, OCT 01-31 0400-0900, NOV 01-24 0400-0900,
30 SEP 04:00 2024 UNTIL 24 NOV 09:00 2024. CREATED: 29 SEP 12:04 2024
A3084/24 - TWY G AND TWY H BTN TWY G3 AND TWY B CLSD. 05 SEP 09:10 2024 UNTIL 08 OCT 15:59 2024. CREATED: 05 SEP 11:05 2024</v>
      </c>
      <c r="F30" s="87"/>
      <c r="G30" s="87"/>
      <c r="H30" s="87"/>
      <c r="I30" s="87"/>
      <c r="J30" s="87"/>
      <c r="K30" s="87"/>
      <c r="L30" s="87"/>
      <c r="M30" s="87"/>
      <c r="N30" s="87"/>
      <c r="O30" s="87"/>
      <c r="P30" s="87"/>
      <c r="Q30" s="87"/>
      <c r="R30" s="88"/>
      <c r="S30" s="466"/>
      <c r="T30" s="4"/>
      <c r="U30" s="4"/>
      <c r="V30" s="4"/>
      <c r="W30" s="4"/>
      <c r="X30" s="4"/>
      <c r="Y30" s="4"/>
      <c r="Z30" s="4"/>
    </row>
    <row r="31" ht="210.75" customHeight="1">
      <c r="A31" s="4"/>
      <c r="B31" s="272"/>
      <c r="C31" s="409"/>
      <c r="D31" s="307" t="s">
        <v>64</v>
      </c>
      <c r="E31" s="310" t="str">
        <f>NOTAM!D6</f>
        <v>A3941/24 - POWER IN AND POWER OUT PSN AT MAIN APN BAY 2A, BAY 3A, BAY 4A, BAY
5A, BAY 6A, BAY 8A CLSD. 01 OCT 08:05 2024 UNTIL PERM. CREATED: 01 OCT 08:05 2024
A3941/24 - POWER IN AND POWER OUT PSN AT MAIN APN BAY 2A, BAY 3A, BAY 4A, BAY
5A, BAY 6A, BAY 8A CLSD. 01 OCT 08:05 2024 UNTIL PERM. CREATED: 01 OCT 08:05 2024
A3894/24 - AIMING POINT MARKINGS FOR RWY 16 BEGIN APRX 48M BEFORE PAPI
AND AIMING POINT MARKINGS FOR RWY 34 BEGIN APRX 55M BEFORE PAPI. 27 SEP 16:00
2024 UNTIL PERM. CREATED: 27 SEP 13:32 2024
A3643/24 - APCH RADAR OPS HRS CHG FM 0000 TO 1000. 09 SEP 03:00 2024 UNTIL 30 OCT 23:59 2024. CREATED: 09 SEP 02:53 2024</v>
      </c>
      <c r="F31" s="87"/>
      <c r="G31" s="87"/>
      <c r="H31" s="87"/>
      <c r="I31" s="87"/>
      <c r="J31" s="87"/>
      <c r="K31" s="87"/>
      <c r="L31" s="87"/>
      <c r="M31" s="87"/>
      <c r="N31" s="87"/>
      <c r="O31" s="87"/>
      <c r="P31" s="87"/>
      <c r="Q31" s="87"/>
      <c r="R31" s="88"/>
      <c r="S31" s="466"/>
      <c r="T31" s="4"/>
      <c r="U31" s="4"/>
      <c r="V31" s="4"/>
      <c r="W31" s="4"/>
      <c r="X31" s="4"/>
      <c r="Y31" s="4"/>
      <c r="Z31" s="4"/>
    </row>
    <row r="32" ht="291.0" customHeight="1">
      <c r="A32" s="4"/>
      <c r="B32" s="272"/>
      <c r="C32" s="409"/>
      <c r="D32" s="307" t="s">
        <v>11</v>
      </c>
      <c r="E32" s="310" t="str">
        <f>NOTAM!D4</f>
        <v>A3997/24 - SEQUENCED FLG LGT RWY32L U/S. 03 OCT 08:15 2024 UNTIL 28 NOV 23:59 2024. CREATED: 03 OCT 08:14 2024
A3955/24 - STOPBAR AND LEAD IN LGT FM P1 TIL P4 AND FM Q5 TIL Q7 U/S. 01 OCT 18:18 2024 UNTIL 30 OCT 23:59 2024. CREATED: 01 OCT 18:21 2024
A3954/24 - STOPBAR AND LEAD IN LGT FM Y1 TIL Y9 U/S. 01 OCT 18:12 2024 UNTIL 30 OCT 23:59 2024. CREATED: 01 OCT 18:15 2024
A3850/24 - SEQUENCED FLG LGT RWY32R U/S. 24 SEP 14:00 2024 UNTIL 24 OCT 22:00 2024. CREATED: 24 SEP 13:56 2024
A3602/24 - AUTOMATED WEATHER OBSERVING SYSTEM (AWOS) RWY 14L/32R U/S. 05 SEP 07:05 2024 UNTIL 27 NOV 23:59 2024. CREATED: 05 SEP 07:08 2024
A2389/24 - PILOT SHALL MAINTAIN SPEED 160KIAS AT 10NM UNTIL 5NM TO TOUCHDOWN. 01 JUL 03:48 2024 UNTIL PERM. CREATED: 01 JUL 04:07 2024</v>
      </c>
      <c r="F32" s="87"/>
      <c r="G32" s="87"/>
      <c r="H32" s="87"/>
      <c r="I32" s="87"/>
      <c r="J32" s="87"/>
      <c r="K32" s="87"/>
      <c r="L32" s="87"/>
      <c r="M32" s="87"/>
      <c r="N32" s="87"/>
      <c r="O32" s="87"/>
      <c r="P32" s="87"/>
      <c r="Q32" s="87"/>
      <c r="R32" s="88"/>
      <c r="S32" s="466"/>
      <c r="T32" s="4"/>
      <c r="U32" s="4"/>
      <c r="V32" s="4"/>
      <c r="W32" s="4"/>
      <c r="X32" s="4"/>
      <c r="Y32" s="4"/>
      <c r="Z32" s="4"/>
    </row>
    <row r="33" ht="142.5" customHeight="1">
      <c r="A33" s="4"/>
      <c r="B33" s="272"/>
      <c r="C33" s="111"/>
      <c r="D33" s="307" t="s">
        <v>69</v>
      </c>
      <c r="E33" s="310" t="str">
        <f>NOTAM!B5</f>
        <v>B2027/24 - RWY WIP DUE TO MAINT PSN 1245M BEYOND THR RWY 11, 26.5M NORTH EAST FM CENTERLINE AND PSN 1245M FM BEGINNING THR RWY 11, 67.5M SOUTHWEST FM CENTERLINE
RMK : ALL TFC CTN. 02 OCT 06:26 2024 UNTIL 16 OCT 22:00 2024. CREATED: 02 OCT 06:26 2024
B1894/24 - RWY 11/29 CLSD DUE TO RWY INSPECTION. DAILY 0550-0615, 16 SEP 05:50 2024 UNTIL 27 NOV 06:15 2024. CREATED: 15 SEP 10:46 2024
B1761/24 - PALS RWY 29 PARTLY U/S DUE TO TECR
RMK: AVBL APRX 85 PER CENT. 28 AUG 17:00 2024 UNTIL 28 NOV 16:00 2024. CREATED:
28 AUG 11:29 2024</v>
      </c>
      <c r="F33" s="87"/>
      <c r="G33" s="87"/>
      <c r="H33" s="87"/>
      <c r="I33" s="87"/>
      <c r="J33" s="87"/>
      <c r="K33" s="87"/>
      <c r="L33" s="87"/>
      <c r="M33" s="87"/>
      <c r="N33" s="87"/>
      <c r="O33" s="87"/>
      <c r="P33" s="87"/>
      <c r="Q33" s="87"/>
      <c r="R33" s="88"/>
      <c r="S33" s="466"/>
      <c r="T33" s="4"/>
      <c r="U33" s="4"/>
      <c r="V33" s="4"/>
      <c r="W33" s="4"/>
      <c r="X33" s="4"/>
      <c r="Y33" s="4"/>
      <c r="Z33" s="4"/>
    </row>
    <row r="34" ht="21.0" customHeight="1">
      <c r="A34" s="4"/>
      <c r="B34" s="272"/>
      <c r="C34" s="347" t="s">
        <v>134</v>
      </c>
      <c r="D34" s="87"/>
      <c r="E34" s="87"/>
      <c r="F34" s="87"/>
      <c r="G34" s="87"/>
      <c r="H34" s="87"/>
      <c r="I34" s="87"/>
      <c r="J34" s="87"/>
      <c r="K34" s="87"/>
      <c r="L34" s="87"/>
      <c r="M34" s="87"/>
      <c r="N34" s="87"/>
      <c r="O34" s="87"/>
      <c r="P34" s="87"/>
      <c r="Q34" s="87"/>
      <c r="R34" s="88"/>
      <c r="S34" s="429"/>
      <c r="T34" s="4"/>
      <c r="U34" s="4"/>
      <c r="V34" s="4"/>
      <c r="W34" s="4"/>
      <c r="X34" s="4"/>
      <c r="Y34" s="4"/>
      <c r="Z34" s="4"/>
    </row>
    <row r="35" ht="7.5" customHeight="1">
      <c r="A35" s="4"/>
      <c r="B35" s="272"/>
      <c r="C35" s="33"/>
      <c r="D35" s="33"/>
      <c r="E35" s="33"/>
      <c r="F35" s="33"/>
      <c r="G35" s="33"/>
      <c r="H35" s="33"/>
      <c r="I35" s="33"/>
      <c r="J35" s="33"/>
      <c r="K35" s="33"/>
      <c r="L35" s="33"/>
      <c r="M35" s="33"/>
      <c r="N35" s="33"/>
      <c r="O35" s="33"/>
      <c r="P35" s="33"/>
      <c r="Q35" s="33"/>
      <c r="R35" s="33"/>
      <c r="S35" s="429"/>
      <c r="T35" s="4"/>
      <c r="U35" s="4"/>
      <c r="V35" s="4"/>
      <c r="W35" s="4"/>
      <c r="X35" s="4"/>
      <c r="Y35" s="4"/>
      <c r="Z35" s="4"/>
    </row>
    <row r="36" ht="15.75" customHeight="1">
      <c r="A36" s="4"/>
      <c r="B36" s="272"/>
      <c r="C36" s="33"/>
      <c r="D36" s="33"/>
      <c r="E36" s="33"/>
      <c r="F36" s="33"/>
      <c r="G36" s="33"/>
      <c r="H36" s="284" t="s">
        <v>125</v>
      </c>
      <c r="I36" s="33"/>
      <c r="J36" s="33"/>
      <c r="K36" s="33"/>
      <c r="L36" s="33"/>
      <c r="M36" s="33"/>
      <c r="N36" s="33"/>
      <c r="O36" s="33"/>
      <c r="P36" s="284" t="s">
        <v>126</v>
      </c>
      <c r="Q36" s="33"/>
      <c r="R36" s="33"/>
      <c r="S36" s="429"/>
      <c r="T36" s="4"/>
      <c r="U36" s="4"/>
      <c r="V36" s="4"/>
      <c r="W36" s="4"/>
      <c r="X36" s="4"/>
      <c r="Y36" s="4"/>
      <c r="Z36" s="4"/>
    </row>
    <row r="37" ht="15.75" customHeight="1">
      <c r="A37" s="4"/>
      <c r="B37" s="272"/>
      <c r="C37" s="33"/>
      <c r="D37" s="33"/>
      <c r="E37" s="33"/>
      <c r="F37" s="33"/>
      <c r="G37" s="33"/>
      <c r="H37" s="284" t="s">
        <v>127</v>
      </c>
      <c r="I37" s="33"/>
      <c r="J37" s="33"/>
      <c r="K37" s="33"/>
      <c r="L37" s="33"/>
      <c r="M37" s="33"/>
      <c r="N37" s="33"/>
      <c r="O37" s="33"/>
      <c r="P37" s="284" t="s">
        <v>127</v>
      </c>
      <c r="Q37" s="33"/>
      <c r="R37" s="33"/>
      <c r="S37" s="429"/>
      <c r="T37" s="4"/>
      <c r="U37" s="4"/>
      <c r="V37" s="4"/>
      <c r="W37" s="4"/>
      <c r="X37" s="4"/>
      <c r="Y37" s="4"/>
      <c r="Z37" s="4"/>
    </row>
    <row r="38" ht="19.5" customHeight="1">
      <c r="A38" s="4"/>
      <c r="B38" s="272"/>
      <c r="C38" s="33"/>
      <c r="D38" s="33"/>
      <c r="E38" s="33"/>
      <c r="F38" s="33"/>
      <c r="G38" s="33"/>
      <c r="H38" s="33"/>
      <c r="I38" s="33"/>
      <c r="J38" s="33"/>
      <c r="K38" s="33"/>
      <c r="L38" s="33"/>
      <c r="M38" s="33"/>
      <c r="N38" s="33"/>
      <c r="O38" s="33"/>
      <c r="P38" s="33"/>
      <c r="Q38" s="33"/>
      <c r="R38" s="33"/>
      <c r="S38" s="429"/>
      <c r="T38" s="4"/>
      <c r="U38" s="4"/>
      <c r="V38" s="4"/>
      <c r="W38" s="4"/>
      <c r="X38" s="4"/>
      <c r="Y38" s="4"/>
      <c r="Z38" s="4"/>
    </row>
    <row r="39" ht="19.5" customHeight="1">
      <c r="A39" s="4"/>
      <c r="B39" s="272"/>
      <c r="C39" s="33"/>
      <c r="D39" s="33"/>
      <c r="E39" s="33"/>
      <c r="F39" s="33"/>
      <c r="G39" s="33"/>
      <c r="H39" s="33"/>
      <c r="I39" s="33"/>
      <c r="J39" s="33"/>
      <c r="K39" s="33"/>
      <c r="L39" s="33"/>
      <c r="M39" s="33"/>
      <c r="N39" s="33"/>
      <c r="O39" s="33"/>
      <c r="P39" s="33"/>
      <c r="Q39" s="33"/>
      <c r="R39" s="33"/>
      <c r="S39" s="429"/>
      <c r="T39" s="4"/>
      <c r="U39" s="4"/>
      <c r="V39" s="4"/>
      <c r="W39" s="4"/>
      <c r="X39" s="4"/>
      <c r="Y39" s="4"/>
      <c r="Z39" s="4"/>
    </row>
    <row r="40" ht="15.75" customHeight="1">
      <c r="A40" s="4"/>
      <c r="B40" s="272"/>
      <c r="C40" s="33"/>
      <c r="D40" s="33"/>
      <c r="E40" s="33"/>
      <c r="F40" s="33"/>
      <c r="G40" s="33"/>
      <c r="H40" s="33"/>
      <c r="I40" s="33"/>
      <c r="J40" s="33"/>
      <c r="K40" s="33"/>
      <c r="L40" s="33"/>
      <c r="M40" s="33"/>
      <c r="N40" s="33"/>
      <c r="O40" s="33"/>
      <c r="P40" s="33"/>
      <c r="Q40" s="33"/>
      <c r="R40" s="33"/>
      <c r="S40" s="429"/>
      <c r="T40" s="4"/>
      <c r="U40" s="4"/>
      <c r="V40" s="4"/>
      <c r="W40" s="4"/>
      <c r="X40" s="4"/>
      <c r="Y40" s="4"/>
      <c r="Z40" s="4"/>
    </row>
    <row r="41" ht="15.75" customHeight="1">
      <c r="A41" s="4"/>
      <c r="B41" s="272"/>
      <c r="C41" s="33"/>
      <c r="D41" s="33"/>
      <c r="E41" s="33"/>
      <c r="F41" s="33"/>
      <c r="G41" s="323" t="s">
        <v>129</v>
      </c>
      <c r="K41" s="33"/>
      <c r="L41" s="33"/>
      <c r="M41" s="33"/>
      <c r="N41" s="33"/>
      <c r="O41" s="529" t="str">
        <f>'260'!BC17</f>
        <v>CAPT. AUDI PRADHIPTO BRASALI</v>
      </c>
      <c r="S41" s="429"/>
      <c r="T41" s="4"/>
      <c r="U41" s="4"/>
      <c r="V41" s="4"/>
      <c r="W41" s="4"/>
      <c r="X41" s="4"/>
      <c r="Y41" s="4"/>
      <c r="Z41" s="4"/>
    </row>
    <row r="42" ht="15.75" customHeight="1">
      <c r="A42" s="4"/>
      <c r="B42" s="272"/>
      <c r="C42" s="33"/>
      <c r="D42" s="33"/>
      <c r="E42" s="33"/>
      <c r="F42" s="33"/>
      <c r="G42" s="33"/>
      <c r="H42" s="33" t="s">
        <v>130</v>
      </c>
      <c r="I42" s="33"/>
      <c r="J42" s="33"/>
      <c r="K42" s="33"/>
      <c r="L42" s="33"/>
      <c r="M42" s="33"/>
      <c r="N42" s="33"/>
      <c r="O42" s="33"/>
      <c r="P42" s="33" t="s">
        <v>131</v>
      </c>
      <c r="Q42" s="33"/>
      <c r="R42" s="33"/>
      <c r="S42" s="429"/>
      <c r="T42" s="4"/>
      <c r="U42" s="4"/>
      <c r="V42" s="4"/>
      <c r="W42" s="4"/>
      <c r="X42" s="4"/>
      <c r="Y42" s="4"/>
      <c r="Z42" s="4"/>
    </row>
    <row r="43" ht="6.75" customHeight="1">
      <c r="A43" s="4"/>
      <c r="B43" s="329"/>
      <c r="C43" s="330"/>
      <c r="D43" s="330"/>
      <c r="E43" s="330"/>
      <c r="F43" s="330"/>
      <c r="G43" s="330"/>
      <c r="H43" s="330"/>
      <c r="I43" s="330"/>
      <c r="J43" s="330"/>
      <c r="K43" s="330"/>
      <c r="L43" s="330"/>
      <c r="M43" s="330"/>
      <c r="N43" s="330"/>
      <c r="O43" s="330"/>
      <c r="P43" s="330"/>
      <c r="Q43" s="330"/>
      <c r="R43" s="330"/>
      <c r="S43" s="335"/>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1">
    <mergeCell ref="C6:E6"/>
    <mergeCell ref="C19:C20"/>
    <mergeCell ref="E19:E20"/>
    <mergeCell ref="C26:C27"/>
    <mergeCell ref="B2:S2"/>
    <mergeCell ref="C4:E4"/>
    <mergeCell ref="D13:R13"/>
    <mergeCell ref="D14:R14"/>
    <mergeCell ref="D15:R15"/>
    <mergeCell ref="D16:R16"/>
    <mergeCell ref="D17:R17"/>
    <mergeCell ref="N22:R22"/>
    <mergeCell ref="N23:R23"/>
    <mergeCell ref="F19:J20"/>
    <mergeCell ref="M19:M20"/>
    <mergeCell ref="N19:R20"/>
    <mergeCell ref="F21:J21"/>
    <mergeCell ref="N21:R21"/>
    <mergeCell ref="F22:J22"/>
    <mergeCell ref="F23:J23"/>
    <mergeCell ref="E33:R33"/>
    <mergeCell ref="C34:R34"/>
    <mergeCell ref="G41:J41"/>
    <mergeCell ref="O41:R41"/>
    <mergeCell ref="F24:J24"/>
    <mergeCell ref="N24:R24"/>
    <mergeCell ref="E26:R27"/>
    <mergeCell ref="E29:R29"/>
    <mergeCell ref="E30:R30"/>
    <mergeCell ref="E31:R31"/>
    <mergeCell ref="E32:R32"/>
  </mergeCells>
  <printOptions horizontalCentered="1" verticalCentered="1"/>
  <pageMargins bottom="0.0" footer="0.0" header="0.0" left="0.119444444444444" right="0.0798611111111111" top="0.0"/>
  <pageSetup paperSize="9" scale="51"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2.63" defaultRowHeight="15.0"/>
  <cols>
    <col customWidth="1" min="1" max="1" width="13.88"/>
    <col customWidth="1" min="2" max="25" width="7.88"/>
  </cols>
  <sheetData>
    <row r="1">
      <c r="A1" s="530" t="s">
        <v>183</v>
      </c>
      <c r="B1" s="229" t="s">
        <v>184</v>
      </c>
      <c r="C1" s="530"/>
    </row>
    <row r="2">
      <c r="A2" s="530" t="s">
        <v>185</v>
      </c>
      <c r="B2" s="539" t="s">
        <v>186</v>
      </c>
      <c r="K2" s="540"/>
    </row>
    <row r="3">
      <c r="B3" s="1" t="s">
        <v>193</v>
      </c>
    </row>
    <row r="4">
      <c r="A4" s="1"/>
      <c r="B4" s="539" t="s">
        <v>194</v>
      </c>
    </row>
    <row r="6">
      <c r="B6" s="229" t="s">
        <v>200</v>
      </c>
    </row>
    <row r="7">
      <c r="B7" s="1" t="s">
        <v>201</v>
      </c>
      <c r="O7" s="551" t="s">
        <v>202</v>
      </c>
      <c r="P7" s="553"/>
      <c r="Q7" s="553" t="s">
        <v>203</v>
      </c>
      <c r="R7" s="555"/>
    </row>
    <row r="8">
      <c r="B8" s="1" t="s">
        <v>205</v>
      </c>
    </row>
    <row r="9">
      <c r="B9" s="1" t="s">
        <v>206</v>
      </c>
      <c r="O9" s="557" t="s">
        <v>209</v>
      </c>
      <c r="P9" s="558"/>
      <c r="Q9" s="558"/>
      <c r="R9" s="558"/>
      <c r="S9" s="559"/>
      <c r="T9" s="559"/>
      <c r="U9" s="560"/>
    </row>
    <row r="10">
      <c r="B10" s="1" t="s">
        <v>211</v>
      </c>
      <c r="O10" s="561" t="s">
        <v>212</v>
      </c>
      <c r="P10" s="98"/>
      <c r="Q10" s="98"/>
      <c r="R10" s="98"/>
      <c r="S10" s="1"/>
      <c r="T10" s="1"/>
      <c r="U10" s="562"/>
    </row>
    <row r="11">
      <c r="B11" s="1" t="s">
        <v>213</v>
      </c>
      <c r="O11" s="561" t="s">
        <v>214</v>
      </c>
      <c r="P11" s="98"/>
      <c r="Q11" s="98"/>
      <c r="R11" s="98"/>
      <c r="S11" s="1"/>
      <c r="T11" s="1"/>
      <c r="U11" s="562"/>
    </row>
    <row r="12">
      <c r="B12" s="1" t="s">
        <v>215</v>
      </c>
      <c r="O12" s="563" t="s">
        <v>216</v>
      </c>
      <c r="P12" s="564"/>
      <c r="Q12" s="564"/>
      <c r="R12" s="564"/>
      <c r="S12" s="565"/>
      <c r="T12" s="565"/>
      <c r="U12" s="566"/>
    </row>
    <row r="13">
      <c r="B13" s="1" t="s">
        <v>217</v>
      </c>
    </row>
    <row r="14">
      <c r="B14" s="1" t="s">
        <v>218</v>
      </c>
      <c r="K14" s="98" t="s">
        <v>219</v>
      </c>
      <c r="L14" s="98" t="s">
        <v>220</v>
      </c>
      <c r="M14" s="98" t="s">
        <v>221</v>
      </c>
      <c r="O14" s="539" t="s">
        <v>222</v>
      </c>
      <c r="V14" s="569" t="s">
        <v>223</v>
      </c>
      <c r="W14" s="570"/>
      <c r="X14" s="570"/>
      <c r="Y14" s="571"/>
    </row>
    <row r="15">
      <c r="B15" s="1" t="s">
        <v>226</v>
      </c>
      <c r="K15" s="98"/>
      <c r="L15" s="98" t="s">
        <v>227</v>
      </c>
      <c r="M15" s="98" t="s">
        <v>228</v>
      </c>
      <c r="V15" s="572" t="s">
        <v>229</v>
      </c>
      <c r="W15" s="573"/>
      <c r="X15" s="573"/>
      <c r="Y15" s="574"/>
    </row>
    <row r="16">
      <c r="B16" s="1" t="s">
        <v>230</v>
      </c>
      <c r="V16" s="575" t="s">
        <v>231</v>
      </c>
      <c r="W16" s="576"/>
      <c r="X16" s="576"/>
      <c r="Y16" s="577"/>
    </row>
    <row r="18">
      <c r="K18" s="579" t="s">
        <v>232</v>
      </c>
      <c r="Q18" s="580">
        <v>5506110.0</v>
      </c>
      <c r="R18" s="581" t="s">
        <v>233</v>
      </c>
      <c r="S18" s="581"/>
      <c r="T18" s="582"/>
    </row>
    <row r="19">
      <c r="B19" s="229" t="s">
        <v>234</v>
      </c>
      <c r="K19" s="539" t="s">
        <v>235</v>
      </c>
      <c r="Q19" s="583">
        <v>5506111.0</v>
      </c>
      <c r="R19" s="585" t="s">
        <v>236</v>
      </c>
      <c r="S19" s="585"/>
      <c r="T19" s="586"/>
    </row>
    <row r="20">
      <c r="Q20" s="583">
        <v>5506126.0</v>
      </c>
      <c r="R20" s="585" t="s">
        <v>237</v>
      </c>
      <c r="S20" s="585"/>
      <c r="T20" s="586"/>
    </row>
    <row r="21" ht="15.75" customHeight="1">
      <c r="B21" s="1" t="s">
        <v>238</v>
      </c>
      <c r="K21" s="579" t="s">
        <v>239</v>
      </c>
      <c r="Q21" s="583">
        <v>5505497.0</v>
      </c>
      <c r="R21" s="585" t="s">
        <v>237</v>
      </c>
      <c r="S21" s="585"/>
      <c r="T21" s="586"/>
    </row>
    <row r="22" ht="15.75" customHeight="1">
      <c r="K22" s="539" t="s">
        <v>240</v>
      </c>
      <c r="Q22" s="587">
        <v>5505163.0</v>
      </c>
      <c r="R22" s="588" t="s">
        <v>241</v>
      </c>
      <c r="S22" s="588"/>
      <c r="T22" s="589"/>
    </row>
    <row r="23" ht="15.75" customHeight="1"/>
    <row r="24" ht="15.75" customHeight="1">
      <c r="K24" s="579" t="s">
        <v>242</v>
      </c>
    </row>
    <row r="25" ht="15.75" customHeight="1">
      <c r="A25" s="1" t="s">
        <v>243</v>
      </c>
      <c r="K25" s="539" t="s">
        <v>244</v>
      </c>
    </row>
    <row r="26" ht="15.75" customHeight="1">
      <c r="A26" s="1" t="s">
        <v>247</v>
      </c>
      <c r="R26" s="539" t="s">
        <v>248</v>
      </c>
    </row>
    <row r="27" ht="15.75" customHeight="1">
      <c r="A27" s="1" t="s">
        <v>249</v>
      </c>
      <c r="K27" s="593" t="s">
        <v>250</v>
      </c>
      <c r="L27" s="594"/>
      <c r="M27" s="594"/>
      <c r="N27" s="594"/>
      <c r="O27" s="595"/>
    </row>
    <row r="28" ht="15.75" customHeight="1">
      <c r="A28" s="1" t="s">
        <v>251</v>
      </c>
      <c r="K28" s="596" t="s">
        <v>252</v>
      </c>
      <c r="L28" s="597"/>
      <c r="M28" s="597"/>
      <c r="N28" s="597" t="s">
        <v>253</v>
      </c>
      <c r="O28" s="598"/>
    </row>
    <row r="29" ht="15.75" customHeight="1">
      <c r="A29" s="1" t="s">
        <v>254</v>
      </c>
      <c r="K29" s="599"/>
      <c r="L29" s="597"/>
      <c r="M29" s="597"/>
      <c r="N29" s="597" t="s">
        <v>255</v>
      </c>
      <c r="O29" s="598"/>
    </row>
    <row r="30" ht="15.75" customHeight="1">
      <c r="A30" s="1" t="s">
        <v>256</v>
      </c>
      <c r="K30" s="600"/>
      <c r="L30" s="601"/>
      <c r="M30" s="601"/>
      <c r="N30" s="601"/>
      <c r="O30" s="602"/>
    </row>
    <row r="31" ht="15.75" customHeight="1">
      <c r="A31" s="1" t="s">
        <v>257</v>
      </c>
      <c r="B31" s="1" t="s">
        <v>258</v>
      </c>
      <c r="I31" s="579" t="s">
        <v>259</v>
      </c>
      <c r="K31" s="579"/>
    </row>
    <row r="32" ht="15.75" customHeight="1">
      <c r="I32" s="539" t="s">
        <v>260</v>
      </c>
      <c r="K32" s="539"/>
    </row>
    <row r="33" ht="15.75" customHeight="1">
      <c r="A33" s="539" t="s">
        <v>261</v>
      </c>
    </row>
    <row r="34" ht="15.75" customHeight="1">
      <c r="A34" s="539"/>
    </row>
    <row r="35" ht="15.75" customHeight="1">
      <c r="A35" s="1" t="s">
        <v>262</v>
      </c>
    </row>
    <row r="36" ht="15.75" customHeight="1"/>
    <row r="37" ht="15.75" customHeight="1">
      <c r="A37" s="539" t="s">
        <v>263</v>
      </c>
    </row>
    <row r="38" ht="15.75" customHeight="1">
      <c r="A38" s="1" t="s">
        <v>264</v>
      </c>
    </row>
    <row r="39" ht="15.75" customHeight="1">
      <c r="A39" s="1" t="s">
        <v>265</v>
      </c>
    </row>
    <row r="40" ht="15.75" customHeight="1">
      <c r="A40" s="1" t="s">
        <v>266</v>
      </c>
    </row>
    <row r="41" ht="15.75" customHeight="1">
      <c r="A41" s="1"/>
    </row>
    <row r="42" ht="15.75" customHeight="1">
      <c r="A42" s="539" t="s">
        <v>267</v>
      </c>
    </row>
    <row r="43" ht="15.75" customHeight="1">
      <c r="A43" s="1" t="s">
        <v>268</v>
      </c>
    </row>
    <row r="44" ht="15.75" customHeight="1"/>
    <row r="45" ht="15.75" customHeight="1">
      <c r="A45" s="539" t="s">
        <v>269</v>
      </c>
    </row>
    <row r="46" ht="15.75" customHeight="1">
      <c r="A46" s="539"/>
    </row>
    <row r="47" ht="15.75" customHeight="1">
      <c r="A47" s="539" t="s">
        <v>270</v>
      </c>
    </row>
    <row r="48" ht="15.75" customHeight="1">
      <c r="A48" s="539"/>
    </row>
    <row r="49" ht="15.75" customHeight="1">
      <c r="A49" s="539" t="s">
        <v>271</v>
      </c>
    </row>
    <row r="50" ht="15.75" customHeight="1">
      <c r="A50" s="539"/>
    </row>
    <row r="51" ht="15.75" customHeight="1">
      <c r="A51" s="539" t="s">
        <v>272</v>
      </c>
    </row>
    <row r="52" ht="15.75" customHeight="1">
      <c r="A52" s="539"/>
    </row>
    <row r="53" ht="15.75" customHeight="1">
      <c r="A53" s="1" t="s">
        <v>273</v>
      </c>
    </row>
    <row r="54" ht="15.75" customHeight="1"/>
    <row r="55" ht="15.75" customHeight="1">
      <c r="A55" s="539" t="s">
        <v>274</v>
      </c>
    </row>
    <row r="56" ht="15.75" customHeight="1">
      <c r="A56" s="539"/>
    </row>
    <row r="57" ht="15.75" customHeight="1">
      <c r="A57" s="539" t="s">
        <v>275</v>
      </c>
    </row>
    <row r="58" ht="15.75" customHeight="1">
      <c r="A58" s="539"/>
    </row>
    <row r="59" ht="15.75" customHeight="1">
      <c r="A59" s="1" t="s">
        <v>276</v>
      </c>
    </row>
    <row r="60" ht="15.75" customHeight="1"/>
    <row r="61" ht="15.75" customHeight="1">
      <c r="A61" s="539" t="s">
        <v>277</v>
      </c>
    </row>
    <row r="62" ht="15.75" customHeight="1"/>
    <row r="63" ht="15.75" customHeight="1">
      <c r="A63" s="539" t="s">
        <v>274</v>
      </c>
    </row>
    <row r="64" ht="15.75" customHeight="1">
      <c r="A64" s="539"/>
    </row>
    <row r="65" ht="15.75" customHeight="1">
      <c r="A65" s="1" t="s">
        <v>278</v>
      </c>
    </row>
    <row r="66" ht="15.75" customHeight="1"/>
    <row r="67" ht="15.75" customHeight="1">
      <c r="A67" s="539" t="s">
        <v>279</v>
      </c>
    </row>
    <row r="68" ht="15.75" customHeight="1">
      <c r="A68" s="539"/>
    </row>
    <row r="69" ht="15.75" customHeight="1">
      <c r="A69" s="539" t="s">
        <v>280</v>
      </c>
    </row>
    <row r="70" ht="15.75" customHeight="1">
      <c r="A70" s="539"/>
    </row>
    <row r="71" ht="15.75" customHeight="1">
      <c r="A71" s="539" t="s">
        <v>281</v>
      </c>
    </row>
    <row r="72" ht="15.75" customHeight="1">
      <c r="A72" s="539"/>
    </row>
    <row r="73" ht="15.75" customHeight="1">
      <c r="A73" s="539" t="s">
        <v>282</v>
      </c>
    </row>
    <row r="74" ht="15.75" customHeight="1">
      <c r="A74" s="539"/>
    </row>
    <row r="75" ht="15.75" customHeight="1">
      <c r="A75" s="539" t="s">
        <v>283</v>
      </c>
    </row>
    <row r="76" ht="15.75" customHeight="1">
      <c r="A76" s="539"/>
    </row>
    <row r="77" ht="15.75" customHeight="1">
      <c r="A77" s="539" t="s">
        <v>274</v>
      </c>
    </row>
    <row r="78" ht="15.75" customHeight="1">
      <c r="A78" s="539"/>
    </row>
    <row r="79" ht="15.75" customHeight="1">
      <c r="A79" s="539" t="s">
        <v>284</v>
      </c>
    </row>
    <row r="80" ht="15.75" customHeight="1">
      <c r="A80" s="539"/>
    </row>
    <row r="81" ht="15.75" customHeight="1">
      <c r="A81" s="539" t="s">
        <v>285</v>
      </c>
    </row>
    <row r="82" ht="15.75" customHeight="1">
      <c r="A82" s="539"/>
    </row>
    <row r="83" ht="15.75" customHeight="1">
      <c r="A83" s="539" t="s">
        <v>286</v>
      </c>
    </row>
    <row r="84" ht="15.75" customHeight="1">
      <c r="A84" s="539"/>
    </row>
    <row r="85" ht="15.75" customHeight="1">
      <c r="A85" s="1" t="s">
        <v>287</v>
      </c>
    </row>
    <row r="86" ht="15.75" customHeight="1"/>
    <row r="87" ht="15.75" customHeight="1">
      <c r="A87" s="539" t="s">
        <v>288</v>
      </c>
    </row>
    <row r="88" ht="15.75" customHeight="1">
      <c r="A88" s="539"/>
    </row>
    <row r="89" ht="15.75" customHeight="1">
      <c r="A89" s="539" t="s">
        <v>289</v>
      </c>
    </row>
    <row r="90" ht="15.75" customHeight="1">
      <c r="A90" s="539"/>
    </row>
    <row r="91" ht="15.75" customHeight="1">
      <c r="A91" s="539" t="s">
        <v>290</v>
      </c>
    </row>
    <row r="92" ht="15.75" customHeight="1"/>
    <row r="93" ht="15.75" customHeight="1">
      <c r="A93" s="1" t="s">
        <v>291</v>
      </c>
    </row>
    <row r="94" ht="15.75" customHeight="1"/>
    <row r="95" ht="15.75" customHeight="1">
      <c r="A95" s="606" t="s">
        <v>292</v>
      </c>
    </row>
    <row r="96" ht="15.75" customHeight="1">
      <c r="A96" s="98" t="s">
        <v>293</v>
      </c>
    </row>
    <row r="97" ht="15.75" customHeight="1"/>
    <row r="98" ht="15.75" customHeight="1">
      <c r="A98" s="98" t="s">
        <v>294</v>
      </c>
    </row>
    <row r="99" ht="15.75" customHeight="1"/>
    <row r="100" ht="15.75" customHeight="1">
      <c r="A100" s="98" t="s">
        <v>295</v>
      </c>
    </row>
    <row r="101" ht="15.75" customHeight="1"/>
    <row r="102" ht="15.75" customHeight="1">
      <c r="A102" s="607" t="s">
        <v>296</v>
      </c>
    </row>
    <row r="103" ht="15.75" customHeight="1">
      <c r="A103" s="607" t="s">
        <v>297</v>
      </c>
    </row>
    <row r="104" ht="15.75" customHeight="1"/>
    <row r="105" ht="15.75" customHeight="1"/>
    <row r="106" ht="15.75" customHeight="1">
      <c r="A106" s="608" t="s">
        <v>298</v>
      </c>
      <c r="B106" s="608"/>
      <c r="C106" s="608"/>
      <c r="D106" s="608"/>
      <c r="E106" s="608"/>
    </row>
    <row r="107" ht="15.75" customHeight="1">
      <c r="A107" s="608" t="s">
        <v>299</v>
      </c>
      <c r="B107" s="608"/>
      <c r="C107" s="608"/>
      <c r="D107" s="608"/>
      <c r="E107" s="608"/>
    </row>
    <row r="108" ht="15.75" customHeight="1">
      <c r="A108" s="610">
        <v>216.0</v>
      </c>
      <c r="B108" s="610">
        <v>66500.0</v>
      </c>
      <c r="C108" s="610" t="s">
        <v>136</v>
      </c>
      <c r="D108" s="608"/>
      <c r="E108" s="608"/>
    </row>
    <row r="109" ht="15.75" customHeight="1">
      <c r="A109" s="610" t="s">
        <v>300</v>
      </c>
      <c r="B109" s="610">
        <v>66400.0</v>
      </c>
      <c r="C109" s="610" t="s">
        <v>136</v>
      </c>
      <c r="D109" s="608"/>
      <c r="E109" s="608"/>
    </row>
    <row r="110" ht="15.75" customHeight="1">
      <c r="A110" s="610">
        <v>214.0</v>
      </c>
      <c r="B110" s="610">
        <v>69700.0</v>
      </c>
      <c r="C110" s="610" t="s">
        <v>136</v>
      </c>
      <c r="D110" s="608"/>
      <c r="E110" s="608"/>
    </row>
    <row r="111" ht="15.75" customHeight="1">
      <c r="A111" s="608"/>
      <c r="B111" s="608"/>
      <c r="C111" s="608"/>
      <c r="D111" s="608"/>
      <c r="E111" s="608"/>
    </row>
    <row r="112" ht="15.75" customHeight="1">
      <c r="A112" s="610" t="s">
        <v>300</v>
      </c>
      <c r="B112" s="608" t="s">
        <v>301</v>
      </c>
      <c r="C112" s="608"/>
      <c r="D112" s="608"/>
      <c r="E112" s="608"/>
    </row>
    <row r="113" ht="15.75" customHeight="1">
      <c r="A113" s="610">
        <v>214.0</v>
      </c>
      <c r="B113" s="608" t="s">
        <v>302</v>
      </c>
      <c r="C113" s="608"/>
      <c r="D113" s="608"/>
      <c r="E113" s="608"/>
    </row>
    <row r="114" ht="15.75" customHeight="1">
      <c r="A114" s="610">
        <v>216.0</v>
      </c>
      <c r="B114" s="608" t="s">
        <v>303</v>
      </c>
      <c r="C114" s="608"/>
      <c r="D114" s="608"/>
      <c r="E114" s="608"/>
    </row>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B2"/>
    <hyperlink r:id="rId2" ref="B4"/>
    <hyperlink r:id="rId3" ref="O14"/>
    <hyperlink r:id="rId4" ref="V14"/>
    <hyperlink r:id="rId5" ref="K19"/>
    <hyperlink r:id="rId6" ref="K22"/>
    <hyperlink r:id="rId7" ref="K25"/>
    <hyperlink r:id="rId8" ref="R26"/>
    <hyperlink r:id="rId9" ref="K28"/>
    <hyperlink r:id="rId10" ref="I32"/>
    <hyperlink r:id="rId11" ref="A33"/>
    <hyperlink r:id="rId12" ref="A37"/>
    <hyperlink r:id="rId13" ref="A42"/>
    <hyperlink r:id="rId14" ref="A45"/>
    <hyperlink r:id="rId15" ref="A47"/>
    <hyperlink r:id="rId16" ref="A49"/>
    <hyperlink r:id="rId17" ref="A51"/>
    <hyperlink r:id="rId18" ref="A55"/>
    <hyperlink r:id="rId19" ref="A57"/>
    <hyperlink r:id="rId20" ref="A61"/>
    <hyperlink r:id="rId21" ref="A63"/>
    <hyperlink r:id="rId22" ref="A67"/>
    <hyperlink r:id="rId23" ref="A69"/>
    <hyperlink r:id="rId24" ref="A71"/>
    <hyperlink r:id="rId25" ref="A73"/>
    <hyperlink r:id="rId26" ref="A75"/>
    <hyperlink r:id="rId27" ref="A77"/>
    <hyperlink r:id="rId28" ref="A79"/>
    <hyperlink r:id="rId29" ref="A81"/>
    <hyperlink r:id="rId30" ref="A83"/>
    <hyperlink r:id="rId31" ref="A87"/>
    <hyperlink r:id="rId32" ref="A89"/>
    <hyperlink r:id="rId33" ref="A91"/>
  </hyperlinks>
  <printOptions/>
  <pageMargins bottom="0.25" footer="0.0" header="0.0" left="0.25" right="0.25" top="0.25"/>
  <pageSetup scale="50" orientation="landscape"/>
  <drawing r:id="rId3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workbookViewId="0"/>
  </sheetViews>
  <sheetFormatPr customHeight="1" defaultColWidth="12.63" defaultRowHeight="15.0"/>
  <cols>
    <col customWidth="1" min="1" max="1" width="3.25"/>
    <col customWidth="1" min="2" max="2" width="24.25"/>
    <col customWidth="1" min="3" max="3" width="7.13"/>
    <col customWidth="1" min="4" max="4" width="12.75"/>
    <col customWidth="1" min="6" max="6" width="13.88"/>
    <col customWidth="1" min="7" max="7" width="16.75"/>
    <col customWidth="1" min="8" max="8" width="25.13"/>
    <col customWidth="1" min="9" max="26" width="8.0"/>
  </cols>
  <sheetData>
    <row r="1">
      <c r="A1" s="531" t="s">
        <v>187</v>
      </c>
      <c r="I1" s="1"/>
      <c r="J1" s="1"/>
      <c r="K1" s="1"/>
      <c r="L1" s="1"/>
      <c r="M1" s="1"/>
      <c r="N1" s="1"/>
      <c r="O1" s="1"/>
      <c r="P1" s="1"/>
      <c r="Q1" s="1"/>
      <c r="R1" s="1"/>
      <c r="S1" s="1"/>
      <c r="T1" s="1"/>
      <c r="U1" s="1"/>
      <c r="V1" s="1"/>
      <c r="W1" s="1"/>
      <c r="X1" s="1"/>
      <c r="Y1" s="1"/>
      <c r="Z1" s="1"/>
    </row>
    <row r="2">
      <c r="A2" s="532"/>
      <c r="I2" s="1"/>
      <c r="J2" s="1"/>
      <c r="K2" s="1"/>
      <c r="L2" s="1"/>
      <c r="M2" s="1"/>
      <c r="N2" s="1"/>
      <c r="O2" s="1"/>
      <c r="P2" s="1"/>
      <c r="Q2" s="1"/>
      <c r="R2" s="1"/>
      <c r="S2" s="1"/>
      <c r="T2" s="1"/>
      <c r="U2" s="1"/>
      <c r="V2" s="1"/>
      <c r="W2" s="1"/>
      <c r="X2" s="1"/>
      <c r="Y2" s="1"/>
      <c r="Z2" s="1"/>
    </row>
    <row r="3">
      <c r="A3" s="532"/>
      <c r="I3" s="1"/>
      <c r="J3" s="1"/>
      <c r="K3" s="1"/>
      <c r="L3" s="1"/>
      <c r="M3" s="1"/>
      <c r="N3" s="1"/>
      <c r="O3" s="1"/>
      <c r="P3" s="1"/>
      <c r="Q3" s="1"/>
      <c r="R3" s="1"/>
      <c r="S3" s="1"/>
      <c r="T3" s="1"/>
      <c r="U3" s="1"/>
      <c r="V3" s="1"/>
      <c r="W3" s="1"/>
      <c r="X3" s="1"/>
      <c r="Y3" s="1"/>
      <c r="Z3" s="1"/>
    </row>
    <row r="4" ht="38.25" customHeight="1">
      <c r="A4" s="533" t="s">
        <v>188</v>
      </c>
      <c r="B4" s="534" t="s">
        <v>71</v>
      </c>
      <c r="C4" s="534"/>
      <c r="D4" s="535" t="s">
        <v>42</v>
      </c>
      <c r="E4" s="535" t="s">
        <v>189</v>
      </c>
      <c r="F4" s="535" t="s">
        <v>190</v>
      </c>
      <c r="G4" s="536" t="s">
        <v>191</v>
      </c>
      <c r="H4" s="537" t="s">
        <v>192</v>
      </c>
      <c r="I4" s="1"/>
      <c r="J4" s="1"/>
      <c r="K4" s="1"/>
      <c r="L4" s="1"/>
      <c r="M4" s="1"/>
      <c r="N4" s="1"/>
      <c r="O4" s="1"/>
      <c r="P4" s="1"/>
      <c r="Q4" s="1"/>
      <c r="R4" s="1"/>
      <c r="S4" s="1"/>
      <c r="T4" s="1"/>
      <c r="U4" s="1"/>
      <c r="V4" s="1"/>
      <c r="W4" s="1"/>
      <c r="X4" s="1"/>
      <c r="Y4" s="1"/>
      <c r="Z4" s="1"/>
    </row>
    <row r="5" ht="20.25" customHeight="1">
      <c r="A5" s="538"/>
      <c r="B5" s="541">
        <f>TODAY()</f>
        <v>46278</v>
      </c>
      <c r="C5" s="541"/>
      <c r="D5" s="344"/>
      <c r="E5" s="344"/>
      <c r="F5" s="344"/>
      <c r="G5" s="542"/>
      <c r="H5" s="543"/>
      <c r="I5" s="1"/>
      <c r="J5" s="1"/>
      <c r="K5" s="1"/>
      <c r="L5" s="1"/>
      <c r="M5" s="1"/>
      <c r="N5" s="1"/>
      <c r="O5" s="1"/>
      <c r="P5" s="1"/>
      <c r="Q5" s="1"/>
      <c r="R5" s="1"/>
      <c r="S5" s="1"/>
      <c r="T5" s="1"/>
      <c r="U5" s="1"/>
      <c r="V5" s="1"/>
      <c r="W5" s="1"/>
      <c r="X5" s="1"/>
      <c r="Y5" s="1"/>
      <c r="Z5" s="1"/>
    </row>
    <row r="6" ht="18.75" customHeight="1">
      <c r="A6" s="544">
        <v>2.0</v>
      </c>
      <c r="B6" s="545"/>
      <c r="C6" s="546" t="s">
        <v>195</v>
      </c>
      <c r="D6" s="547">
        <v>7510.0</v>
      </c>
      <c r="E6" s="547" t="s">
        <v>13</v>
      </c>
      <c r="F6" s="547" t="s">
        <v>144</v>
      </c>
      <c r="G6" s="548" t="s">
        <v>196</v>
      </c>
      <c r="H6" s="549"/>
      <c r="I6" s="1"/>
      <c r="J6" s="1"/>
      <c r="K6" s="1"/>
      <c r="L6" s="1"/>
      <c r="M6" s="1"/>
      <c r="N6" s="1"/>
      <c r="O6" s="1"/>
      <c r="P6" s="1"/>
      <c r="Q6" s="1"/>
      <c r="R6" s="1"/>
      <c r="S6" s="1"/>
      <c r="T6" s="1"/>
      <c r="U6" s="1"/>
      <c r="V6" s="1"/>
      <c r="W6" s="1"/>
      <c r="X6" s="1"/>
      <c r="Y6" s="1"/>
      <c r="Z6" s="1"/>
    </row>
    <row r="7" ht="18.75" customHeight="1">
      <c r="A7" s="544"/>
      <c r="B7" s="135"/>
      <c r="C7" s="546" t="s">
        <v>195</v>
      </c>
      <c r="D7" s="547">
        <v>7511.0</v>
      </c>
      <c r="E7" s="547" t="s">
        <v>144</v>
      </c>
      <c r="F7" s="547" t="s">
        <v>13</v>
      </c>
      <c r="G7" s="548" t="s">
        <v>197</v>
      </c>
      <c r="H7" s="549"/>
      <c r="I7" s="1"/>
      <c r="J7" s="1"/>
      <c r="K7" s="1"/>
      <c r="L7" s="1"/>
      <c r="M7" s="1"/>
      <c r="N7" s="1"/>
      <c r="O7" s="1"/>
      <c r="P7" s="1"/>
      <c r="Q7" s="1"/>
      <c r="R7" s="1"/>
      <c r="S7" s="1"/>
      <c r="T7" s="1"/>
      <c r="U7" s="1"/>
      <c r="V7" s="1"/>
      <c r="W7" s="1"/>
      <c r="X7" s="1"/>
      <c r="Y7" s="1"/>
      <c r="Z7" s="1"/>
    </row>
    <row r="8" ht="18.75" customHeight="1">
      <c r="A8" s="544"/>
      <c r="B8" s="135"/>
      <c r="C8" s="546" t="s">
        <v>195</v>
      </c>
      <c r="D8" s="547">
        <v>7552.0</v>
      </c>
      <c r="E8" s="547" t="s">
        <v>13</v>
      </c>
      <c r="F8" s="547" t="s">
        <v>198</v>
      </c>
      <c r="G8" s="548" t="s">
        <v>199</v>
      </c>
      <c r="H8" s="549"/>
      <c r="I8" s="1"/>
      <c r="J8" s="1"/>
      <c r="K8" s="1"/>
      <c r="L8" s="1"/>
      <c r="M8" s="1"/>
      <c r="N8" s="1"/>
      <c r="O8" s="1"/>
      <c r="P8" s="1"/>
      <c r="Q8" s="1"/>
      <c r="R8" s="1"/>
      <c r="S8" s="1"/>
      <c r="T8" s="1"/>
      <c r="U8" s="1"/>
      <c r="V8" s="1"/>
      <c r="W8" s="1"/>
      <c r="X8" s="1"/>
      <c r="Y8" s="1"/>
      <c r="Z8" s="1"/>
    </row>
    <row r="9" ht="18.75" customHeight="1">
      <c r="A9" s="544"/>
      <c r="B9" s="135"/>
      <c r="C9" s="546" t="s">
        <v>195</v>
      </c>
      <c r="D9" s="547">
        <v>7553.0</v>
      </c>
      <c r="E9" s="547" t="s">
        <v>198</v>
      </c>
      <c r="F9" s="547" t="s">
        <v>13</v>
      </c>
      <c r="G9" s="548" t="s">
        <v>197</v>
      </c>
      <c r="H9" s="549"/>
      <c r="I9" s="1"/>
      <c r="J9" s="1"/>
      <c r="K9" s="1"/>
      <c r="L9" s="1"/>
      <c r="M9" s="1"/>
      <c r="N9" s="1"/>
      <c r="O9" s="1"/>
      <c r="P9" s="1"/>
      <c r="Q9" s="1"/>
      <c r="R9" s="1"/>
      <c r="S9" s="1"/>
      <c r="T9" s="1"/>
      <c r="U9" s="1"/>
      <c r="V9" s="1"/>
      <c r="W9" s="1"/>
      <c r="X9" s="1"/>
      <c r="Y9" s="1"/>
      <c r="Z9" s="1"/>
    </row>
    <row r="10" ht="16.5" customHeight="1">
      <c r="A10" s="550"/>
      <c r="B10" s="550"/>
      <c r="C10" s="550"/>
      <c r="D10" s="552"/>
      <c r="E10" s="552"/>
      <c r="F10" s="552"/>
      <c r="G10" s="554"/>
      <c r="H10" s="549"/>
      <c r="I10" s="1"/>
      <c r="J10" s="1"/>
      <c r="K10" s="1"/>
      <c r="L10" s="1"/>
      <c r="M10" s="1"/>
      <c r="N10" s="1"/>
      <c r="O10" s="1"/>
      <c r="P10" s="1"/>
      <c r="Q10" s="1"/>
      <c r="R10" s="1"/>
      <c r="S10" s="1"/>
      <c r="T10" s="1"/>
      <c r="U10" s="1"/>
      <c r="V10" s="1"/>
      <c r="W10" s="1"/>
      <c r="X10" s="1"/>
      <c r="Y10" s="1"/>
      <c r="Z10" s="1"/>
    </row>
    <row r="11" ht="16.5" customHeight="1">
      <c r="A11" s="544">
        <v>1.0</v>
      </c>
      <c r="B11" s="135"/>
      <c r="C11" s="546" t="s">
        <v>195</v>
      </c>
      <c r="D11" s="547">
        <v>200.0</v>
      </c>
      <c r="E11" s="547" t="s">
        <v>13</v>
      </c>
      <c r="F11" s="547" t="s">
        <v>14</v>
      </c>
      <c r="G11" s="548" t="s">
        <v>204</v>
      </c>
      <c r="H11" s="549"/>
      <c r="I11" s="1"/>
      <c r="J11" s="1"/>
      <c r="K11" s="1"/>
      <c r="L11" s="1"/>
      <c r="M11" s="1"/>
      <c r="N11" s="1"/>
      <c r="O11" s="1"/>
      <c r="P11" s="1"/>
      <c r="Q11" s="1"/>
      <c r="R11" s="1"/>
      <c r="S11" s="1"/>
      <c r="T11" s="1"/>
      <c r="U11" s="1"/>
      <c r="V11" s="1"/>
      <c r="W11" s="1"/>
      <c r="X11" s="1"/>
      <c r="Y11" s="1"/>
      <c r="Z11" s="1"/>
    </row>
    <row r="12">
      <c r="A12" s="544"/>
      <c r="B12" s="556"/>
      <c r="C12" s="546" t="s">
        <v>195</v>
      </c>
      <c r="D12" s="547">
        <v>129.0</v>
      </c>
      <c r="E12" s="547" t="s">
        <v>14</v>
      </c>
      <c r="F12" s="547" t="s">
        <v>207</v>
      </c>
      <c r="G12" s="548" t="s">
        <v>208</v>
      </c>
      <c r="H12" s="549"/>
      <c r="I12" s="1"/>
      <c r="J12" s="1"/>
      <c r="K12" s="1"/>
      <c r="L12" s="1"/>
      <c r="M12" s="1"/>
      <c r="N12" s="1"/>
      <c r="O12" s="1"/>
      <c r="P12" s="1"/>
      <c r="Q12" s="1"/>
      <c r="R12" s="1"/>
      <c r="S12" s="1"/>
      <c r="T12" s="1"/>
      <c r="U12" s="1"/>
      <c r="V12" s="1"/>
      <c r="W12" s="1"/>
      <c r="X12" s="1"/>
      <c r="Y12" s="1"/>
      <c r="Z12" s="1"/>
    </row>
    <row r="13" ht="18.75" customHeight="1">
      <c r="A13" s="544"/>
      <c r="B13" s="556"/>
      <c r="C13" s="546" t="s">
        <v>195</v>
      </c>
      <c r="D13" s="547">
        <v>108.0</v>
      </c>
      <c r="E13" s="547" t="s">
        <v>207</v>
      </c>
      <c r="F13" s="547" t="s">
        <v>208</v>
      </c>
      <c r="G13" s="548" t="s">
        <v>207</v>
      </c>
      <c r="H13" s="549"/>
      <c r="I13" s="1"/>
      <c r="J13" s="1"/>
      <c r="K13" s="1"/>
      <c r="L13" s="1"/>
      <c r="M13" s="1"/>
      <c r="N13" s="1"/>
      <c r="O13" s="1"/>
      <c r="P13" s="1"/>
      <c r="Q13" s="1"/>
      <c r="R13" s="1"/>
      <c r="S13" s="1"/>
      <c r="T13" s="1"/>
      <c r="U13" s="1"/>
      <c r="V13" s="1"/>
      <c r="W13" s="1"/>
      <c r="X13" s="1"/>
      <c r="Y13" s="1"/>
      <c r="Z13" s="1"/>
    </row>
    <row r="14" ht="16.5" customHeight="1">
      <c r="A14" s="550"/>
      <c r="B14" s="550"/>
      <c r="C14" s="546" t="s">
        <v>195</v>
      </c>
      <c r="D14" s="547">
        <v>109.0</v>
      </c>
      <c r="E14" s="547" t="s">
        <v>208</v>
      </c>
      <c r="F14" s="547" t="s">
        <v>207</v>
      </c>
      <c r="G14" s="548" t="s">
        <v>208</v>
      </c>
      <c r="H14" s="549"/>
      <c r="I14" s="1"/>
      <c r="J14" s="1"/>
      <c r="K14" s="1"/>
      <c r="L14" s="1"/>
      <c r="M14" s="1"/>
      <c r="N14" s="1"/>
      <c r="O14" s="1"/>
      <c r="P14" s="1"/>
      <c r="Q14" s="1"/>
      <c r="R14" s="1"/>
      <c r="S14" s="1"/>
      <c r="T14" s="1"/>
      <c r="U14" s="1"/>
      <c r="V14" s="1"/>
      <c r="W14" s="1"/>
      <c r="X14" s="1"/>
      <c r="Y14" s="1"/>
      <c r="Z14" s="1"/>
    </row>
    <row r="15" ht="18.75" customHeight="1">
      <c r="A15" s="544"/>
      <c r="B15" s="545"/>
      <c r="C15" s="546"/>
      <c r="D15" s="135"/>
      <c r="E15" s="135"/>
      <c r="F15" s="135"/>
      <c r="G15" s="554"/>
      <c r="H15" s="549"/>
      <c r="I15" s="1"/>
      <c r="J15" s="1"/>
      <c r="K15" s="1"/>
      <c r="L15" s="1"/>
      <c r="M15" s="1"/>
      <c r="N15" s="1"/>
      <c r="O15" s="1"/>
      <c r="P15" s="1"/>
      <c r="Q15" s="1"/>
      <c r="R15" s="1"/>
      <c r="S15" s="1"/>
      <c r="T15" s="1"/>
      <c r="U15" s="1"/>
      <c r="V15" s="1"/>
      <c r="W15" s="1"/>
      <c r="X15" s="1"/>
      <c r="Y15" s="1"/>
      <c r="Z15" s="1"/>
    </row>
    <row r="16" ht="18.75" customHeight="1">
      <c r="A16" s="544">
        <v>4.0</v>
      </c>
      <c r="B16" s="556"/>
      <c r="C16" s="546" t="s">
        <v>195</v>
      </c>
      <c r="D16" s="547">
        <v>7688.0</v>
      </c>
      <c r="E16" s="547" t="s">
        <v>13</v>
      </c>
      <c r="F16" s="547" t="s">
        <v>199</v>
      </c>
      <c r="G16" s="548" t="s">
        <v>144</v>
      </c>
      <c r="H16" s="549"/>
      <c r="I16" s="1"/>
      <c r="J16" s="1"/>
      <c r="K16" s="1"/>
      <c r="L16" s="1"/>
      <c r="M16" s="1"/>
      <c r="N16" s="1"/>
      <c r="O16" s="1"/>
      <c r="P16" s="1"/>
      <c r="Q16" s="1"/>
      <c r="R16" s="1"/>
      <c r="S16" s="1"/>
      <c r="T16" s="1"/>
      <c r="U16" s="1"/>
      <c r="V16" s="1"/>
      <c r="W16" s="1"/>
      <c r="X16" s="1"/>
      <c r="Y16" s="1"/>
      <c r="Z16" s="1"/>
    </row>
    <row r="17" ht="18.75" customHeight="1">
      <c r="A17" s="544"/>
      <c r="B17" s="556"/>
      <c r="C17" s="546" t="s">
        <v>195</v>
      </c>
      <c r="D17" s="547">
        <v>7689.0</v>
      </c>
      <c r="E17" s="547" t="s">
        <v>199</v>
      </c>
      <c r="F17" s="547" t="s">
        <v>13</v>
      </c>
      <c r="G17" s="548" t="s">
        <v>210</v>
      </c>
      <c r="H17" s="549"/>
      <c r="I17" s="1"/>
      <c r="J17" s="1"/>
      <c r="K17" s="1"/>
      <c r="L17" s="1"/>
      <c r="M17" s="1"/>
      <c r="N17" s="1"/>
      <c r="O17" s="1"/>
      <c r="P17" s="1"/>
      <c r="Q17" s="1"/>
      <c r="R17" s="1"/>
      <c r="S17" s="1"/>
      <c r="T17" s="1"/>
      <c r="U17" s="1"/>
      <c r="V17" s="1"/>
      <c r="W17" s="1"/>
      <c r="X17" s="1"/>
      <c r="Y17" s="1"/>
      <c r="Z17" s="1"/>
    </row>
    <row r="18" ht="18.75" customHeight="1">
      <c r="A18" s="544"/>
      <c r="B18" s="135"/>
      <c r="C18" s="546" t="s">
        <v>195</v>
      </c>
      <c r="D18" s="547">
        <v>7520.0</v>
      </c>
      <c r="E18" s="547" t="s">
        <v>13</v>
      </c>
      <c r="F18" s="547" t="s">
        <v>144</v>
      </c>
      <c r="G18" s="548" t="s">
        <v>196</v>
      </c>
      <c r="H18" s="549"/>
      <c r="I18" s="1"/>
      <c r="J18" s="1"/>
      <c r="K18" s="1"/>
      <c r="L18" s="1"/>
      <c r="M18" s="1"/>
      <c r="N18" s="1"/>
      <c r="O18" s="1"/>
      <c r="P18" s="1"/>
      <c r="Q18" s="1"/>
      <c r="R18" s="1"/>
      <c r="S18" s="1"/>
      <c r="T18" s="1"/>
      <c r="U18" s="1"/>
      <c r="V18" s="1"/>
      <c r="W18" s="1"/>
      <c r="X18" s="1"/>
      <c r="Y18" s="1"/>
      <c r="Z18" s="1"/>
    </row>
    <row r="19" ht="18.75" customHeight="1">
      <c r="A19" s="544"/>
      <c r="B19" s="135"/>
      <c r="C19" s="546" t="s">
        <v>195</v>
      </c>
      <c r="D19" s="547">
        <v>7521.0</v>
      </c>
      <c r="E19" s="547" t="s">
        <v>144</v>
      </c>
      <c r="F19" s="547" t="s">
        <v>13</v>
      </c>
      <c r="G19" s="548" t="s">
        <v>210</v>
      </c>
      <c r="H19" s="549"/>
      <c r="I19" s="1"/>
      <c r="J19" s="1"/>
      <c r="K19" s="1"/>
      <c r="L19" s="1"/>
      <c r="M19" s="1"/>
      <c r="N19" s="1"/>
      <c r="O19" s="1"/>
      <c r="P19" s="1"/>
      <c r="Q19" s="1"/>
      <c r="R19" s="1"/>
      <c r="S19" s="1"/>
      <c r="T19" s="1"/>
      <c r="U19" s="1"/>
      <c r="V19" s="1"/>
      <c r="W19" s="1"/>
      <c r="X19" s="1"/>
      <c r="Y19" s="1"/>
      <c r="Z19" s="1"/>
    </row>
    <row r="20" ht="18.75" customHeight="1">
      <c r="A20" s="544"/>
      <c r="B20" s="135"/>
      <c r="C20" s="111"/>
      <c r="D20" s="552"/>
      <c r="E20" s="135"/>
      <c r="F20" s="135"/>
      <c r="G20" s="554"/>
      <c r="H20" s="549"/>
      <c r="I20" s="1"/>
      <c r="J20" s="1"/>
      <c r="K20" s="1"/>
      <c r="L20" s="1"/>
      <c r="M20" s="1"/>
      <c r="N20" s="1"/>
      <c r="O20" s="1"/>
      <c r="P20" s="1"/>
      <c r="Q20" s="1"/>
      <c r="R20" s="1"/>
      <c r="S20" s="1"/>
      <c r="T20" s="1"/>
      <c r="U20" s="1"/>
      <c r="V20" s="1"/>
      <c r="W20" s="1"/>
      <c r="X20" s="1"/>
      <c r="Y20" s="1"/>
      <c r="Z20" s="1"/>
    </row>
    <row r="21" ht="18.75" customHeight="1">
      <c r="A21" s="550">
        <v>3.0</v>
      </c>
      <c r="B21" s="550"/>
      <c r="C21" s="546" t="s">
        <v>195</v>
      </c>
      <c r="D21" s="547">
        <v>7556.0</v>
      </c>
      <c r="E21" s="547" t="s">
        <v>13</v>
      </c>
      <c r="F21" s="547" t="s">
        <v>198</v>
      </c>
      <c r="G21" s="548" t="s">
        <v>199</v>
      </c>
      <c r="H21" s="549"/>
      <c r="I21" s="1"/>
      <c r="J21" s="1"/>
      <c r="K21" s="1"/>
      <c r="L21" s="1"/>
      <c r="M21" s="1"/>
      <c r="N21" s="1"/>
      <c r="O21" s="1"/>
      <c r="P21" s="1"/>
      <c r="Q21" s="1"/>
      <c r="R21" s="1"/>
      <c r="S21" s="1"/>
      <c r="T21" s="1"/>
      <c r="U21" s="1"/>
      <c r="V21" s="1"/>
      <c r="W21" s="1"/>
      <c r="X21" s="1"/>
      <c r="Y21" s="1"/>
      <c r="Z21" s="1"/>
    </row>
    <row r="22" ht="18.75" customHeight="1">
      <c r="A22" s="550"/>
      <c r="B22" s="550"/>
      <c r="C22" s="546" t="s">
        <v>195</v>
      </c>
      <c r="D22" s="547">
        <v>658.0</v>
      </c>
      <c r="E22" s="547" t="s">
        <v>198</v>
      </c>
      <c r="F22" s="547" t="s">
        <v>21</v>
      </c>
      <c r="G22" s="548" t="s">
        <v>171</v>
      </c>
      <c r="H22" s="549"/>
      <c r="I22" s="1"/>
      <c r="J22" s="1"/>
      <c r="K22" s="1"/>
      <c r="L22" s="1"/>
      <c r="M22" s="1"/>
      <c r="N22" s="1"/>
      <c r="O22" s="1"/>
      <c r="P22" s="1"/>
      <c r="Q22" s="1"/>
      <c r="R22" s="1"/>
      <c r="S22" s="1"/>
      <c r="T22" s="1"/>
      <c r="U22" s="1"/>
      <c r="V22" s="1"/>
      <c r="W22" s="1"/>
      <c r="X22" s="1"/>
      <c r="Y22" s="1"/>
      <c r="Z22" s="1"/>
    </row>
    <row r="23" ht="18.75" customHeight="1">
      <c r="A23" s="550"/>
      <c r="B23" s="550"/>
      <c r="C23" s="546" t="s">
        <v>195</v>
      </c>
      <c r="D23" s="547">
        <v>659.0</v>
      </c>
      <c r="E23" s="547" t="s">
        <v>21</v>
      </c>
      <c r="F23" s="547" t="s">
        <v>198</v>
      </c>
      <c r="G23" s="548" t="s">
        <v>199</v>
      </c>
      <c r="H23" s="549"/>
      <c r="I23" s="1"/>
      <c r="J23" s="1"/>
      <c r="K23" s="1"/>
      <c r="L23" s="1"/>
      <c r="M23" s="1"/>
      <c r="N23" s="1"/>
      <c r="O23" s="1"/>
      <c r="P23" s="1"/>
      <c r="Q23" s="1"/>
      <c r="R23" s="1"/>
      <c r="S23" s="1"/>
      <c r="T23" s="1"/>
      <c r="U23" s="1"/>
      <c r="V23" s="1"/>
      <c r="W23" s="1"/>
      <c r="X23" s="1"/>
      <c r="Y23" s="1"/>
      <c r="Z23" s="1"/>
    </row>
    <row r="24" ht="16.5" customHeight="1">
      <c r="A24" s="550"/>
      <c r="B24" s="550"/>
      <c r="C24" s="546" t="s">
        <v>195</v>
      </c>
      <c r="D24" s="547">
        <v>7557.0</v>
      </c>
      <c r="E24" s="547" t="s">
        <v>198</v>
      </c>
      <c r="F24" s="547" t="s">
        <v>13</v>
      </c>
      <c r="G24" s="548" t="s">
        <v>197</v>
      </c>
      <c r="H24" s="549"/>
      <c r="I24" s="1"/>
      <c r="J24" s="1"/>
      <c r="K24" s="1"/>
      <c r="L24" s="1"/>
      <c r="M24" s="1"/>
      <c r="N24" s="1"/>
      <c r="O24" s="1"/>
      <c r="P24" s="1"/>
      <c r="Q24" s="1"/>
      <c r="R24" s="1"/>
      <c r="S24" s="1"/>
      <c r="T24" s="1"/>
      <c r="U24" s="1"/>
      <c r="V24" s="1"/>
      <c r="W24" s="1"/>
      <c r="X24" s="1"/>
      <c r="Y24" s="1"/>
      <c r="Z24" s="1"/>
    </row>
    <row r="25" ht="16.5" customHeight="1">
      <c r="A25" s="550"/>
      <c r="B25" s="550"/>
      <c r="C25" s="550"/>
      <c r="D25" s="552"/>
      <c r="E25" s="552"/>
      <c r="F25" s="552"/>
      <c r="G25" s="554"/>
      <c r="H25" s="549"/>
      <c r="I25" s="1"/>
      <c r="J25" s="1"/>
      <c r="K25" s="1"/>
      <c r="L25" s="1"/>
      <c r="M25" s="1"/>
      <c r="N25" s="1"/>
      <c r="O25" s="1"/>
      <c r="P25" s="1"/>
      <c r="Q25" s="1"/>
      <c r="R25" s="1"/>
      <c r="S25" s="1"/>
      <c r="T25" s="1"/>
      <c r="U25" s="1"/>
      <c r="V25" s="1"/>
      <c r="W25" s="1"/>
      <c r="X25" s="1"/>
      <c r="Y25" s="1"/>
      <c r="Z25" s="1"/>
    </row>
    <row r="26" ht="18.75" customHeight="1">
      <c r="A26" s="544">
        <v>5.0</v>
      </c>
      <c r="B26" s="135"/>
      <c r="C26" s="546" t="s">
        <v>195</v>
      </c>
      <c r="D26" s="547">
        <v>202.0</v>
      </c>
      <c r="E26" s="547" t="s">
        <v>13</v>
      </c>
      <c r="F26" s="547" t="s">
        <v>14</v>
      </c>
      <c r="G26" s="548" t="s">
        <v>204</v>
      </c>
      <c r="H26" s="549"/>
      <c r="I26" s="1"/>
      <c r="J26" s="1"/>
      <c r="K26" s="1"/>
      <c r="L26" s="1"/>
      <c r="M26" s="1"/>
      <c r="N26" s="1"/>
      <c r="O26" s="1"/>
      <c r="P26" s="1"/>
      <c r="Q26" s="1"/>
      <c r="R26" s="1"/>
      <c r="S26" s="1"/>
      <c r="T26" s="1"/>
      <c r="U26" s="1"/>
      <c r="V26" s="1"/>
      <c r="W26" s="1"/>
      <c r="X26" s="1"/>
      <c r="Y26" s="1"/>
      <c r="Z26" s="1"/>
    </row>
    <row r="27" ht="18.75" customHeight="1">
      <c r="A27" s="544"/>
      <c r="B27" s="135"/>
      <c r="C27" s="546" t="s">
        <v>195</v>
      </c>
      <c r="D27" s="547">
        <v>280.0</v>
      </c>
      <c r="E27" s="547" t="s">
        <v>14</v>
      </c>
      <c r="F27" s="547" t="s">
        <v>56</v>
      </c>
      <c r="G27" s="548" t="s">
        <v>224</v>
      </c>
      <c r="H27" s="549"/>
      <c r="I27" s="1"/>
      <c r="J27" s="1"/>
      <c r="K27" s="1"/>
      <c r="L27" s="1"/>
      <c r="M27" s="1"/>
      <c r="N27" s="1"/>
      <c r="O27" s="1"/>
      <c r="P27" s="1"/>
      <c r="Q27" s="1"/>
      <c r="R27" s="1"/>
      <c r="S27" s="1"/>
      <c r="T27" s="1"/>
      <c r="U27" s="1"/>
      <c r="V27" s="1"/>
      <c r="W27" s="1"/>
      <c r="X27" s="1"/>
      <c r="Y27" s="1"/>
      <c r="Z27" s="1"/>
    </row>
    <row r="28" ht="18.75" customHeight="1">
      <c r="A28" s="544"/>
      <c r="B28" s="135"/>
      <c r="C28" s="546" t="s">
        <v>195</v>
      </c>
      <c r="D28" s="547">
        <v>281.0</v>
      </c>
      <c r="E28" s="547" t="s">
        <v>56</v>
      </c>
      <c r="F28" s="547" t="s">
        <v>14</v>
      </c>
      <c r="G28" s="548" t="s">
        <v>171</v>
      </c>
      <c r="H28" s="549"/>
      <c r="I28" s="1"/>
      <c r="J28" s="1"/>
      <c r="K28" s="1"/>
      <c r="L28" s="1"/>
      <c r="M28" s="1"/>
      <c r="N28" s="1"/>
      <c r="O28" s="1"/>
      <c r="P28" s="1"/>
      <c r="Q28" s="1"/>
      <c r="R28" s="1"/>
      <c r="S28" s="1"/>
      <c r="T28" s="1"/>
      <c r="U28" s="1"/>
      <c r="V28" s="1"/>
      <c r="W28" s="1"/>
      <c r="X28" s="1"/>
      <c r="Y28" s="1"/>
      <c r="Z28" s="1"/>
    </row>
    <row r="29" ht="18.75" customHeight="1">
      <c r="A29" s="544"/>
      <c r="B29" s="135"/>
      <c r="C29" s="546" t="s">
        <v>195</v>
      </c>
      <c r="D29" s="547">
        <v>203.0</v>
      </c>
      <c r="E29" s="547" t="s">
        <v>14</v>
      </c>
      <c r="F29" s="547" t="s">
        <v>13</v>
      </c>
      <c r="G29" s="548" t="s">
        <v>197</v>
      </c>
      <c r="H29" s="549"/>
      <c r="I29" s="1"/>
      <c r="J29" s="1"/>
      <c r="K29" s="1"/>
      <c r="L29" s="1"/>
      <c r="M29" s="1"/>
      <c r="N29" s="1"/>
      <c r="O29" s="1"/>
      <c r="P29" s="1"/>
      <c r="Q29" s="1"/>
      <c r="R29" s="1"/>
      <c r="S29" s="1"/>
      <c r="T29" s="1"/>
      <c r="U29" s="1"/>
      <c r="V29" s="1"/>
      <c r="W29" s="1"/>
      <c r="X29" s="1"/>
      <c r="Y29" s="1"/>
      <c r="Z29" s="1"/>
    </row>
    <row r="30" ht="16.5" customHeight="1">
      <c r="A30" s="550"/>
      <c r="B30" s="550"/>
      <c r="C30" s="550"/>
      <c r="D30" s="552"/>
      <c r="E30" s="552"/>
      <c r="F30" s="552"/>
      <c r="G30" s="554"/>
      <c r="H30" s="549"/>
      <c r="I30" s="1"/>
      <c r="J30" s="1"/>
      <c r="K30" s="1"/>
      <c r="L30" s="1"/>
      <c r="M30" s="1"/>
      <c r="N30" s="1"/>
      <c r="O30" s="1"/>
      <c r="P30" s="1"/>
      <c r="Q30" s="1"/>
      <c r="R30" s="1"/>
      <c r="S30" s="1"/>
      <c r="T30" s="1"/>
      <c r="U30" s="1"/>
      <c r="V30" s="1"/>
      <c r="W30" s="1"/>
      <c r="X30" s="1"/>
      <c r="Y30" s="1"/>
      <c r="Z30" s="1"/>
    </row>
    <row r="31" ht="16.5" customHeight="1">
      <c r="A31" s="550"/>
      <c r="B31" s="550"/>
      <c r="C31" s="546" t="s">
        <v>195</v>
      </c>
      <c r="D31" s="547">
        <v>7516.0</v>
      </c>
      <c r="E31" s="547" t="s">
        <v>13</v>
      </c>
      <c r="F31" s="547" t="s">
        <v>144</v>
      </c>
      <c r="G31" s="567" t="s">
        <v>196</v>
      </c>
      <c r="H31" s="549"/>
      <c r="I31" s="1"/>
      <c r="J31" s="1"/>
      <c r="K31" s="1"/>
      <c r="L31" s="1"/>
      <c r="M31" s="1"/>
      <c r="N31" s="1"/>
      <c r="O31" s="1"/>
      <c r="P31" s="1"/>
      <c r="Q31" s="1"/>
      <c r="R31" s="1"/>
      <c r="S31" s="1"/>
      <c r="T31" s="1"/>
      <c r="U31" s="1"/>
      <c r="V31" s="1"/>
      <c r="W31" s="1"/>
      <c r="X31" s="1"/>
      <c r="Y31" s="1"/>
      <c r="Z31" s="1"/>
    </row>
    <row r="32" ht="16.5" customHeight="1">
      <c r="A32" s="550"/>
      <c r="B32" s="550"/>
      <c r="C32" s="546" t="s">
        <v>195</v>
      </c>
      <c r="D32" s="547">
        <v>7517.0</v>
      </c>
      <c r="E32" s="547" t="s">
        <v>144</v>
      </c>
      <c r="F32" s="547" t="s">
        <v>13</v>
      </c>
      <c r="G32" s="567" t="s">
        <v>210</v>
      </c>
      <c r="H32" s="549"/>
      <c r="I32" s="1"/>
      <c r="J32" s="1"/>
      <c r="K32" s="1"/>
      <c r="L32" s="1"/>
      <c r="M32" s="1"/>
      <c r="N32" s="1"/>
      <c r="O32" s="1"/>
      <c r="P32" s="1"/>
      <c r="Q32" s="1"/>
      <c r="R32" s="1"/>
      <c r="S32" s="1"/>
      <c r="T32" s="1"/>
      <c r="U32" s="1"/>
      <c r="V32" s="1"/>
      <c r="W32" s="1"/>
      <c r="X32" s="1"/>
      <c r="Y32" s="1"/>
      <c r="Z32" s="1"/>
    </row>
    <row r="33" ht="16.5" customHeight="1">
      <c r="A33" s="550"/>
      <c r="B33" s="550"/>
      <c r="C33" s="550"/>
      <c r="D33" s="552"/>
      <c r="E33" s="552"/>
      <c r="F33" s="552"/>
      <c r="G33" s="554"/>
      <c r="H33" s="549"/>
      <c r="I33" s="1"/>
      <c r="J33" s="1"/>
      <c r="K33" s="1"/>
      <c r="L33" s="1"/>
      <c r="M33" s="1"/>
      <c r="N33" s="1"/>
      <c r="O33" s="1"/>
      <c r="P33" s="1"/>
      <c r="Q33" s="1"/>
      <c r="R33" s="1"/>
      <c r="S33" s="1"/>
      <c r="T33" s="1"/>
      <c r="U33" s="1"/>
      <c r="V33" s="1"/>
      <c r="W33" s="1"/>
      <c r="X33" s="1"/>
      <c r="Y33" s="1"/>
      <c r="Z33" s="1"/>
    </row>
    <row r="34" ht="18.75" customHeight="1">
      <c r="A34" s="544">
        <v>6.0</v>
      </c>
      <c r="B34" s="568"/>
      <c r="C34" s="546" t="s">
        <v>195</v>
      </c>
      <c r="D34" s="547">
        <v>700.0</v>
      </c>
      <c r="E34" s="547" t="s">
        <v>13</v>
      </c>
      <c r="F34" s="547" t="s">
        <v>225</v>
      </c>
      <c r="G34" s="548" t="s">
        <v>199</v>
      </c>
      <c r="H34" s="549"/>
      <c r="I34" s="1"/>
      <c r="J34" s="1"/>
      <c r="K34" s="1"/>
      <c r="L34" s="1"/>
      <c r="M34" s="1"/>
      <c r="N34" s="1"/>
      <c r="O34" s="1"/>
      <c r="P34" s="1"/>
      <c r="Q34" s="1"/>
      <c r="R34" s="1"/>
      <c r="S34" s="1"/>
      <c r="T34" s="1"/>
      <c r="U34" s="1"/>
      <c r="V34" s="1"/>
      <c r="W34" s="1"/>
      <c r="X34" s="1"/>
      <c r="Y34" s="1"/>
      <c r="Z34" s="1"/>
    </row>
    <row r="35" ht="18.75" customHeight="1">
      <c r="A35" s="544"/>
      <c r="B35" s="568"/>
      <c r="C35" s="546" t="s">
        <v>195</v>
      </c>
      <c r="D35" s="547">
        <v>701.0</v>
      </c>
      <c r="E35" s="547" t="s">
        <v>225</v>
      </c>
      <c r="F35" s="547" t="s">
        <v>13</v>
      </c>
      <c r="G35" s="548" t="s">
        <v>197</v>
      </c>
      <c r="H35" s="549"/>
      <c r="I35" s="1"/>
      <c r="J35" s="1"/>
      <c r="K35" s="1"/>
      <c r="L35" s="1"/>
      <c r="M35" s="1"/>
      <c r="N35" s="1"/>
      <c r="O35" s="1"/>
      <c r="P35" s="1"/>
      <c r="Q35" s="1"/>
      <c r="R35" s="1"/>
      <c r="S35" s="1"/>
      <c r="T35" s="1"/>
      <c r="U35" s="1"/>
      <c r="V35" s="1"/>
      <c r="W35" s="1"/>
      <c r="X35" s="1"/>
      <c r="Y35" s="1"/>
      <c r="Z35" s="1"/>
    </row>
    <row r="36" ht="18.75" customHeight="1">
      <c r="A36" s="544"/>
      <c r="B36" s="568"/>
      <c r="C36" s="546" t="s">
        <v>195</v>
      </c>
      <c r="D36" s="547">
        <v>614.0</v>
      </c>
      <c r="E36" s="547" t="s">
        <v>13</v>
      </c>
      <c r="F36" s="547" t="s">
        <v>196</v>
      </c>
      <c r="G36" s="548" t="s">
        <v>144</v>
      </c>
      <c r="H36" s="549"/>
      <c r="I36" s="1"/>
      <c r="J36" s="1"/>
      <c r="K36" s="1"/>
      <c r="L36" s="1"/>
      <c r="M36" s="1"/>
      <c r="N36" s="1"/>
      <c r="O36" s="1"/>
      <c r="P36" s="1"/>
      <c r="Q36" s="1"/>
      <c r="R36" s="1"/>
      <c r="S36" s="1"/>
      <c r="T36" s="1"/>
      <c r="U36" s="1"/>
      <c r="V36" s="1"/>
      <c r="W36" s="1"/>
      <c r="X36" s="1"/>
      <c r="Y36" s="1"/>
      <c r="Z36" s="1"/>
    </row>
    <row r="37" ht="18.75" customHeight="1">
      <c r="A37" s="544"/>
      <c r="B37" s="135"/>
      <c r="C37" s="546" t="s">
        <v>195</v>
      </c>
      <c r="D37" s="547">
        <v>615.0</v>
      </c>
      <c r="E37" s="547" t="s">
        <v>196</v>
      </c>
      <c r="F37" s="547" t="s">
        <v>13</v>
      </c>
      <c r="G37" s="548" t="s">
        <v>197</v>
      </c>
      <c r="H37" s="549"/>
      <c r="I37" s="1"/>
      <c r="J37" s="1"/>
      <c r="K37" s="1"/>
      <c r="L37" s="1"/>
      <c r="M37" s="1"/>
      <c r="N37" s="1"/>
      <c r="O37" s="1"/>
      <c r="P37" s="1"/>
      <c r="Q37" s="1"/>
      <c r="R37" s="1"/>
      <c r="S37" s="1"/>
      <c r="T37" s="1"/>
      <c r="U37" s="1"/>
      <c r="V37" s="1"/>
      <c r="W37" s="1"/>
      <c r="X37" s="1"/>
      <c r="Y37" s="1"/>
      <c r="Z37" s="1"/>
    </row>
    <row r="38" ht="18.75" customHeight="1">
      <c r="A38" s="544"/>
      <c r="B38" s="135"/>
      <c r="C38" s="111"/>
      <c r="D38" s="135"/>
      <c r="E38" s="135"/>
      <c r="F38" s="135"/>
      <c r="G38" s="554"/>
      <c r="H38" s="549"/>
      <c r="I38" s="1"/>
      <c r="J38" s="1"/>
      <c r="K38" s="1"/>
      <c r="L38" s="1"/>
      <c r="M38" s="1"/>
      <c r="N38" s="1"/>
      <c r="O38" s="1"/>
      <c r="P38" s="1"/>
      <c r="Q38" s="1"/>
      <c r="R38" s="1"/>
      <c r="S38" s="1"/>
      <c r="T38" s="1"/>
      <c r="U38" s="1"/>
      <c r="V38" s="1"/>
      <c r="W38" s="1"/>
      <c r="X38" s="1"/>
      <c r="Y38" s="1"/>
      <c r="Z38" s="1"/>
    </row>
    <row r="39" ht="18.75" customHeight="1">
      <c r="A39" s="544">
        <v>7.0</v>
      </c>
      <c r="B39" s="545"/>
      <c r="C39" s="546" t="s">
        <v>195</v>
      </c>
      <c r="D39" s="547">
        <v>262.0</v>
      </c>
      <c r="E39" s="547" t="s">
        <v>13</v>
      </c>
      <c r="F39" s="547" t="s">
        <v>21</v>
      </c>
      <c r="G39" s="548" t="s">
        <v>171</v>
      </c>
      <c r="H39" s="549"/>
      <c r="I39" s="1"/>
      <c r="J39" s="1"/>
      <c r="K39" s="1"/>
      <c r="L39" s="1"/>
      <c r="M39" s="1"/>
      <c r="N39" s="1"/>
      <c r="O39" s="1"/>
      <c r="P39" s="1"/>
      <c r="Q39" s="1"/>
      <c r="R39" s="1"/>
      <c r="S39" s="1"/>
      <c r="T39" s="1"/>
      <c r="U39" s="1"/>
      <c r="V39" s="1"/>
      <c r="W39" s="1"/>
      <c r="X39" s="1"/>
      <c r="Y39" s="1"/>
      <c r="Z39" s="1"/>
    </row>
    <row r="40" ht="18.75" customHeight="1">
      <c r="A40" s="544"/>
      <c r="B40" s="545"/>
      <c r="C40" s="546" t="s">
        <v>195</v>
      </c>
      <c r="D40" s="547">
        <v>263.0</v>
      </c>
      <c r="E40" s="547" t="s">
        <v>21</v>
      </c>
      <c r="F40" s="547" t="s">
        <v>13</v>
      </c>
      <c r="G40" s="548" t="s">
        <v>197</v>
      </c>
      <c r="H40" s="549"/>
      <c r="I40" s="1"/>
      <c r="J40" s="1"/>
      <c r="K40" s="1"/>
      <c r="L40" s="1"/>
      <c r="M40" s="1"/>
      <c r="N40" s="1"/>
      <c r="O40" s="1"/>
      <c r="P40" s="1"/>
      <c r="Q40" s="1"/>
      <c r="R40" s="1"/>
      <c r="S40" s="1"/>
      <c r="T40" s="1"/>
      <c r="U40" s="1"/>
      <c r="V40" s="1"/>
      <c r="W40" s="1"/>
      <c r="X40" s="1"/>
      <c r="Y40" s="1"/>
      <c r="Z40" s="1"/>
    </row>
    <row r="41" ht="18.75" hidden="1" customHeight="1">
      <c r="A41" s="578">
        <v>11.0</v>
      </c>
      <c r="B41" s="545"/>
      <c r="C41" s="546"/>
      <c r="D41" s="135" t="str">
        <f>[1]INPUT!B44</f>
        <v>#ERROR!</v>
      </c>
      <c r="E41" s="135" t="str">
        <f>[1]INPUT!C44</f>
        <v>#ERROR!</v>
      </c>
      <c r="F41" s="135" t="str">
        <f>[1]INPUT!D44</f>
        <v>#ERROR!</v>
      </c>
      <c r="G41" s="584"/>
      <c r="H41" s="549"/>
      <c r="I41" s="1"/>
      <c r="J41" s="1"/>
      <c r="K41" s="1"/>
      <c r="L41" s="1"/>
      <c r="M41" s="1"/>
      <c r="N41" s="1"/>
      <c r="O41" s="1"/>
      <c r="P41" s="1"/>
      <c r="Q41" s="1"/>
      <c r="R41" s="1"/>
      <c r="S41" s="1"/>
      <c r="T41" s="1"/>
      <c r="U41" s="1"/>
      <c r="V41" s="1"/>
      <c r="W41" s="1"/>
      <c r="X41" s="1"/>
      <c r="Y41" s="1"/>
      <c r="Z41" s="1"/>
    </row>
    <row r="42" ht="18.75" hidden="1" customHeight="1">
      <c r="A42" s="578">
        <v>12.0</v>
      </c>
      <c r="B42" s="545"/>
      <c r="C42" s="546"/>
      <c r="D42" s="135" t="str">
        <f>[1]INPUT!B45</f>
        <v>#ERROR!</v>
      </c>
      <c r="E42" s="135" t="str">
        <f>[1]INPUT!C45</f>
        <v>#ERROR!</v>
      </c>
      <c r="F42" s="135" t="str">
        <f>[1]INPUT!D45</f>
        <v>#ERROR!</v>
      </c>
      <c r="G42" s="584"/>
      <c r="H42" s="549"/>
      <c r="I42" s="1"/>
      <c r="J42" s="1"/>
      <c r="K42" s="1"/>
      <c r="L42" s="1"/>
      <c r="M42" s="1"/>
      <c r="N42" s="1"/>
      <c r="O42" s="1"/>
      <c r="P42" s="1"/>
      <c r="Q42" s="1"/>
      <c r="R42" s="1"/>
      <c r="S42" s="1"/>
      <c r="T42" s="1"/>
      <c r="U42" s="1"/>
      <c r="V42" s="1"/>
      <c r="W42" s="1"/>
      <c r="X42" s="1"/>
      <c r="Y42" s="1"/>
      <c r="Z42" s="1"/>
    </row>
    <row r="43" ht="18.75" hidden="1" customHeight="1">
      <c r="A43" s="544">
        <v>13.0</v>
      </c>
      <c r="B43" s="135"/>
      <c r="C43" s="111"/>
      <c r="D43" s="135" t="str">
        <f>[1]INPUT!B46</f>
        <v>#ERROR!</v>
      </c>
      <c r="E43" s="135" t="str">
        <f>[1]INPUT!C46</f>
        <v>#ERROR!</v>
      </c>
      <c r="F43" s="135" t="str">
        <f>[1]INPUT!D46</f>
        <v>#ERROR!</v>
      </c>
      <c r="G43" s="584"/>
      <c r="H43" s="549"/>
      <c r="I43" s="1"/>
      <c r="J43" s="1"/>
      <c r="K43" s="1"/>
      <c r="L43" s="1"/>
      <c r="M43" s="1"/>
      <c r="N43" s="1"/>
      <c r="O43" s="1"/>
      <c r="P43" s="1"/>
      <c r="Q43" s="1"/>
      <c r="R43" s="1"/>
      <c r="S43" s="1"/>
      <c r="T43" s="1"/>
      <c r="U43" s="1"/>
      <c r="V43" s="1"/>
      <c r="W43" s="1"/>
      <c r="X43" s="1"/>
      <c r="Y43" s="1"/>
      <c r="Z43" s="1"/>
    </row>
    <row r="44" ht="18.75" hidden="1" customHeight="1">
      <c r="A44" s="544">
        <v>14.0</v>
      </c>
      <c r="B44" s="135"/>
      <c r="C44" s="111"/>
      <c r="D44" s="135" t="str">
        <f>[1]INPUT!B47</f>
        <v>#ERROR!</v>
      </c>
      <c r="E44" s="135" t="str">
        <f>[1]INPUT!C47</f>
        <v>#ERROR!</v>
      </c>
      <c r="F44" s="135" t="str">
        <f>[1]INPUT!D47</f>
        <v>#ERROR!</v>
      </c>
      <c r="G44" s="584"/>
      <c r="H44" s="549"/>
      <c r="I44" s="1"/>
      <c r="J44" s="1"/>
      <c r="K44" s="1"/>
      <c r="L44" s="1"/>
      <c r="M44" s="1"/>
      <c r="N44" s="1"/>
      <c r="O44" s="1"/>
      <c r="P44" s="1"/>
      <c r="Q44" s="1"/>
      <c r="R44" s="1"/>
      <c r="S44" s="1"/>
      <c r="T44" s="1"/>
      <c r="U44" s="1"/>
      <c r="V44" s="1"/>
      <c r="W44" s="1"/>
      <c r="X44" s="1"/>
      <c r="Y44" s="1"/>
      <c r="Z44" s="1"/>
    </row>
    <row r="45" ht="18.75" hidden="1" customHeight="1">
      <c r="A45" s="544"/>
      <c r="B45" s="135"/>
      <c r="C45" s="111"/>
      <c r="D45" s="135" t="str">
        <f>[1]INPUT!B48</f>
        <v>#ERROR!</v>
      </c>
      <c r="E45" s="135" t="str">
        <f>[1]INPUT!C48</f>
        <v>#ERROR!</v>
      </c>
      <c r="F45" s="135" t="str">
        <f>[1]INPUT!D48</f>
        <v>#ERROR!</v>
      </c>
      <c r="G45" s="584"/>
      <c r="H45" s="549"/>
      <c r="I45" s="1"/>
      <c r="J45" s="1"/>
      <c r="K45" s="1"/>
      <c r="L45" s="1"/>
      <c r="M45" s="1"/>
      <c r="N45" s="1"/>
      <c r="O45" s="1"/>
      <c r="P45" s="1"/>
      <c r="Q45" s="1"/>
      <c r="R45" s="1"/>
      <c r="S45" s="1"/>
      <c r="T45" s="1"/>
      <c r="U45" s="1"/>
      <c r="V45" s="1"/>
      <c r="W45" s="1"/>
      <c r="X45" s="1"/>
      <c r="Y45" s="1"/>
      <c r="Z45" s="1"/>
    </row>
    <row r="46" ht="19.5" customHeight="1">
      <c r="A46" s="544"/>
      <c r="B46" s="135"/>
      <c r="C46" s="111"/>
      <c r="D46" s="250" t="str">
        <f>[1]INPUT!B44</f>
        <v>#ERROR!</v>
      </c>
      <c r="E46" s="250" t="str">
        <f>[1]INPUT!C44</f>
        <v>#ERROR!</v>
      </c>
      <c r="F46" s="250" t="str">
        <f>[1]INPUT!D44</f>
        <v>#ERROR!</v>
      </c>
      <c r="G46" s="590"/>
      <c r="H46" s="549"/>
      <c r="I46" s="1"/>
      <c r="J46" s="1"/>
      <c r="K46" s="1"/>
      <c r="L46" s="1"/>
      <c r="M46" s="1"/>
      <c r="N46" s="1"/>
      <c r="O46" s="1"/>
      <c r="P46" s="1"/>
      <c r="Q46" s="1"/>
      <c r="R46" s="1"/>
      <c r="S46" s="1"/>
      <c r="T46" s="1"/>
      <c r="U46" s="1"/>
      <c r="V46" s="1"/>
      <c r="W46" s="1"/>
      <c r="X46" s="1"/>
      <c r="Y46" s="1"/>
      <c r="Z46" s="1"/>
    </row>
    <row r="47" ht="18.75" customHeight="1">
      <c r="A47" s="544">
        <v>8.0</v>
      </c>
      <c r="B47" s="135"/>
      <c r="C47" s="546" t="s">
        <v>195</v>
      </c>
      <c r="D47" s="547">
        <v>250.0</v>
      </c>
      <c r="E47" s="547" t="s">
        <v>13</v>
      </c>
      <c r="F47" s="547" t="s">
        <v>245</v>
      </c>
      <c r="G47" s="548" t="s">
        <v>246</v>
      </c>
      <c r="H47" s="549"/>
      <c r="I47" s="1"/>
      <c r="J47" s="1"/>
      <c r="K47" s="1"/>
      <c r="L47" s="1"/>
      <c r="M47" s="1"/>
      <c r="N47" s="1"/>
      <c r="O47" s="1"/>
      <c r="P47" s="1"/>
      <c r="Q47" s="1"/>
      <c r="R47" s="1"/>
      <c r="S47" s="1"/>
      <c r="T47" s="1"/>
      <c r="U47" s="1"/>
      <c r="V47" s="1"/>
      <c r="W47" s="1"/>
      <c r="X47" s="1"/>
      <c r="Y47" s="1"/>
      <c r="Z47" s="1"/>
    </row>
    <row r="48" ht="18.75" customHeight="1">
      <c r="A48" s="544"/>
      <c r="B48" s="135"/>
      <c r="C48" s="546" t="s">
        <v>195</v>
      </c>
      <c r="D48" s="547">
        <v>251.0</v>
      </c>
      <c r="E48" s="547" t="s">
        <v>245</v>
      </c>
      <c r="F48" s="547" t="s">
        <v>13</v>
      </c>
      <c r="G48" s="548" t="s">
        <v>197</v>
      </c>
      <c r="H48" s="549"/>
      <c r="I48" s="1"/>
      <c r="J48" s="1"/>
      <c r="K48" s="1"/>
      <c r="L48" s="1"/>
      <c r="M48" s="1"/>
      <c r="N48" s="1"/>
      <c r="O48" s="1"/>
      <c r="P48" s="1"/>
      <c r="Q48" s="1"/>
      <c r="R48" s="1"/>
      <c r="S48" s="1"/>
      <c r="T48" s="1"/>
      <c r="U48" s="1"/>
      <c r="V48" s="1"/>
      <c r="W48" s="1"/>
      <c r="X48" s="1"/>
      <c r="Y48" s="1"/>
      <c r="Z48" s="1"/>
    </row>
    <row r="49" ht="18.75" hidden="1" customHeight="1">
      <c r="A49" s="591"/>
      <c r="B49" s="591"/>
      <c r="C49" s="592"/>
      <c r="D49" s="552">
        <v>7526.0</v>
      </c>
      <c r="E49" s="552" t="s">
        <v>13</v>
      </c>
      <c r="F49" s="552" t="s">
        <v>144</v>
      </c>
      <c r="G49" s="554"/>
      <c r="H49" s="549"/>
      <c r="I49" s="1"/>
      <c r="J49" s="1"/>
      <c r="K49" s="1"/>
      <c r="L49" s="1"/>
      <c r="M49" s="1"/>
      <c r="N49" s="1"/>
      <c r="O49" s="1"/>
      <c r="P49" s="1"/>
      <c r="Q49" s="1"/>
      <c r="R49" s="1"/>
      <c r="S49" s="1"/>
      <c r="T49" s="1"/>
      <c r="U49" s="1"/>
      <c r="V49" s="1"/>
      <c r="W49" s="1"/>
      <c r="X49" s="1"/>
      <c r="Y49" s="1"/>
      <c r="Z49" s="1"/>
    </row>
    <row r="50" ht="18.75" hidden="1" customHeight="1">
      <c r="A50" s="591"/>
      <c r="B50" s="591"/>
      <c r="C50" s="592"/>
      <c r="D50" s="552">
        <v>7527.0</v>
      </c>
      <c r="E50" s="552" t="s">
        <v>144</v>
      </c>
      <c r="F50" s="552" t="s">
        <v>13</v>
      </c>
      <c r="G50" s="554"/>
      <c r="H50" s="549"/>
      <c r="I50" s="1"/>
      <c r="J50" s="1"/>
      <c r="K50" s="1"/>
      <c r="L50" s="1"/>
      <c r="M50" s="1"/>
      <c r="N50" s="1"/>
      <c r="O50" s="1"/>
      <c r="P50" s="1"/>
      <c r="Q50" s="1"/>
      <c r="R50" s="1"/>
      <c r="S50" s="1"/>
      <c r="T50" s="1"/>
      <c r="U50" s="1"/>
      <c r="V50" s="1"/>
      <c r="W50" s="1"/>
      <c r="X50" s="1"/>
      <c r="Y50" s="1"/>
      <c r="Z50" s="1"/>
    </row>
    <row r="51" ht="18.75" hidden="1" customHeight="1">
      <c r="A51" s="591"/>
      <c r="B51" s="591"/>
      <c r="C51" s="592"/>
      <c r="D51" s="552">
        <v>7526.0</v>
      </c>
      <c r="E51" s="552" t="s">
        <v>13</v>
      </c>
      <c r="F51" s="552" t="s">
        <v>144</v>
      </c>
      <c r="G51" s="554"/>
      <c r="H51" s="549"/>
      <c r="I51" s="1"/>
      <c r="J51" s="1"/>
      <c r="K51" s="1"/>
      <c r="L51" s="1"/>
      <c r="M51" s="1"/>
      <c r="N51" s="1"/>
      <c r="O51" s="1"/>
      <c r="P51" s="1"/>
      <c r="Q51" s="1"/>
      <c r="R51" s="1"/>
      <c r="S51" s="1"/>
      <c r="T51" s="1"/>
      <c r="U51" s="1"/>
      <c r="V51" s="1"/>
      <c r="W51" s="1"/>
      <c r="X51" s="1"/>
      <c r="Y51" s="1"/>
      <c r="Z51" s="1"/>
    </row>
    <row r="52" ht="18.75" customHeight="1">
      <c r="A52" s="591"/>
      <c r="B52" s="591"/>
      <c r="C52" s="592"/>
      <c r="D52" s="552"/>
      <c r="E52" s="552"/>
      <c r="F52" s="552"/>
      <c r="G52" s="554"/>
      <c r="H52" s="549"/>
      <c r="I52" s="1"/>
      <c r="J52" s="1"/>
      <c r="K52" s="1"/>
      <c r="L52" s="1"/>
      <c r="M52" s="1"/>
      <c r="N52" s="1"/>
      <c r="O52" s="1"/>
      <c r="P52" s="1"/>
      <c r="Q52" s="1"/>
      <c r="R52" s="1"/>
      <c r="S52" s="1"/>
      <c r="T52" s="1"/>
      <c r="U52" s="1"/>
      <c r="V52" s="1"/>
      <c r="W52" s="1"/>
      <c r="X52" s="1"/>
      <c r="Y52" s="1"/>
      <c r="Z52" s="1"/>
    </row>
    <row r="53" ht="18.75" customHeight="1">
      <c r="A53" s="591">
        <v>9.0</v>
      </c>
      <c r="B53" s="591"/>
      <c r="C53" s="546" t="s">
        <v>195</v>
      </c>
      <c r="D53" s="547">
        <v>266.0</v>
      </c>
      <c r="E53" s="547" t="s">
        <v>13</v>
      </c>
      <c r="F53" s="547" t="s">
        <v>21</v>
      </c>
      <c r="G53" s="548" t="s">
        <v>171</v>
      </c>
      <c r="H53" s="549"/>
      <c r="I53" s="1"/>
      <c r="J53" s="1"/>
      <c r="K53" s="1"/>
      <c r="L53" s="1"/>
      <c r="M53" s="1"/>
      <c r="N53" s="1"/>
      <c r="O53" s="1"/>
      <c r="P53" s="1"/>
      <c r="Q53" s="1"/>
      <c r="R53" s="1"/>
      <c r="S53" s="1"/>
      <c r="T53" s="1"/>
      <c r="U53" s="1"/>
      <c r="V53" s="1"/>
      <c r="W53" s="1"/>
      <c r="X53" s="1"/>
      <c r="Y53" s="1"/>
      <c r="Z53" s="1"/>
    </row>
    <row r="54" ht="18.75" customHeight="1">
      <c r="A54" s="591"/>
      <c r="B54" s="591"/>
      <c r="C54" s="546" t="s">
        <v>195</v>
      </c>
      <c r="D54" s="547">
        <v>267.0</v>
      </c>
      <c r="E54" s="547" t="s">
        <v>21</v>
      </c>
      <c r="F54" s="547" t="s">
        <v>13</v>
      </c>
      <c r="G54" s="548" t="s">
        <v>197</v>
      </c>
      <c r="H54" s="549"/>
      <c r="I54" s="1"/>
      <c r="J54" s="1"/>
      <c r="K54" s="1"/>
      <c r="L54" s="1"/>
      <c r="M54" s="1"/>
      <c r="N54" s="1"/>
      <c r="O54" s="1"/>
      <c r="P54" s="1"/>
      <c r="Q54" s="1"/>
      <c r="R54" s="1"/>
      <c r="S54" s="1"/>
      <c r="T54" s="1"/>
      <c r="U54" s="1"/>
      <c r="V54" s="1"/>
      <c r="W54" s="1"/>
      <c r="X54" s="1"/>
      <c r="Y54" s="1"/>
      <c r="Z54" s="1"/>
    </row>
    <row r="55" ht="18.75" customHeight="1">
      <c r="A55" s="1"/>
      <c r="B55" s="1"/>
      <c r="C55" s="1"/>
      <c r="D55" s="228"/>
      <c r="E55" s="228"/>
      <c r="F55" s="228"/>
      <c r="G55" s="1"/>
      <c r="H55" s="1"/>
      <c r="I55" s="1"/>
      <c r="J55" s="1"/>
      <c r="K55" s="1"/>
      <c r="L55" s="1"/>
      <c r="M55" s="1"/>
      <c r="N55" s="1"/>
      <c r="O55" s="1"/>
      <c r="P55" s="1"/>
      <c r="Q55" s="1"/>
      <c r="R55" s="1"/>
      <c r="S55" s="1"/>
      <c r="T55" s="1"/>
      <c r="U55" s="1"/>
      <c r="V55" s="1"/>
      <c r="W55" s="1"/>
      <c r="X55" s="1"/>
      <c r="Y55" s="1"/>
      <c r="Z55" s="1"/>
    </row>
    <row r="56" ht="18.75" customHeight="1">
      <c r="A56" s="1"/>
      <c r="B56" s="1"/>
      <c r="C56" s="1"/>
      <c r="D56" s="228"/>
      <c r="E56" s="228"/>
      <c r="F56" s="228"/>
      <c r="G56" s="1"/>
      <c r="H56" s="1"/>
      <c r="I56" s="1"/>
      <c r="J56" s="1"/>
      <c r="K56" s="1"/>
      <c r="L56" s="1"/>
      <c r="M56" s="1"/>
      <c r="N56" s="1"/>
      <c r="O56" s="1"/>
      <c r="P56" s="1"/>
      <c r="Q56" s="1"/>
      <c r="R56" s="1"/>
      <c r="S56" s="1"/>
      <c r="T56" s="1"/>
      <c r="U56" s="1"/>
      <c r="V56" s="1"/>
      <c r="W56" s="1"/>
      <c r="X56" s="1"/>
      <c r="Y56" s="1"/>
      <c r="Z56" s="1"/>
    </row>
    <row r="57" ht="18.75" customHeight="1">
      <c r="A57" s="1"/>
      <c r="B57" s="1"/>
      <c r="C57" s="1"/>
      <c r="D57" s="228"/>
      <c r="E57" s="228"/>
      <c r="F57" s="228"/>
      <c r="G57" s="1"/>
      <c r="H57" s="1"/>
      <c r="I57" s="1"/>
      <c r="J57" s="1"/>
      <c r="K57" s="1"/>
      <c r="L57" s="1"/>
      <c r="M57" s="1"/>
      <c r="N57" s="1"/>
      <c r="O57" s="1"/>
      <c r="P57" s="1"/>
      <c r="Q57" s="1"/>
      <c r="R57" s="1"/>
      <c r="S57" s="1"/>
      <c r="T57" s="1"/>
      <c r="U57" s="1"/>
      <c r="V57" s="1"/>
      <c r="W57" s="1"/>
      <c r="X57" s="1"/>
      <c r="Y57" s="1"/>
      <c r="Z57" s="1"/>
    </row>
    <row r="58" ht="18.75" customHeight="1">
      <c r="A58" s="1"/>
      <c r="B58" s="1"/>
      <c r="C58" s="1"/>
      <c r="D58" s="228"/>
      <c r="E58" s="228"/>
      <c r="F58" s="228"/>
      <c r="G58" s="1"/>
      <c r="H58" s="1"/>
      <c r="I58" s="1"/>
      <c r="J58" s="1"/>
      <c r="K58" s="1"/>
      <c r="L58" s="1"/>
      <c r="M58" s="1"/>
      <c r="N58" s="1"/>
      <c r="O58" s="1"/>
      <c r="P58" s="1"/>
      <c r="Q58" s="1"/>
      <c r="R58" s="1"/>
      <c r="S58" s="1"/>
      <c r="T58" s="1"/>
      <c r="U58" s="1"/>
      <c r="V58" s="1"/>
      <c r="W58" s="1"/>
      <c r="X58" s="1"/>
      <c r="Y58" s="1"/>
      <c r="Z58" s="1"/>
    </row>
    <row r="59" ht="18.75" customHeight="1">
      <c r="A59" s="1"/>
      <c r="B59" s="1"/>
      <c r="C59" s="1"/>
      <c r="D59" s="228"/>
      <c r="E59" s="228"/>
      <c r="F59" s="228"/>
      <c r="G59" s="1"/>
      <c r="H59" s="1"/>
      <c r="I59" s="1"/>
      <c r="J59" s="1"/>
      <c r="K59" s="1"/>
      <c r="L59" s="1"/>
      <c r="M59" s="1"/>
      <c r="N59" s="1"/>
      <c r="O59" s="1"/>
      <c r="P59" s="1"/>
      <c r="Q59" s="1"/>
      <c r="R59" s="1"/>
      <c r="S59" s="1"/>
      <c r="T59" s="1"/>
      <c r="U59" s="1"/>
      <c r="V59" s="1"/>
      <c r="W59" s="1"/>
      <c r="X59" s="1"/>
      <c r="Y59" s="1"/>
      <c r="Z59" s="1"/>
    </row>
    <row r="60" ht="18.75" customHeight="1">
      <c r="A60" s="1"/>
      <c r="B60" s="1"/>
      <c r="C60" s="1"/>
      <c r="D60" s="228"/>
      <c r="E60" s="228"/>
      <c r="F60" s="228"/>
      <c r="G60" s="1"/>
      <c r="H60" s="1"/>
      <c r="I60" s="1"/>
      <c r="J60" s="1"/>
      <c r="K60" s="1"/>
      <c r="L60" s="1"/>
      <c r="M60" s="1"/>
      <c r="N60" s="1"/>
      <c r="O60" s="1"/>
      <c r="P60" s="1"/>
      <c r="Q60" s="1"/>
      <c r="R60" s="1"/>
      <c r="S60" s="1"/>
      <c r="T60" s="1"/>
      <c r="U60" s="1"/>
      <c r="V60" s="1"/>
      <c r="W60" s="1"/>
      <c r="X60" s="1"/>
      <c r="Y60" s="1"/>
      <c r="Z60" s="1"/>
    </row>
    <row r="61" ht="18.75" customHeight="1">
      <c r="A61" s="1"/>
      <c r="B61" s="1"/>
      <c r="C61" s="1"/>
      <c r="D61" s="228"/>
      <c r="E61" s="228"/>
      <c r="F61" s="228"/>
      <c r="G61" s="1"/>
      <c r="H61" s="1"/>
      <c r="I61" s="1"/>
      <c r="J61" s="1"/>
      <c r="K61" s="1"/>
      <c r="L61" s="1"/>
      <c r="M61" s="1"/>
      <c r="N61" s="1"/>
      <c r="O61" s="1"/>
      <c r="P61" s="1"/>
      <c r="Q61" s="1"/>
      <c r="R61" s="1"/>
      <c r="S61" s="1"/>
      <c r="T61" s="1"/>
      <c r="U61" s="1"/>
      <c r="V61" s="1"/>
      <c r="W61" s="1"/>
      <c r="X61" s="1"/>
      <c r="Y61" s="1"/>
      <c r="Z61" s="1"/>
    </row>
    <row r="62" ht="18.75" customHeight="1">
      <c r="A62" s="1"/>
      <c r="B62" s="1"/>
      <c r="C62" s="1"/>
      <c r="D62" s="228"/>
      <c r="E62" s="228"/>
      <c r="F62" s="228"/>
      <c r="G62" s="1"/>
      <c r="H62" s="1"/>
      <c r="I62" s="1"/>
      <c r="J62" s="1"/>
      <c r="K62" s="1"/>
      <c r="L62" s="1"/>
      <c r="M62" s="1"/>
      <c r="N62" s="1"/>
      <c r="O62" s="1"/>
      <c r="P62" s="1"/>
      <c r="Q62" s="1"/>
      <c r="R62" s="1"/>
      <c r="S62" s="1"/>
      <c r="T62" s="1"/>
      <c r="U62" s="1"/>
      <c r="V62" s="1"/>
      <c r="W62" s="1"/>
      <c r="X62" s="1"/>
      <c r="Y62" s="1"/>
      <c r="Z62" s="1"/>
    </row>
    <row r="63" ht="18.75" customHeight="1">
      <c r="A63" s="1"/>
      <c r="B63" s="1"/>
      <c r="C63" s="1"/>
      <c r="D63" s="228"/>
      <c r="E63" s="228"/>
      <c r="F63" s="228"/>
      <c r="G63" s="1"/>
      <c r="H63" s="1"/>
      <c r="I63" s="1"/>
      <c r="J63" s="1"/>
      <c r="K63" s="1"/>
      <c r="L63" s="1"/>
      <c r="M63" s="1"/>
      <c r="N63" s="1"/>
      <c r="O63" s="1"/>
      <c r="P63" s="1"/>
      <c r="Q63" s="1"/>
      <c r="R63" s="1"/>
      <c r="S63" s="1"/>
      <c r="T63" s="1"/>
      <c r="U63" s="1"/>
      <c r="V63" s="1"/>
      <c r="W63" s="1"/>
      <c r="X63" s="1"/>
      <c r="Y63" s="1"/>
      <c r="Z63" s="1"/>
    </row>
    <row r="64" ht="18.75" customHeight="1">
      <c r="A64" s="1"/>
      <c r="B64" s="1"/>
      <c r="C64" s="1"/>
      <c r="D64" s="228"/>
      <c r="E64" s="228"/>
      <c r="F64" s="228"/>
      <c r="G64" s="1"/>
      <c r="H64" s="1"/>
      <c r="I64" s="1"/>
      <c r="J64" s="1"/>
      <c r="K64" s="1"/>
      <c r="L64" s="1"/>
      <c r="M64" s="1"/>
      <c r="N64" s="1"/>
      <c r="O64" s="1"/>
      <c r="P64" s="1"/>
      <c r="Q64" s="1"/>
      <c r="R64" s="1"/>
      <c r="S64" s="1"/>
      <c r="T64" s="1"/>
      <c r="U64" s="1"/>
      <c r="V64" s="1"/>
      <c r="W64" s="1"/>
      <c r="X64" s="1"/>
      <c r="Y64" s="1"/>
      <c r="Z64" s="1"/>
    </row>
    <row r="65" ht="18.75" customHeight="1">
      <c r="A65" s="1"/>
      <c r="B65" s="1"/>
      <c r="C65" s="1"/>
      <c r="D65" s="228"/>
      <c r="E65" s="228"/>
      <c r="F65" s="228"/>
      <c r="G65" s="1"/>
      <c r="H65" s="1"/>
      <c r="I65" s="1"/>
      <c r="J65" s="1"/>
      <c r="K65" s="1"/>
      <c r="L65" s="1"/>
      <c r="M65" s="1"/>
      <c r="N65" s="1"/>
      <c r="O65" s="1"/>
      <c r="P65" s="1"/>
      <c r="Q65" s="1"/>
      <c r="R65" s="1"/>
      <c r="S65" s="1"/>
      <c r="T65" s="1"/>
      <c r="U65" s="1"/>
      <c r="V65" s="1"/>
      <c r="W65" s="1"/>
      <c r="X65" s="1"/>
      <c r="Y65" s="1"/>
      <c r="Z65" s="1"/>
    </row>
    <row r="66" ht="18.75" customHeight="1">
      <c r="A66" s="1"/>
      <c r="B66" s="1"/>
      <c r="C66" s="1"/>
      <c r="D66" s="228"/>
      <c r="E66" s="228"/>
      <c r="F66" s="228"/>
      <c r="G66" s="1"/>
      <c r="H66" s="1"/>
      <c r="I66" s="1"/>
      <c r="J66" s="1"/>
      <c r="K66" s="1"/>
      <c r="L66" s="1"/>
      <c r="M66" s="1"/>
      <c r="N66" s="1"/>
      <c r="O66" s="1"/>
      <c r="P66" s="1"/>
      <c r="Q66" s="1"/>
      <c r="R66" s="1"/>
      <c r="S66" s="1"/>
      <c r="T66" s="1"/>
      <c r="U66" s="1"/>
      <c r="V66" s="1"/>
      <c r="W66" s="1"/>
      <c r="X66" s="1"/>
      <c r="Y66" s="1"/>
      <c r="Z66" s="1"/>
    </row>
    <row r="67" ht="18.75" customHeight="1">
      <c r="A67" s="1"/>
      <c r="B67" s="1"/>
      <c r="C67" s="1"/>
      <c r="D67" s="228"/>
      <c r="E67" s="228"/>
      <c r="F67" s="228"/>
      <c r="G67" s="1"/>
      <c r="H67" s="1"/>
      <c r="I67" s="1"/>
      <c r="J67" s="1"/>
      <c r="K67" s="1"/>
      <c r="L67" s="1"/>
      <c r="M67" s="1"/>
      <c r="N67" s="1"/>
      <c r="O67" s="1"/>
      <c r="P67" s="1"/>
      <c r="Q67" s="1"/>
      <c r="R67" s="1"/>
      <c r="S67" s="1"/>
      <c r="T67" s="1"/>
      <c r="U67" s="1"/>
      <c r="V67" s="1"/>
      <c r="W67" s="1"/>
      <c r="X67" s="1"/>
      <c r="Y67" s="1"/>
      <c r="Z67" s="1"/>
    </row>
    <row r="68" ht="18.75" customHeight="1">
      <c r="A68" s="1"/>
      <c r="B68" s="1"/>
      <c r="C68" s="1"/>
      <c r="D68" s="228"/>
      <c r="E68" s="228"/>
      <c r="F68" s="228"/>
      <c r="G68" s="1"/>
      <c r="H68" s="1"/>
      <c r="I68" s="1"/>
      <c r="J68" s="1"/>
      <c r="K68" s="1"/>
      <c r="L68" s="1"/>
      <c r="M68" s="1"/>
      <c r="N68" s="1"/>
      <c r="O68" s="1"/>
      <c r="P68" s="1"/>
      <c r="Q68" s="1"/>
      <c r="R68" s="1"/>
      <c r="S68" s="1"/>
      <c r="T68" s="1"/>
      <c r="U68" s="1"/>
      <c r="V68" s="1"/>
      <c r="W68" s="1"/>
      <c r="X68" s="1"/>
      <c r="Y68" s="1"/>
      <c r="Z68" s="1"/>
    </row>
    <row r="69" ht="18.75" customHeight="1">
      <c r="A69" s="1"/>
      <c r="B69" s="1"/>
      <c r="C69" s="1"/>
      <c r="D69" s="228"/>
      <c r="E69" s="228"/>
      <c r="F69" s="228"/>
      <c r="G69" s="1"/>
      <c r="H69" s="1"/>
      <c r="I69" s="1"/>
      <c r="J69" s="1"/>
      <c r="K69" s="1"/>
      <c r="L69" s="1"/>
      <c r="M69" s="1"/>
      <c r="N69" s="1"/>
      <c r="O69" s="1"/>
      <c r="P69" s="1"/>
      <c r="Q69" s="1"/>
      <c r="R69" s="1"/>
      <c r="S69" s="1"/>
      <c r="T69" s="1"/>
      <c r="U69" s="1"/>
      <c r="V69" s="1"/>
      <c r="W69" s="1"/>
      <c r="X69" s="1"/>
      <c r="Y69" s="1"/>
      <c r="Z69" s="1"/>
    </row>
    <row r="70" ht="18.75" customHeight="1">
      <c r="A70" s="1"/>
      <c r="B70" s="1"/>
      <c r="C70" s="1"/>
      <c r="D70" s="228"/>
      <c r="E70" s="228"/>
      <c r="F70" s="228"/>
      <c r="G70" s="1"/>
      <c r="H70" s="1"/>
      <c r="I70" s="1"/>
      <c r="J70" s="1"/>
      <c r="K70" s="1"/>
      <c r="L70" s="1"/>
      <c r="M70" s="1"/>
      <c r="N70" s="1"/>
      <c r="O70" s="1"/>
      <c r="P70" s="1"/>
      <c r="Q70" s="1"/>
      <c r="R70" s="1"/>
      <c r="S70" s="1"/>
      <c r="T70" s="1"/>
      <c r="U70" s="1"/>
      <c r="V70" s="1"/>
      <c r="W70" s="1"/>
      <c r="X70" s="1"/>
      <c r="Y70" s="1"/>
      <c r="Z70" s="1"/>
    </row>
    <row r="71" ht="18.75" customHeight="1">
      <c r="A71" s="1"/>
      <c r="B71" s="1"/>
      <c r="C71" s="1"/>
      <c r="D71" s="228"/>
      <c r="E71" s="228"/>
      <c r="F71" s="228"/>
      <c r="G71" s="1"/>
      <c r="H71" s="1"/>
      <c r="I71" s="1"/>
      <c r="J71" s="1"/>
      <c r="K71" s="1"/>
      <c r="L71" s="1"/>
      <c r="M71" s="1"/>
      <c r="N71" s="1"/>
      <c r="O71" s="1"/>
      <c r="P71" s="1"/>
      <c r="Q71" s="1"/>
      <c r="R71" s="1"/>
      <c r="S71" s="1"/>
      <c r="T71" s="1"/>
      <c r="U71" s="1"/>
      <c r="V71" s="1"/>
      <c r="W71" s="1"/>
      <c r="X71" s="1"/>
      <c r="Y71" s="1"/>
      <c r="Z71" s="1"/>
    </row>
    <row r="72" ht="18.75" customHeight="1">
      <c r="A72" s="1"/>
      <c r="B72" s="1"/>
      <c r="C72" s="1"/>
      <c r="D72" s="228"/>
      <c r="E72" s="228"/>
      <c r="F72" s="228"/>
      <c r="G72" s="1"/>
      <c r="H72" s="1"/>
      <c r="I72" s="1"/>
      <c r="J72" s="1"/>
      <c r="K72" s="1"/>
      <c r="L72" s="1"/>
      <c r="M72" s="1"/>
      <c r="N72" s="1"/>
      <c r="O72" s="1"/>
      <c r="P72" s="1"/>
      <c r="Q72" s="1"/>
      <c r="R72" s="1"/>
      <c r="S72" s="1"/>
      <c r="T72" s="1"/>
      <c r="U72" s="1"/>
      <c r="V72" s="1"/>
      <c r="W72" s="1"/>
      <c r="X72" s="1"/>
      <c r="Y72" s="1"/>
      <c r="Z72" s="1"/>
    </row>
    <row r="73" ht="18.75" customHeight="1">
      <c r="A73" s="1"/>
      <c r="B73" s="1"/>
      <c r="C73" s="1"/>
      <c r="D73" s="228"/>
      <c r="E73" s="228"/>
      <c r="F73" s="228"/>
      <c r="G73" s="1"/>
      <c r="H73" s="1"/>
      <c r="I73" s="1"/>
      <c r="J73" s="1"/>
      <c r="K73" s="1"/>
      <c r="L73" s="1"/>
      <c r="M73" s="1"/>
      <c r="N73" s="1"/>
      <c r="O73" s="1"/>
      <c r="P73" s="1"/>
      <c r="Q73" s="1"/>
      <c r="R73" s="1"/>
      <c r="S73" s="1"/>
      <c r="T73" s="1"/>
      <c r="U73" s="1"/>
      <c r="V73" s="1"/>
      <c r="W73" s="1"/>
      <c r="X73" s="1"/>
      <c r="Y73" s="1"/>
      <c r="Z73" s="1"/>
    </row>
    <row r="74" ht="18.75" customHeight="1">
      <c r="A74" s="1"/>
      <c r="B74" s="1"/>
      <c r="C74" s="1"/>
      <c r="D74" s="228"/>
      <c r="E74" s="228"/>
      <c r="F74" s="228"/>
      <c r="G74" s="1"/>
      <c r="H74" s="1"/>
      <c r="I74" s="1"/>
      <c r="J74" s="1"/>
      <c r="K74" s="1"/>
      <c r="L74" s="1"/>
      <c r="M74" s="1"/>
      <c r="N74" s="1"/>
      <c r="O74" s="1"/>
      <c r="P74" s="1"/>
      <c r="Q74" s="1"/>
      <c r="R74" s="1"/>
      <c r="S74" s="1"/>
      <c r="T74" s="1"/>
      <c r="U74" s="1"/>
      <c r="V74" s="1"/>
      <c r="W74" s="1"/>
      <c r="X74" s="1"/>
      <c r="Y74" s="1"/>
      <c r="Z74" s="1"/>
    </row>
    <row r="75" ht="18.75" customHeight="1">
      <c r="A75" s="1"/>
      <c r="B75" s="1"/>
      <c r="C75" s="1"/>
      <c r="D75" s="228"/>
      <c r="E75" s="228"/>
      <c r="F75" s="228"/>
      <c r="G75" s="1"/>
      <c r="H75" s="1"/>
      <c r="I75" s="1"/>
      <c r="J75" s="1"/>
      <c r="K75" s="1"/>
      <c r="L75" s="1"/>
      <c r="M75" s="1"/>
      <c r="N75" s="1"/>
      <c r="O75" s="1"/>
      <c r="P75" s="1"/>
      <c r="Q75" s="1"/>
      <c r="R75" s="1"/>
      <c r="S75" s="1"/>
      <c r="T75" s="1"/>
      <c r="U75" s="1"/>
      <c r="V75" s="1"/>
      <c r="W75" s="1"/>
      <c r="X75" s="1"/>
      <c r="Y75" s="1"/>
      <c r="Z75" s="1"/>
    </row>
    <row r="76" ht="18.75" customHeight="1">
      <c r="A76" s="1"/>
      <c r="B76" s="1"/>
      <c r="C76" s="1"/>
      <c r="D76" s="228"/>
      <c r="E76" s="228"/>
      <c r="F76" s="228"/>
      <c r="G76" s="1"/>
      <c r="H76" s="1"/>
      <c r="I76" s="1"/>
      <c r="J76" s="1"/>
      <c r="K76" s="1"/>
      <c r="L76" s="1"/>
      <c r="M76" s="1"/>
      <c r="N76" s="1"/>
      <c r="O76" s="1"/>
      <c r="P76" s="1"/>
      <c r="Q76" s="1"/>
      <c r="R76" s="1"/>
      <c r="S76" s="1"/>
      <c r="T76" s="1"/>
      <c r="U76" s="1"/>
      <c r="V76" s="1"/>
      <c r="W76" s="1"/>
      <c r="X76" s="1"/>
      <c r="Y76" s="1"/>
      <c r="Z76" s="1"/>
    </row>
    <row r="77" ht="18.75" customHeight="1">
      <c r="A77" s="1"/>
      <c r="B77" s="1"/>
      <c r="C77" s="1"/>
      <c r="D77" s="228"/>
      <c r="E77" s="228"/>
      <c r="F77" s="228"/>
      <c r="G77" s="1"/>
      <c r="H77" s="1"/>
      <c r="I77" s="1"/>
      <c r="J77" s="1"/>
      <c r="K77" s="1"/>
      <c r="L77" s="1"/>
      <c r="M77" s="1"/>
      <c r="N77" s="1"/>
      <c r="O77" s="1"/>
      <c r="P77" s="1"/>
      <c r="Q77" s="1"/>
      <c r="R77" s="1"/>
      <c r="S77" s="1"/>
      <c r="T77" s="1"/>
      <c r="U77" s="1"/>
      <c r="V77" s="1"/>
      <c r="W77" s="1"/>
      <c r="X77" s="1"/>
      <c r="Y77" s="1"/>
      <c r="Z77" s="1"/>
    </row>
    <row r="78" ht="18.75" customHeight="1">
      <c r="A78" s="1"/>
      <c r="B78" s="1"/>
      <c r="C78" s="1"/>
      <c r="D78" s="228"/>
      <c r="E78" s="228"/>
      <c r="F78" s="228"/>
      <c r="G78" s="1"/>
      <c r="H78" s="1"/>
      <c r="I78" s="1"/>
      <c r="J78" s="1"/>
      <c r="K78" s="1"/>
      <c r="L78" s="1"/>
      <c r="M78" s="1"/>
      <c r="N78" s="1"/>
      <c r="O78" s="1"/>
      <c r="P78" s="1"/>
      <c r="Q78" s="1"/>
      <c r="R78" s="1"/>
      <c r="S78" s="1"/>
      <c r="T78" s="1"/>
      <c r="U78" s="1"/>
      <c r="V78" s="1"/>
      <c r="W78" s="1"/>
      <c r="X78" s="1"/>
      <c r="Y78" s="1"/>
      <c r="Z78" s="1"/>
    </row>
    <row r="79" ht="18.75" customHeight="1">
      <c r="A79" s="1"/>
      <c r="B79" s="1"/>
      <c r="C79" s="1"/>
      <c r="D79" s="228"/>
      <c r="E79" s="228"/>
      <c r="F79" s="228"/>
      <c r="G79" s="1"/>
      <c r="H79" s="1"/>
      <c r="I79" s="1"/>
      <c r="J79" s="1"/>
      <c r="K79" s="1"/>
      <c r="L79" s="1"/>
      <c r="M79" s="1"/>
      <c r="N79" s="1"/>
      <c r="O79" s="1"/>
      <c r="P79" s="1"/>
      <c r="Q79" s="1"/>
      <c r="R79" s="1"/>
      <c r="S79" s="1"/>
      <c r="T79" s="1"/>
      <c r="U79" s="1"/>
      <c r="V79" s="1"/>
      <c r="W79" s="1"/>
      <c r="X79" s="1"/>
      <c r="Y79" s="1"/>
      <c r="Z79" s="1"/>
    </row>
    <row r="80" ht="18.75" customHeight="1">
      <c r="A80" s="1"/>
      <c r="B80" s="1"/>
      <c r="C80" s="1"/>
      <c r="D80" s="228"/>
      <c r="E80" s="228"/>
      <c r="F80" s="228"/>
      <c r="G80" s="1"/>
      <c r="H80" s="1"/>
      <c r="I80" s="1"/>
      <c r="J80" s="1"/>
      <c r="K80" s="1"/>
      <c r="L80" s="1"/>
      <c r="M80" s="1"/>
      <c r="N80" s="1"/>
      <c r="O80" s="1"/>
      <c r="P80" s="1"/>
      <c r="Q80" s="1"/>
      <c r="R80" s="1"/>
      <c r="S80" s="1"/>
      <c r="T80" s="1"/>
      <c r="U80" s="1"/>
      <c r="V80" s="1"/>
      <c r="W80" s="1"/>
      <c r="X80" s="1"/>
      <c r="Y80" s="1"/>
      <c r="Z80" s="1"/>
    </row>
    <row r="81" ht="18.75" customHeight="1">
      <c r="A81" s="1"/>
      <c r="B81" s="1"/>
      <c r="C81" s="1"/>
      <c r="D81" s="228"/>
      <c r="E81" s="228"/>
      <c r="F81" s="228"/>
      <c r="G81" s="1"/>
      <c r="H81" s="1"/>
      <c r="I81" s="1"/>
      <c r="J81" s="1"/>
      <c r="K81" s="1"/>
      <c r="L81" s="1"/>
      <c r="M81" s="1"/>
      <c r="N81" s="1"/>
      <c r="O81" s="1"/>
      <c r="P81" s="1"/>
      <c r="Q81" s="1"/>
      <c r="R81" s="1"/>
      <c r="S81" s="1"/>
      <c r="T81" s="1"/>
      <c r="U81" s="1"/>
      <c r="V81" s="1"/>
      <c r="W81" s="1"/>
      <c r="X81" s="1"/>
      <c r="Y81" s="1"/>
      <c r="Z81" s="1"/>
    </row>
    <row r="82" ht="18.75" customHeight="1">
      <c r="A82" s="1"/>
      <c r="B82" s="1"/>
      <c r="C82" s="1"/>
      <c r="D82" s="228"/>
      <c r="E82" s="228"/>
      <c r="F82" s="228"/>
      <c r="G82" s="1"/>
      <c r="H82" s="1"/>
      <c r="I82" s="1"/>
      <c r="J82" s="1"/>
      <c r="K82" s="1"/>
      <c r="L82" s="1"/>
      <c r="M82" s="1"/>
      <c r="N82" s="1"/>
      <c r="O82" s="1"/>
      <c r="P82" s="1"/>
      <c r="Q82" s="1"/>
      <c r="R82" s="1"/>
      <c r="S82" s="1"/>
      <c r="T82" s="1"/>
      <c r="U82" s="1"/>
      <c r="V82" s="1"/>
      <c r="W82" s="1"/>
      <c r="X82" s="1"/>
      <c r="Y82" s="1"/>
      <c r="Z82" s="1"/>
    </row>
    <row r="83" ht="18.75" customHeight="1">
      <c r="A83" s="1"/>
      <c r="B83" s="1"/>
      <c r="C83" s="1"/>
      <c r="D83" s="228"/>
      <c r="E83" s="228"/>
      <c r="F83" s="228"/>
      <c r="G83" s="1"/>
      <c r="H83" s="1"/>
      <c r="I83" s="1"/>
      <c r="J83" s="1"/>
      <c r="K83" s="1"/>
      <c r="L83" s="1"/>
      <c r="M83" s="1"/>
      <c r="N83" s="1"/>
      <c r="O83" s="1"/>
      <c r="P83" s="1"/>
      <c r="Q83" s="1"/>
      <c r="R83" s="1"/>
      <c r="S83" s="1"/>
      <c r="T83" s="1"/>
      <c r="U83" s="1"/>
      <c r="V83" s="1"/>
      <c r="W83" s="1"/>
      <c r="X83" s="1"/>
      <c r="Y83" s="1"/>
      <c r="Z83" s="1"/>
    </row>
    <row r="84" ht="18.75" customHeight="1">
      <c r="A84" s="1"/>
      <c r="B84" s="1"/>
      <c r="C84" s="1"/>
      <c r="D84" s="228"/>
      <c r="E84" s="228"/>
      <c r="F84" s="228"/>
      <c r="G84" s="1"/>
      <c r="H84" s="1"/>
      <c r="I84" s="1"/>
      <c r="J84" s="1"/>
      <c r="K84" s="1"/>
      <c r="L84" s="1"/>
      <c r="M84" s="1"/>
      <c r="N84" s="1"/>
      <c r="O84" s="1"/>
      <c r="P84" s="1"/>
      <c r="Q84" s="1"/>
      <c r="R84" s="1"/>
      <c r="S84" s="1"/>
      <c r="T84" s="1"/>
      <c r="U84" s="1"/>
      <c r="V84" s="1"/>
      <c r="W84" s="1"/>
      <c r="X84" s="1"/>
      <c r="Y84" s="1"/>
      <c r="Z84" s="1"/>
    </row>
    <row r="85" ht="18.75" customHeight="1">
      <c r="A85" s="1"/>
      <c r="B85" s="1"/>
      <c r="C85" s="1"/>
      <c r="D85" s="228"/>
      <c r="E85" s="228"/>
      <c r="F85" s="228"/>
      <c r="G85" s="1"/>
      <c r="H85" s="1"/>
      <c r="I85" s="1"/>
      <c r="J85" s="1"/>
      <c r="K85" s="1"/>
      <c r="L85" s="1"/>
      <c r="M85" s="1"/>
      <c r="N85" s="1"/>
      <c r="O85" s="1"/>
      <c r="P85" s="1"/>
      <c r="Q85" s="1"/>
      <c r="R85" s="1"/>
      <c r="S85" s="1"/>
      <c r="T85" s="1"/>
      <c r="U85" s="1"/>
      <c r="V85" s="1"/>
      <c r="W85" s="1"/>
      <c r="X85" s="1"/>
      <c r="Y85" s="1"/>
      <c r="Z85" s="1"/>
    </row>
    <row r="86" ht="18.75" customHeight="1">
      <c r="A86" s="1"/>
      <c r="B86" s="1"/>
      <c r="C86" s="1"/>
      <c r="D86" s="228"/>
      <c r="E86" s="228"/>
      <c r="F86" s="228"/>
      <c r="G86" s="1"/>
      <c r="H86" s="1"/>
      <c r="I86" s="1"/>
      <c r="J86" s="1"/>
      <c r="K86" s="1"/>
      <c r="L86" s="1"/>
      <c r="M86" s="1"/>
      <c r="N86" s="1"/>
      <c r="O86" s="1"/>
      <c r="P86" s="1"/>
      <c r="Q86" s="1"/>
      <c r="R86" s="1"/>
      <c r="S86" s="1"/>
      <c r="T86" s="1"/>
      <c r="U86" s="1"/>
      <c r="V86" s="1"/>
      <c r="W86" s="1"/>
      <c r="X86" s="1"/>
      <c r="Y86" s="1"/>
      <c r="Z86" s="1"/>
    </row>
    <row r="87" ht="18.75" customHeight="1">
      <c r="A87" s="1"/>
      <c r="B87" s="1"/>
      <c r="C87" s="1"/>
      <c r="D87" s="228"/>
      <c r="E87" s="228"/>
      <c r="F87" s="228"/>
      <c r="G87" s="1"/>
      <c r="H87" s="1"/>
      <c r="I87" s="1"/>
      <c r="J87" s="1"/>
      <c r="K87" s="1"/>
      <c r="L87" s="1"/>
      <c r="M87" s="1"/>
      <c r="N87" s="1"/>
      <c r="O87" s="1"/>
      <c r="P87" s="1"/>
      <c r="Q87" s="1"/>
      <c r="R87" s="1"/>
      <c r="S87" s="1"/>
      <c r="T87" s="1"/>
      <c r="U87" s="1"/>
      <c r="V87" s="1"/>
      <c r="W87" s="1"/>
      <c r="X87" s="1"/>
      <c r="Y87" s="1"/>
      <c r="Z87" s="1"/>
    </row>
    <row r="88" ht="18.75" customHeight="1">
      <c r="A88" s="1"/>
      <c r="B88" s="1"/>
      <c r="C88" s="1"/>
      <c r="D88" s="228"/>
      <c r="E88" s="228"/>
      <c r="F88" s="228"/>
      <c r="G88" s="1"/>
      <c r="H88" s="1"/>
      <c r="I88" s="1"/>
      <c r="J88" s="1"/>
      <c r="K88" s="1"/>
      <c r="L88" s="1"/>
      <c r="M88" s="1"/>
      <c r="N88" s="1"/>
      <c r="O88" s="1"/>
      <c r="P88" s="1"/>
      <c r="Q88" s="1"/>
      <c r="R88" s="1"/>
      <c r="S88" s="1"/>
      <c r="T88" s="1"/>
      <c r="U88" s="1"/>
      <c r="V88" s="1"/>
      <c r="W88" s="1"/>
      <c r="X88" s="1"/>
      <c r="Y88" s="1"/>
      <c r="Z88" s="1"/>
    </row>
    <row r="89" ht="18.75" customHeight="1">
      <c r="A89" s="1"/>
      <c r="B89" s="1"/>
      <c r="C89" s="1"/>
      <c r="D89" s="228"/>
      <c r="E89" s="228"/>
      <c r="F89" s="228"/>
      <c r="G89" s="1"/>
      <c r="H89" s="1"/>
      <c r="I89" s="1"/>
      <c r="J89" s="1"/>
      <c r="K89" s="1"/>
      <c r="L89" s="1"/>
      <c r="M89" s="1"/>
      <c r="N89" s="1"/>
      <c r="O89" s="1"/>
      <c r="P89" s="1"/>
      <c r="Q89" s="1"/>
      <c r="R89" s="1"/>
      <c r="S89" s="1"/>
      <c r="T89" s="1"/>
      <c r="U89" s="1"/>
      <c r="V89" s="1"/>
      <c r="W89" s="1"/>
      <c r="X89" s="1"/>
      <c r="Y89" s="1"/>
      <c r="Z89" s="1"/>
    </row>
    <row r="90" ht="18.75" customHeight="1">
      <c r="A90" s="1"/>
      <c r="B90" s="1"/>
      <c r="C90" s="1"/>
      <c r="D90" s="228"/>
      <c r="E90" s="228"/>
      <c r="F90" s="228"/>
      <c r="G90" s="1"/>
      <c r="H90" s="1"/>
      <c r="I90" s="1"/>
      <c r="J90" s="1"/>
      <c r="K90" s="1"/>
      <c r="L90" s="1"/>
      <c r="M90" s="1"/>
      <c r="N90" s="1"/>
      <c r="O90" s="1"/>
      <c r="P90" s="1"/>
      <c r="Q90" s="1"/>
      <c r="R90" s="1"/>
      <c r="S90" s="1"/>
      <c r="T90" s="1"/>
      <c r="U90" s="1"/>
      <c r="V90" s="1"/>
      <c r="W90" s="1"/>
      <c r="X90" s="1"/>
      <c r="Y90" s="1"/>
      <c r="Z90" s="1"/>
    </row>
    <row r="91" ht="18.75" customHeight="1">
      <c r="A91" s="1"/>
      <c r="B91" s="1"/>
      <c r="C91" s="1"/>
      <c r="D91" s="228"/>
      <c r="E91" s="228"/>
      <c r="F91" s="228"/>
      <c r="G91" s="1"/>
      <c r="H91" s="1"/>
      <c r="I91" s="1"/>
      <c r="J91" s="1"/>
      <c r="K91" s="1"/>
      <c r="L91" s="1"/>
      <c r="M91" s="1"/>
      <c r="N91" s="1"/>
      <c r="O91" s="1"/>
      <c r="P91" s="1"/>
      <c r="Q91" s="1"/>
      <c r="R91" s="1"/>
      <c r="S91" s="1"/>
      <c r="T91" s="1"/>
      <c r="U91" s="1"/>
      <c r="V91" s="1"/>
      <c r="W91" s="1"/>
      <c r="X91" s="1"/>
      <c r="Y91" s="1"/>
      <c r="Z91" s="1"/>
    </row>
    <row r="92" ht="18.75" customHeight="1">
      <c r="A92" s="1"/>
      <c r="B92" s="1"/>
      <c r="C92" s="1"/>
      <c r="D92" s="228"/>
      <c r="E92" s="228"/>
      <c r="F92" s="228"/>
      <c r="G92" s="1"/>
      <c r="H92" s="1"/>
      <c r="I92" s="1"/>
      <c r="J92" s="1"/>
      <c r="K92" s="1"/>
      <c r="L92" s="1"/>
      <c r="M92" s="1"/>
      <c r="N92" s="1"/>
      <c r="O92" s="1"/>
      <c r="P92" s="1"/>
      <c r="Q92" s="1"/>
      <c r="R92" s="1"/>
      <c r="S92" s="1"/>
      <c r="T92" s="1"/>
      <c r="U92" s="1"/>
      <c r="V92" s="1"/>
      <c r="W92" s="1"/>
      <c r="X92" s="1"/>
      <c r="Y92" s="1"/>
      <c r="Z92" s="1"/>
    </row>
    <row r="93" ht="18.75" customHeight="1">
      <c r="A93" s="1"/>
      <c r="B93" s="1"/>
      <c r="C93" s="1"/>
      <c r="D93" s="228"/>
      <c r="E93" s="228"/>
      <c r="F93" s="228"/>
      <c r="G93" s="1"/>
      <c r="H93" s="1"/>
      <c r="I93" s="1"/>
      <c r="J93" s="1"/>
      <c r="K93" s="1"/>
      <c r="L93" s="1"/>
      <c r="M93" s="1"/>
      <c r="N93" s="1"/>
      <c r="O93" s="1"/>
      <c r="P93" s="1"/>
      <c r="Q93" s="1"/>
      <c r="R93" s="1"/>
      <c r="S93" s="1"/>
      <c r="T93" s="1"/>
      <c r="U93" s="1"/>
      <c r="V93" s="1"/>
      <c r="W93" s="1"/>
      <c r="X93" s="1"/>
      <c r="Y93" s="1"/>
      <c r="Z93" s="1"/>
    </row>
    <row r="94" ht="18.75" customHeight="1">
      <c r="A94" s="1"/>
      <c r="B94" s="1"/>
      <c r="C94" s="1"/>
      <c r="D94" s="228"/>
      <c r="E94" s="228"/>
      <c r="F94" s="228"/>
      <c r="G94" s="1"/>
      <c r="H94" s="1"/>
      <c r="I94" s="1"/>
      <c r="J94" s="1"/>
      <c r="K94" s="1"/>
      <c r="L94" s="1"/>
      <c r="M94" s="1"/>
      <c r="N94" s="1"/>
      <c r="O94" s="1"/>
      <c r="P94" s="1"/>
      <c r="Q94" s="1"/>
      <c r="R94" s="1"/>
      <c r="S94" s="1"/>
      <c r="T94" s="1"/>
      <c r="U94" s="1"/>
      <c r="V94" s="1"/>
      <c r="W94" s="1"/>
      <c r="X94" s="1"/>
      <c r="Y94" s="1"/>
      <c r="Z94" s="1"/>
    </row>
    <row r="95" ht="18.75" customHeight="1">
      <c r="A95" s="1"/>
      <c r="B95" s="1"/>
      <c r="C95" s="1"/>
      <c r="D95" s="228"/>
      <c r="E95" s="228"/>
      <c r="F95" s="228"/>
      <c r="G95" s="1"/>
      <c r="H95" s="1"/>
      <c r="I95" s="1"/>
      <c r="J95" s="1"/>
      <c r="K95" s="1"/>
      <c r="L95" s="1"/>
      <c r="M95" s="1"/>
      <c r="N95" s="1"/>
      <c r="O95" s="1"/>
      <c r="P95" s="1"/>
      <c r="Q95" s="1"/>
      <c r="R95" s="1"/>
      <c r="S95" s="1"/>
      <c r="T95" s="1"/>
      <c r="U95" s="1"/>
      <c r="V95" s="1"/>
      <c r="W95" s="1"/>
      <c r="X95" s="1"/>
      <c r="Y95" s="1"/>
      <c r="Z95" s="1"/>
    </row>
    <row r="96" ht="18.75" customHeight="1">
      <c r="A96" s="1"/>
      <c r="B96" s="1"/>
      <c r="C96" s="1"/>
      <c r="D96" s="228"/>
      <c r="E96" s="228"/>
      <c r="F96" s="228"/>
      <c r="G96" s="1"/>
      <c r="H96" s="1"/>
      <c r="I96" s="1"/>
      <c r="J96" s="1"/>
      <c r="K96" s="1"/>
      <c r="L96" s="1"/>
      <c r="M96" s="1"/>
      <c r="N96" s="1"/>
      <c r="O96" s="1"/>
      <c r="P96" s="1"/>
      <c r="Q96" s="1"/>
      <c r="R96" s="1"/>
      <c r="S96" s="1"/>
      <c r="T96" s="1"/>
      <c r="U96" s="1"/>
      <c r="V96" s="1"/>
      <c r="W96" s="1"/>
      <c r="X96" s="1"/>
      <c r="Y96" s="1"/>
      <c r="Z96" s="1"/>
    </row>
    <row r="97" ht="18.75" customHeight="1">
      <c r="A97" s="1"/>
      <c r="B97" s="1"/>
      <c r="C97" s="1"/>
      <c r="D97" s="228"/>
      <c r="E97" s="228"/>
      <c r="F97" s="228"/>
      <c r="G97" s="1"/>
      <c r="H97" s="1"/>
      <c r="I97" s="1"/>
      <c r="J97" s="1"/>
      <c r="K97" s="1"/>
      <c r="L97" s="1"/>
      <c r="M97" s="1"/>
      <c r="N97" s="1"/>
      <c r="O97" s="1"/>
      <c r="P97" s="1"/>
      <c r="Q97" s="1"/>
      <c r="R97" s="1"/>
      <c r="S97" s="1"/>
      <c r="T97" s="1"/>
      <c r="U97" s="1"/>
      <c r="V97" s="1"/>
      <c r="W97" s="1"/>
      <c r="X97" s="1"/>
      <c r="Y97" s="1"/>
      <c r="Z97" s="1"/>
    </row>
    <row r="98" ht="18.75" customHeight="1">
      <c r="A98" s="1"/>
      <c r="B98" s="1"/>
      <c r="C98" s="1"/>
      <c r="D98" s="228"/>
      <c r="E98" s="228"/>
      <c r="F98" s="228"/>
      <c r="G98" s="1"/>
      <c r="H98" s="1"/>
      <c r="I98" s="1"/>
      <c r="J98" s="1"/>
      <c r="K98" s="1"/>
      <c r="L98" s="1"/>
      <c r="M98" s="1"/>
      <c r="N98" s="1"/>
      <c r="O98" s="1"/>
      <c r="P98" s="1"/>
      <c r="Q98" s="1"/>
      <c r="R98" s="1"/>
      <c r="S98" s="1"/>
      <c r="T98" s="1"/>
      <c r="U98" s="1"/>
      <c r="V98" s="1"/>
      <c r="W98" s="1"/>
      <c r="X98" s="1"/>
      <c r="Y98" s="1"/>
      <c r="Z98" s="1"/>
    </row>
    <row r="99" ht="18.75" customHeight="1">
      <c r="A99" s="1"/>
      <c r="B99" s="1"/>
      <c r="C99" s="1"/>
      <c r="D99" s="228"/>
      <c r="E99" s="228"/>
      <c r="F99" s="228"/>
      <c r="G99" s="1"/>
      <c r="H99" s="1"/>
      <c r="I99" s="1"/>
      <c r="J99" s="1"/>
      <c r="K99" s="1"/>
      <c r="L99" s="1"/>
      <c r="M99" s="1"/>
      <c r="N99" s="1"/>
      <c r="O99" s="1"/>
      <c r="P99" s="1"/>
      <c r="Q99" s="1"/>
      <c r="R99" s="1"/>
      <c r="S99" s="1"/>
      <c r="T99" s="1"/>
      <c r="U99" s="1"/>
      <c r="V99" s="1"/>
      <c r="W99" s="1"/>
      <c r="X99" s="1"/>
      <c r="Y99" s="1"/>
      <c r="Z99" s="1"/>
    </row>
    <row r="100" ht="18.75" customHeight="1">
      <c r="A100" s="1"/>
      <c r="B100" s="1"/>
      <c r="C100" s="1"/>
      <c r="D100" s="228"/>
      <c r="E100" s="228"/>
      <c r="F100" s="228"/>
      <c r="G100" s="1"/>
      <c r="H100" s="1"/>
      <c r="I100" s="1"/>
      <c r="J100" s="1"/>
      <c r="K100" s="1"/>
      <c r="L100" s="1"/>
      <c r="M100" s="1"/>
      <c r="N100" s="1"/>
      <c r="O100" s="1"/>
      <c r="P100" s="1"/>
      <c r="Q100" s="1"/>
      <c r="R100" s="1"/>
      <c r="S100" s="1"/>
      <c r="T100" s="1"/>
      <c r="U100" s="1"/>
      <c r="V100" s="1"/>
      <c r="W100" s="1"/>
      <c r="X100" s="1"/>
      <c r="Y100" s="1"/>
      <c r="Z100" s="1"/>
    </row>
    <row r="101" ht="18.75" customHeight="1">
      <c r="A101" s="1"/>
      <c r="B101" s="1"/>
      <c r="C101" s="1"/>
      <c r="D101" s="228"/>
      <c r="E101" s="228"/>
      <c r="F101" s="228"/>
      <c r="G101" s="1"/>
      <c r="H101" s="1"/>
      <c r="I101" s="1"/>
      <c r="J101" s="1"/>
      <c r="K101" s="1"/>
      <c r="L101" s="1"/>
      <c r="M101" s="1"/>
      <c r="N101" s="1"/>
      <c r="O101" s="1"/>
      <c r="P101" s="1"/>
      <c r="Q101" s="1"/>
      <c r="R101" s="1"/>
      <c r="S101" s="1"/>
      <c r="T101" s="1"/>
      <c r="U101" s="1"/>
      <c r="V101" s="1"/>
      <c r="W101" s="1"/>
      <c r="X101" s="1"/>
      <c r="Y101" s="1"/>
      <c r="Z101" s="1"/>
    </row>
    <row r="102" ht="18.75" customHeight="1">
      <c r="A102" s="1"/>
      <c r="B102" s="1"/>
      <c r="C102" s="1"/>
      <c r="D102" s="228"/>
      <c r="E102" s="228"/>
      <c r="F102" s="228"/>
      <c r="G102" s="1"/>
      <c r="H102" s="1"/>
      <c r="I102" s="1"/>
      <c r="J102" s="1"/>
      <c r="K102" s="1"/>
      <c r="L102" s="1"/>
      <c r="M102" s="1"/>
      <c r="N102" s="1"/>
      <c r="O102" s="1"/>
      <c r="P102" s="1"/>
      <c r="Q102" s="1"/>
      <c r="R102" s="1"/>
      <c r="S102" s="1"/>
      <c r="T102" s="1"/>
      <c r="U102" s="1"/>
      <c r="V102" s="1"/>
      <c r="W102" s="1"/>
      <c r="X102" s="1"/>
      <c r="Y102" s="1"/>
      <c r="Z102" s="1"/>
    </row>
    <row r="103" ht="18.75" customHeight="1">
      <c r="A103" s="1"/>
      <c r="B103" s="1"/>
      <c r="C103" s="1"/>
      <c r="D103" s="228"/>
      <c r="E103" s="228"/>
      <c r="F103" s="228"/>
      <c r="G103" s="1"/>
      <c r="H103" s="1"/>
      <c r="I103" s="1"/>
      <c r="J103" s="1"/>
      <c r="K103" s="1"/>
      <c r="L103" s="1"/>
      <c r="M103" s="1"/>
      <c r="N103" s="1"/>
      <c r="O103" s="1"/>
      <c r="P103" s="1"/>
      <c r="Q103" s="1"/>
      <c r="R103" s="1"/>
      <c r="S103" s="1"/>
      <c r="T103" s="1"/>
      <c r="U103" s="1"/>
      <c r="V103" s="1"/>
      <c r="W103" s="1"/>
      <c r="X103" s="1"/>
      <c r="Y103" s="1"/>
      <c r="Z103" s="1"/>
    </row>
    <row r="104" ht="18.75" customHeight="1">
      <c r="A104" s="1"/>
      <c r="B104" s="1"/>
      <c r="C104" s="1"/>
      <c r="D104" s="228"/>
      <c r="E104" s="228"/>
      <c r="F104" s="228"/>
      <c r="G104" s="1"/>
      <c r="H104" s="1"/>
      <c r="I104" s="1"/>
      <c r="J104" s="1"/>
      <c r="K104" s="1"/>
      <c r="L104" s="1"/>
      <c r="M104" s="1"/>
      <c r="N104" s="1"/>
      <c r="O104" s="1"/>
      <c r="P104" s="1"/>
      <c r="Q104" s="1"/>
      <c r="R104" s="1"/>
      <c r="S104" s="1"/>
      <c r="T104" s="1"/>
      <c r="U104" s="1"/>
      <c r="V104" s="1"/>
      <c r="W104" s="1"/>
      <c r="X104" s="1"/>
      <c r="Y104" s="1"/>
      <c r="Z104" s="1"/>
    </row>
    <row r="105" ht="18.75" customHeight="1">
      <c r="A105" s="1"/>
      <c r="B105" s="1"/>
      <c r="C105" s="1"/>
      <c r="D105" s="228"/>
      <c r="E105" s="228"/>
      <c r="F105" s="228"/>
      <c r="G105" s="1"/>
      <c r="H105" s="1"/>
      <c r="I105" s="1"/>
      <c r="J105" s="1"/>
      <c r="K105" s="1"/>
      <c r="L105" s="1"/>
      <c r="M105" s="1"/>
      <c r="N105" s="1"/>
      <c r="O105" s="1"/>
      <c r="P105" s="1"/>
      <c r="Q105" s="1"/>
      <c r="R105" s="1"/>
      <c r="S105" s="1"/>
      <c r="T105" s="1"/>
      <c r="U105" s="1"/>
      <c r="V105" s="1"/>
      <c r="W105" s="1"/>
      <c r="X105" s="1"/>
      <c r="Y105" s="1"/>
      <c r="Z105" s="1"/>
    </row>
    <row r="106" ht="18.75" customHeight="1">
      <c r="A106" s="1"/>
      <c r="B106" s="1"/>
      <c r="C106" s="1"/>
      <c r="D106" s="228"/>
      <c r="E106" s="228"/>
      <c r="F106" s="228"/>
      <c r="G106" s="1"/>
      <c r="H106" s="1"/>
      <c r="I106" s="1"/>
      <c r="J106" s="1"/>
      <c r="K106" s="1"/>
      <c r="L106" s="1"/>
      <c r="M106" s="1"/>
      <c r="N106" s="1"/>
      <c r="O106" s="1"/>
      <c r="P106" s="1"/>
      <c r="Q106" s="1"/>
      <c r="R106" s="1"/>
      <c r="S106" s="1"/>
      <c r="T106" s="1"/>
      <c r="U106" s="1"/>
      <c r="V106" s="1"/>
      <c r="W106" s="1"/>
      <c r="X106" s="1"/>
      <c r="Y106" s="1"/>
      <c r="Z106" s="1"/>
    </row>
    <row r="107" ht="18.75" customHeight="1">
      <c r="A107" s="1"/>
      <c r="B107" s="1"/>
      <c r="C107" s="1"/>
      <c r="D107" s="228"/>
      <c r="E107" s="228"/>
      <c r="F107" s="228"/>
      <c r="G107" s="1"/>
      <c r="H107" s="1"/>
      <c r="I107" s="1"/>
      <c r="J107" s="1"/>
      <c r="K107" s="1"/>
      <c r="L107" s="1"/>
      <c r="M107" s="1"/>
      <c r="N107" s="1"/>
      <c r="O107" s="1"/>
      <c r="P107" s="1"/>
      <c r="Q107" s="1"/>
      <c r="R107" s="1"/>
      <c r="S107" s="1"/>
      <c r="T107" s="1"/>
      <c r="U107" s="1"/>
      <c r="V107" s="1"/>
      <c r="W107" s="1"/>
      <c r="X107" s="1"/>
      <c r="Y107" s="1"/>
      <c r="Z107" s="1"/>
    </row>
    <row r="108" ht="18.75" customHeight="1">
      <c r="A108" s="1"/>
      <c r="B108" s="1"/>
      <c r="C108" s="1"/>
      <c r="D108" s="228"/>
      <c r="E108" s="228"/>
      <c r="F108" s="228"/>
      <c r="G108" s="1"/>
      <c r="H108" s="1"/>
      <c r="I108" s="1"/>
      <c r="J108" s="1"/>
      <c r="K108" s="1"/>
      <c r="L108" s="1"/>
      <c r="M108" s="1"/>
      <c r="N108" s="1"/>
      <c r="O108" s="1"/>
      <c r="P108" s="1"/>
      <c r="Q108" s="1"/>
      <c r="R108" s="1"/>
      <c r="S108" s="1"/>
      <c r="T108" s="1"/>
      <c r="U108" s="1"/>
      <c r="V108" s="1"/>
      <c r="W108" s="1"/>
      <c r="X108" s="1"/>
      <c r="Y108" s="1"/>
      <c r="Z108" s="1"/>
    </row>
    <row r="109" ht="18.75" customHeight="1">
      <c r="A109" s="1"/>
      <c r="B109" s="1"/>
      <c r="C109" s="1"/>
      <c r="D109" s="228"/>
      <c r="E109" s="228"/>
      <c r="F109" s="228"/>
      <c r="G109" s="1"/>
      <c r="H109" s="1"/>
      <c r="I109" s="1"/>
      <c r="J109" s="1"/>
      <c r="K109" s="1"/>
      <c r="L109" s="1"/>
      <c r="M109" s="1"/>
      <c r="N109" s="1"/>
      <c r="O109" s="1"/>
      <c r="P109" s="1"/>
      <c r="Q109" s="1"/>
      <c r="R109" s="1"/>
      <c r="S109" s="1"/>
      <c r="T109" s="1"/>
      <c r="U109" s="1"/>
      <c r="V109" s="1"/>
      <c r="W109" s="1"/>
      <c r="X109" s="1"/>
      <c r="Y109" s="1"/>
      <c r="Z109" s="1"/>
    </row>
    <row r="110" ht="18.75" customHeight="1">
      <c r="A110" s="1"/>
      <c r="B110" s="1"/>
      <c r="C110" s="1"/>
      <c r="D110" s="228"/>
      <c r="E110" s="228"/>
      <c r="F110" s="228"/>
      <c r="G110" s="1"/>
      <c r="H110" s="1"/>
      <c r="I110" s="1"/>
      <c r="J110" s="1"/>
      <c r="K110" s="1"/>
      <c r="L110" s="1"/>
      <c r="M110" s="1"/>
      <c r="N110" s="1"/>
      <c r="O110" s="1"/>
      <c r="P110" s="1"/>
      <c r="Q110" s="1"/>
      <c r="R110" s="1"/>
      <c r="S110" s="1"/>
      <c r="T110" s="1"/>
      <c r="U110" s="1"/>
      <c r="V110" s="1"/>
      <c r="W110" s="1"/>
      <c r="X110" s="1"/>
      <c r="Y110" s="1"/>
      <c r="Z110" s="1"/>
    </row>
    <row r="111" ht="18.75" customHeight="1">
      <c r="A111" s="1"/>
      <c r="B111" s="1"/>
      <c r="C111" s="1"/>
      <c r="D111" s="228"/>
      <c r="E111" s="228"/>
      <c r="F111" s="228"/>
      <c r="G111" s="1"/>
      <c r="H111" s="1"/>
      <c r="I111" s="1"/>
      <c r="J111" s="1"/>
      <c r="K111" s="1"/>
      <c r="L111" s="1"/>
      <c r="M111" s="1"/>
      <c r="N111" s="1"/>
      <c r="O111" s="1"/>
      <c r="P111" s="1"/>
      <c r="Q111" s="1"/>
      <c r="R111" s="1"/>
      <c r="S111" s="1"/>
      <c r="T111" s="1"/>
      <c r="U111" s="1"/>
      <c r="V111" s="1"/>
      <c r="W111" s="1"/>
      <c r="X111" s="1"/>
      <c r="Y111" s="1"/>
      <c r="Z111" s="1"/>
    </row>
    <row r="112" ht="18.75" customHeight="1">
      <c r="A112" s="1"/>
      <c r="B112" s="1"/>
      <c r="C112" s="1"/>
      <c r="D112" s="228"/>
      <c r="E112" s="228"/>
      <c r="F112" s="228"/>
      <c r="G112" s="1"/>
      <c r="H112" s="1"/>
      <c r="I112" s="1"/>
      <c r="J112" s="1"/>
      <c r="K112" s="1"/>
      <c r="L112" s="1"/>
      <c r="M112" s="1"/>
      <c r="N112" s="1"/>
      <c r="O112" s="1"/>
      <c r="P112" s="1"/>
      <c r="Q112" s="1"/>
      <c r="R112" s="1"/>
      <c r="S112" s="1"/>
      <c r="T112" s="1"/>
      <c r="U112" s="1"/>
      <c r="V112" s="1"/>
      <c r="W112" s="1"/>
      <c r="X112" s="1"/>
      <c r="Y112" s="1"/>
      <c r="Z112" s="1"/>
    </row>
    <row r="113" ht="18.75" customHeight="1">
      <c r="A113" s="1"/>
      <c r="B113" s="1"/>
      <c r="C113" s="1"/>
      <c r="D113" s="228"/>
      <c r="E113" s="228"/>
      <c r="F113" s="228"/>
      <c r="G113" s="1"/>
      <c r="H113" s="1"/>
      <c r="I113" s="1"/>
      <c r="J113" s="1"/>
      <c r="K113" s="1"/>
      <c r="L113" s="1"/>
      <c r="M113" s="1"/>
      <c r="N113" s="1"/>
      <c r="O113" s="1"/>
      <c r="P113" s="1"/>
      <c r="Q113" s="1"/>
      <c r="R113" s="1"/>
      <c r="S113" s="1"/>
      <c r="T113" s="1"/>
      <c r="U113" s="1"/>
      <c r="V113" s="1"/>
      <c r="W113" s="1"/>
      <c r="X113" s="1"/>
      <c r="Y113" s="1"/>
      <c r="Z113" s="1"/>
    </row>
    <row r="114" ht="18.75" customHeight="1">
      <c r="A114" s="1"/>
      <c r="B114" s="1"/>
      <c r="C114" s="1"/>
      <c r="D114" s="228"/>
      <c r="E114" s="228"/>
      <c r="F114" s="228"/>
      <c r="G114" s="1"/>
      <c r="H114" s="1"/>
      <c r="I114" s="1"/>
      <c r="J114" s="1"/>
      <c r="K114" s="1"/>
      <c r="L114" s="1"/>
      <c r="M114" s="1"/>
      <c r="N114" s="1"/>
      <c r="O114" s="1"/>
      <c r="P114" s="1"/>
      <c r="Q114" s="1"/>
      <c r="R114" s="1"/>
      <c r="S114" s="1"/>
      <c r="T114" s="1"/>
      <c r="U114" s="1"/>
      <c r="V114" s="1"/>
      <c r="W114" s="1"/>
      <c r="X114" s="1"/>
      <c r="Y114" s="1"/>
      <c r="Z114" s="1"/>
    </row>
    <row r="115" ht="18.75" customHeight="1">
      <c r="A115" s="1"/>
      <c r="B115" s="1"/>
      <c r="C115" s="1"/>
      <c r="D115" s="228"/>
      <c r="E115" s="228"/>
      <c r="F115" s="228"/>
      <c r="G115" s="1"/>
      <c r="H115" s="1"/>
      <c r="I115" s="1"/>
      <c r="J115" s="1"/>
      <c r="K115" s="1"/>
      <c r="L115" s="1"/>
      <c r="M115" s="1"/>
      <c r="N115" s="1"/>
      <c r="O115" s="1"/>
      <c r="P115" s="1"/>
      <c r="Q115" s="1"/>
      <c r="R115" s="1"/>
      <c r="S115" s="1"/>
      <c r="T115" s="1"/>
      <c r="U115" s="1"/>
      <c r="V115" s="1"/>
      <c r="W115" s="1"/>
      <c r="X115" s="1"/>
      <c r="Y115" s="1"/>
      <c r="Z115" s="1"/>
    </row>
    <row r="116" ht="18.75" customHeight="1">
      <c r="A116" s="1"/>
      <c r="B116" s="1"/>
      <c r="C116" s="1"/>
      <c r="D116" s="228"/>
      <c r="E116" s="228"/>
      <c r="F116" s="228"/>
      <c r="G116" s="1"/>
      <c r="H116" s="1"/>
      <c r="I116" s="1"/>
      <c r="J116" s="1"/>
      <c r="K116" s="1"/>
      <c r="L116" s="1"/>
      <c r="M116" s="1"/>
      <c r="N116" s="1"/>
      <c r="O116" s="1"/>
      <c r="P116" s="1"/>
      <c r="Q116" s="1"/>
      <c r="R116" s="1"/>
      <c r="S116" s="1"/>
      <c r="T116" s="1"/>
      <c r="U116" s="1"/>
      <c r="V116" s="1"/>
      <c r="W116" s="1"/>
      <c r="X116" s="1"/>
      <c r="Y116" s="1"/>
      <c r="Z116" s="1"/>
    </row>
    <row r="117" ht="18.75" customHeight="1">
      <c r="A117" s="1"/>
      <c r="B117" s="1"/>
      <c r="C117" s="1"/>
      <c r="D117" s="228"/>
      <c r="E117" s="228"/>
      <c r="F117" s="228"/>
      <c r="G117" s="1"/>
      <c r="H117" s="1"/>
      <c r="I117" s="1"/>
      <c r="J117" s="1"/>
      <c r="K117" s="1"/>
      <c r="L117" s="1"/>
      <c r="M117" s="1"/>
      <c r="N117" s="1"/>
      <c r="O117" s="1"/>
      <c r="P117" s="1"/>
      <c r="Q117" s="1"/>
      <c r="R117" s="1"/>
      <c r="S117" s="1"/>
      <c r="T117" s="1"/>
      <c r="U117" s="1"/>
      <c r="V117" s="1"/>
      <c r="W117" s="1"/>
      <c r="X117" s="1"/>
      <c r="Y117" s="1"/>
      <c r="Z117" s="1"/>
    </row>
    <row r="118" ht="18.75" customHeight="1">
      <c r="A118" s="1"/>
      <c r="B118" s="1"/>
      <c r="C118" s="1"/>
      <c r="D118" s="228"/>
      <c r="E118" s="228"/>
      <c r="F118" s="228"/>
      <c r="G118" s="1"/>
      <c r="H118" s="1"/>
      <c r="I118" s="1"/>
      <c r="J118" s="1"/>
      <c r="K118" s="1"/>
      <c r="L118" s="1"/>
      <c r="M118" s="1"/>
      <c r="N118" s="1"/>
      <c r="O118" s="1"/>
      <c r="P118" s="1"/>
      <c r="Q118" s="1"/>
      <c r="R118" s="1"/>
      <c r="S118" s="1"/>
      <c r="T118" s="1"/>
      <c r="U118" s="1"/>
      <c r="V118" s="1"/>
      <c r="W118" s="1"/>
      <c r="X118" s="1"/>
      <c r="Y118" s="1"/>
      <c r="Z118" s="1"/>
    </row>
    <row r="119" ht="18.75" customHeight="1">
      <c r="A119" s="1"/>
      <c r="B119" s="1"/>
      <c r="C119" s="1"/>
      <c r="D119" s="228"/>
      <c r="E119" s="228"/>
      <c r="F119" s="228"/>
      <c r="G119" s="1"/>
      <c r="H119" s="1"/>
      <c r="I119" s="1"/>
      <c r="J119" s="1"/>
      <c r="K119" s="1"/>
      <c r="L119" s="1"/>
      <c r="M119" s="1"/>
      <c r="N119" s="1"/>
      <c r="O119" s="1"/>
      <c r="P119" s="1"/>
      <c r="Q119" s="1"/>
      <c r="R119" s="1"/>
      <c r="S119" s="1"/>
      <c r="T119" s="1"/>
      <c r="U119" s="1"/>
      <c r="V119" s="1"/>
      <c r="W119" s="1"/>
      <c r="X119" s="1"/>
      <c r="Y119" s="1"/>
      <c r="Z119" s="1"/>
    </row>
    <row r="120" ht="18.75" customHeight="1">
      <c r="A120" s="1"/>
      <c r="B120" s="1"/>
      <c r="C120" s="1"/>
      <c r="D120" s="228"/>
      <c r="E120" s="228"/>
      <c r="F120" s="228"/>
      <c r="G120" s="1"/>
      <c r="H120" s="1"/>
      <c r="I120" s="1"/>
      <c r="J120" s="1"/>
      <c r="K120" s="1"/>
      <c r="L120" s="1"/>
      <c r="M120" s="1"/>
      <c r="N120" s="1"/>
      <c r="O120" s="1"/>
      <c r="P120" s="1"/>
      <c r="Q120" s="1"/>
      <c r="R120" s="1"/>
      <c r="S120" s="1"/>
      <c r="T120" s="1"/>
      <c r="U120" s="1"/>
      <c r="V120" s="1"/>
      <c r="W120" s="1"/>
      <c r="X120" s="1"/>
      <c r="Y120" s="1"/>
      <c r="Z120" s="1"/>
    </row>
    <row r="121" ht="18.75" customHeight="1">
      <c r="A121" s="1"/>
      <c r="B121" s="1"/>
      <c r="C121" s="1"/>
      <c r="D121" s="228"/>
      <c r="E121" s="228"/>
      <c r="F121" s="228"/>
      <c r="G121" s="1"/>
      <c r="H121" s="1"/>
      <c r="I121" s="1"/>
      <c r="J121" s="1"/>
      <c r="K121" s="1"/>
      <c r="L121" s="1"/>
      <c r="M121" s="1"/>
      <c r="N121" s="1"/>
      <c r="O121" s="1"/>
      <c r="P121" s="1"/>
      <c r="Q121" s="1"/>
      <c r="R121" s="1"/>
      <c r="S121" s="1"/>
      <c r="T121" s="1"/>
      <c r="U121" s="1"/>
      <c r="V121" s="1"/>
      <c r="W121" s="1"/>
      <c r="X121" s="1"/>
      <c r="Y121" s="1"/>
      <c r="Z121" s="1"/>
    </row>
    <row r="122" ht="18.75" customHeight="1">
      <c r="A122" s="1"/>
      <c r="B122" s="1"/>
      <c r="C122" s="1"/>
      <c r="D122" s="228"/>
      <c r="E122" s="228"/>
      <c r="F122" s="228"/>
      <c r="G122" s="1"/>
      <c r="H122" s="1"/>
      <c r="I122" s="1"/>
      <c r="J122" s="1"/>
      <c r="K122" s="1"/>
      <c r="L122" s="1"/>
      <c r="M122" s="1"/>
      <c r="N122" s="1"/>
      <c r="O122" s="1"/>
      <c r="P122" s="1"/>
      <c r="Q122" s="1"/>
      <c r="R122" s="1"/>
      <c r="S122" s="1"/>
      <c r="T122" s="1"/>
      <c r="U122" s="1"/>
      <c r="V122" s="1"/>
      <c r="W122" s="1"/>
      <c r="X122" s="1"/>
      <c r="Y122" s="1"/>
      <c r="Z122" s="1"/>
    </row>
    <row r="123" ht="18.75" customHeight="1">
      <c r="A123" s="1"/>
      <c r="B123" s="1"/>
      <c r="C123" s="1"/>
      <c r="D123" s="228"/>
      <c r="E123" s="228"/>
      <c r="F123" s="228"/>
      <c r="G123" s="1"/>
      <c r="H123" s="1"/>
      <c r="I123" s="1"/>
      <c r="J123" s="1"/>
      <c r="K123" s="1"/>
      <c r="L123" s="1"/>
      <c r="M123" s="1"/>
      <c r="N123" s="1"/>
      <c r="O123" s="1"/>
      <c r="P123" s="1"/>
      <c r="Q123" s="1"/>
      <c r="R123" s="1"/>
      <c r="S123" s="1"/>
      <c r="T123" s="1"/>
      <c r="U123" s="1"/>
      <c r="V123" s="1"/>
      <c r="W123" s="1"/>
      <c r="X123" s="1"/>
      <c r="Y123" s="1"/>
      <c r="Z123" s="1"/>
    </row>
    <row r="124" ht="18.75" customHeight="1">
      <c r="A124" s="1"/>
      <c r="B124" s="1"/>
      <c r="C124" s="1"/>
      <c r="D124" s="228"/>
      <c r="E124" s="228"/>
      <c r="F124" s="228"/>
      <c r="G124" s="1"/>
      <c r="H124" s="1"/>
      <c r="I124" s="1"/>
      <c r="J124" s="1"/>
      <c r="K124" s="1"/>
      <c r="L124" s="1"/>
      <c r="M124" s="1"/>
      <c r="N124" s="1"/>
      <c r="O124" s="1"/>
      <c r="P124" s="1"/>
      <c r="Q124" s="1"/>
      <c r="R124" s="1"/>
      <c r="S124" s="1"/>
      <c r="T124" s="1"/>
      <c r="U124" s="1"/>
      <c r="V124" s="1"/>
      <c r="W124" s="1"/>
      <c r="X124" s="1"/>
      <c r="Y124" s="1"/>
      <c r="Z124" s="1"/>
    </row>
    <row r="125" ht="18.75" customHeight="1">
      <c r="A125" s="1"/>
      <c r="B125" s="1"/>
      <c r="C125" s="1"/>
      <c r="D125" s="228"/>
      <c r="E125" s="228"/>
      <c r="F125" s="228"/>
      <c r="G125" s="1"/>
      <c r="H125" s="1"/>
      <c r="I125" s="1"/>
      <c r="J125" s="1"/>
      <c r="K125" s="1"/>
      <c r="L125" s="1"/>
      <c r="M125" s="1"/>
      <c r="N125" s="1"/>
      <c r="O125" s="1"/>
      <c r="P125" s="1"/>
      <c r="Q125" s="1"/>
      <c r="R125" s="1"/>
      <c r="S125" s="1"/>
      <c r="T125" s="1"/>
      <c r="U125" s="1"/>
      <c r="V125" s="1"/>
      <c r="W125" s="1"/>
      <c r="X125" s="1"/>
      <c r="Y125" s="1"/>
      <c r="Z125" s="1"/>
    </row>
    <row r="126" ht="18.75" customHeight="1">
      <c r="A126" s="1"/>
      <c r="B126" s="1"/>
      <c r="C126" s="1"/>
      <c r="D126" s="228"/>
      <c r="E126" s="228"/>
      <c r="F126" s="228"/>
      <c r="G126" s="1"/>
      <c r="H126" s="1"/>
      <c r="I126" s="1"/>
      <c r="J126" s="1"/>
      <c r="K126" s="1"/>
      <c r="L126" s="1"/>
      <c r="M126" s="1"/>
      <c r="N126" s="1"/>
      <c r="O126" s="1"/>
      <c r="P126" s="1"/>
      <c r="Q126" s="1"/>
      <c r="R126" s="1"/>
      <c r="S126" s="1"/>
      <c r="T126" s="1"/>
      <c r="U126" s="1"/>
      <c r="V126" s="1"/>
      <c r="W126" s="1"/>
      <c r="X126" s="1"/>
      <c r="Y126" s="1"/>
      <c r="Z126" s="1"/>
    </row>
    <row r="127" ht="18.75" customHeight="1">
      <c r="A127" s="1"/>
      <c r="B127" s="1"/>
      <c r="C127" s="1"/>
      <c r="D127" s="228"/>
      <c r="E127" s="228"/>
      <c r="F127" s="228"/>
      <c r="G127" s="1"/>
      <c r="H127" s="1"/>
      <c r="I127" s="1"/>
      <c r="J127" s="1"/>
      <c r="K127" s="1"/>
      <c r="L127" s="1"/>
      <c r="M127" s="1"/>
      <c r="N127" s="1"/>
      <c r="O127" s="1"/>
      <c r="P127" s="1"/>
      <c r="Q127" s="1"/>
      <c r="R127" s="1"/>
      <c r="S127" s="1"/>
      <c r="T127" s="1"/>
      <c r="U127" s="1"/>
      <c r="V127" s="1"/>
      <c r="W127" s="1"/>
      <c r="X127" s="1"/>
      <c r="Y127" s="1"/>
      <c r="Z127" s="1"/>
    </row>
    <row r="128" ht="18.75" customHeight="1">
      <c r="A128" s="1"/>
      <c r="B128" s="1"/>
      <c r="C128" s="1"/>
      <c r="D128" s="228"/>
      <c r="E128" s="228"/>
      <c r="F128" s="228"/>
      <c r="G128" s="1"/>
      <c r="H128" s="1"/>
      <c r="I128" s="1"/>
      <c r="J128" s="1"/>
      <c r="K128" s="1"/>
      <c r="L128" s="1"/>
      <c r="M128" s="1"/>
      <c r="N128" s="1"/>
      <c r="O128" s="1"/>
      <c r="P128" s="1"/>
      <c r="Q128" s="1"/>
      <c r="R128" s="1"/>
      <c r="S128" s="1"/>
      <c r="T128" s="1"/>
      <c r="U128" s="1"/>
      <c r="V128" s="1"/>
      <c r="W128" s="1"/>
      <c r="X128" s="1"/>
      <c r="Y128" s="1"/>
      <c r="Z128" s="1"/>
    </row>
    <row r="129" ht="18.75" customHeight="1">
      <c r="A129" s="1"/>
      <c r="B129" s="1"/>
      <c r="C129" s="1"/>
      <c r="D129" s="228"/>
      <c r="E129" s="228"/>
      <c r="F129" s="228"/>
      <c r="G129" s="1"/>
      <c r="H129" s="1"/>
      <c r="I129" s="1"/>
      <c r="J129" s="1"/>
      <c r="K129" s="1"/>
      <c r="L129" s="1"/>
      <c r="M129" s="1"/>
      <c r="N129" s="1"/>
      <c r="O129" s="1"/>
      <c r="P129" s="1"/>
      <c r="Q129" s="1"/>
      <c r="R129" s="1"/>
      <c r="S129" s="1"/>
      <c r="T129" s="1"/>
      <c r="U129" s="1"/>
      <c r="V129" s="1"/>
      <c r="W129" s="1"/>
      <c r="X129" s="1"/>
      <c r="Y129" s="1"/>
      <c r="Z129" s="1"/>
    </row>
    <row r="130" ht="18.75" customHeight="1">
      <c r="A130" s="1"/>
      <c r="B130" s="1"/>
      <c r="C130" s="1"/>
      <c r="D130" s="228"/>
      <c r="E130" s="228"/>
      <c r="F130" s="228"/>
      <c r="G130" s="1"/>
      <c r="H130" s="1"/>
      <c r="I130" s="1"/>
      <c r="J130" s="1"/>
      <c r="K130" s="1"/>
      <c r="L130" s="1"/>
      <c r="M130" s="1"/>
      <c r="N130" s="1"/>
      <c r="O130" s="1"/>
      <c r="P130" s="1"/>
      <c r="Q130" s="1"/>
      <c r="R130" s="1"/>
      <c r="S130" s="1"/>
      <c r="T130" s="1"/>
      <c r="U130" s="1"/>
      <c r="V130" s="1"/>
      <c r="W130" s="1"/>
      <c r="X130" s="1"/>
      <c r="Y130" s="1"/>
      <c r="Z130" s="1"/>
    </row>
    <row r="131" ht="18.75" customHeight="1">
      <c r="A131" s="1"/>
      <c r="B131" s="1"/>
      <c r="C131" s="1"/>
      <c r="D131" s="228"/>
      <c r="E131" s="228"/>
      <c r="F131" s="228"/>
      <c r="G131" s="1"/>
      <c r="H131" s="1"/>
      <c r="I131" s="1"/>
      <c r="J131" s="1"/>
      <c r="K131" s="1"/>
      <c r="L131" s="1"/>
      <c r="M131" s="1"/>
      <c r="N131" s="1"/>
      <c r="O131" s="1"/>
      <c r="P131" s="1"/>
      <c r="Q131" s="1"/>
      <c r="R131" s="1"/>
      <c r="S131" s="1"/>
      <c r="T131" s="1"/>
      <c r="U131" s="1"/>
      <c r="V131" s="1"/>
      <c r="W131" s="1"/>
      <c r="X131" s="1"/>
      <c r="Y131" s="1"/>
      <c r="Z131" s="1"/>
    </row>
    <row r="132" ht="18.75" customHeight="1">
      <c r="A132" s="1"/>
      <c r="B132" s="1"/>
      <c r="C132" s="1"/>
      <c r="D132" s="228"/>
      <c r="E132" s="228"/>
      <c r="F132" s="228"/>
      <c r="G132" s="1"/>
      <c r="H132" s="1"/>
      <c r="I132" s="1"/>
      <c r="J132" s="1"/>
      <c r="K132" s="1"/>
      <c r="L132" s="1"/>
      <c r="M132" s="1"/>
      <c r="N132" s="1"/>
      <c r="O132" s="1"/>
      <c r="P132" s="1"/>
      <c r="Q132" s="1"/>
      <c r="R132" s="1"/>
      <c r="S132" s="1"/>
      <c r="T132" s="1"/>
      <c r="U132" s="1"/>
      <c r="V132" s="1"/>
      <c r="W132" s="1"/>
      <c r="X132" s="1"/>
      <c r="Y132" s="1"/>
      <c r="Z132" s="1"/>
    </row>
    <row r="133" ht="18.75" customHeight="1">
      <c r="A133" s="1"/>
      <c r="B133" s="1"/>
      <c r="C133" s="1"/>
      <c r="D133" s="228"/>
      <c r="E133" s="228"/>
      <c r="F133" s="228"/>
      <c r="G133" s="1"/>
      <c r="H133" s="1"/>
      <c r="I133" s="1"/>
      <c r="J133" s="1"/>
      <c r="K133" s="1"/>
      <c r="L133" s="1"/>
      <c r="M133" s="1"/>
      <c r="N133" s="1"/>
      <c r="O133" s="1"/>
      <c r="P133" s="1"/>
      <c r="Q133" s="1"/>
      <c r="R133" s="1"/>
      <c r="S133" s="1"/>
      <c r="T133" s="1"/>
      <c r="U133" s="1"/>
      <c r="V133" s="1"/>
      <c r="W133" s="1"/>
      <c r="X133" s="1"/>
      <c r="Y133" s="1"/>
      <c r="Z133" s="1"/>
    </row>
    <row r="134" ht="18.75" customHeight="1">
      <c r="A134" s="1"/>
      <c r="B134" s="1"/>
      <c r="C134" s="1"/>
      <c r="D134" s="228"/>
      <c r="E134" s="228"/>
      <c r="F134" s="228"/>
      <c r="G134" s="1"/>
      <c r="H134" s="1"/>
      <c r="I134" s="1"/>
      <c r="J134" s="1"/>
      <c r="K134" s="1"/>
      <c r="L134" s="1"/>
      <c r="M134" s="1"/>
      <c r="N134" s="1"/>
      <c r="O134" s="1"/>
      <c r="P134" s="1"/>
      <c r="Q134" s="1"/>
      <c r="R134" s="1"/>
      <c r="S134" s="1"/>
      <c r="T134" s="1"/>
      <c r="U134" s="1"/>
      <c r="V134" s="1"/>
      <c r="W134" s="1"/>
      <c r="X134" s="1"/>
      <c r="Y134" s="1"/>
      <c r="Z134" s="1"/>
    </row>
    <row r="135" ht="18.75" customHeight="1">
      <c r="A135" s="1"/>
      <c r="B135" s="1"/>
      <c r="C135" s="1"/>
      <c r="D135" s="228"/>
      <c r="E135" s="228"/>
      <c r="F135" s="228"/>
      <c r="G135" s="1"/>
      <c r="H135" s="1"/>
      <c r="I135" s="1"/>
      <c r="J135" s="1"/>
      <c r="K135" s="1"/>
      <c r="L135" s="1"/>
      <c r="M135" s="1"/>
      <c r="N135" s="1"/>
      <c r="O135" s="1"/>
      <c r="P135" s="1"/>
      <c r="Q135" s="1"/>
      <c r="R135" s="1"/>
      <c r="S135" s="1"/>
      <c r="T135" s="1"/>
      <c r="U135" s="1"/>
      <c r="V135" s="1"/>
      <c r="W135" s="1"/>
      <c r="X135" s="1"/>
      <c r="Y135" s="1"/>
      <c r="Z135" s="1"/>
    </row>
    <row r="136" ht="18.75" customHeight="1">
      <c r="A136" s="1"/>
      <c r="B136" s="1"/>
      <c r="C136" s="1"/>
      <c r="D136" s="228"/>
      <c r="E136" s="228"/>
      <c r="F136" s="228"/>
      <c r="G136" s="1"/>
      <c r="H136" s="1"/>
      <c r="I136" s="1"/>
      <c r="J136" s="1"/>
      <c r="K136" s="1"/>
      <c r="L136" s="1"/>
      <c r="M136" s="1"/>
      <c r="N136" s="1"/>
      <c r="O136" s="1"/>
      <c r="P136" s="1"/>
      <c r="Q136" s="1"/>
      <c r="R136" s="1"/>
      <c r="S136" s="1"/>
      <c r="T136" s="1"/>
      <c r="U136" s="1"/>
      <c r="V136" s="1"/>
      <c r="W136" s="1"/>
      <c r="X136" s="1"/>
      <c r="Y136" s="1"/>
      <c r="Z136" s="1"/>
    </row>
    <row r="137" ht="18.75" customHeight="1">
      <c r="A137" s="1"/>
      <c r="B137" s="1"/>
      <c r="C137" s="1"/>
      <c r="D137" s="228"/>
      <c r="E137" s="228"/>
      <c r="F137" s="228"/>
      <c r="G137" s="1"/>
      <c r="H137" s="1"/>
      <c r="I137" s="1"/>
      <c r="J137" s="1"/>
      <c r="K137" s="1"/>
      <c r="L137" s="1"/>
      <c r="M137" s="1"/>
      <c r="N137" s="1"/>
      <c r="O137" s="1"/>
      <c r="P137" s="1"/>
      <c r="Q137" s="1"/>
      <c r="R137" s="1"/>
      <c r="S137" s="1"/>
      <c r="T137" s="1"/>
      <c r="U137" s="1"/>
      <c r="V137" s="1"/>
      <c r="W137" s="1"/>
      <c r="X137" s="1"/>
      <c r="Y137" s="1"/>
      <c r="Z137" s="1"/>
    </row>
    <row r="138" ht="18.75" customHeight="1">
      <c r="A138" s="1"/>
      <c r="B138" s="1"/>
      <c r="C138" s="1"/>
      <c r="D138" s="228"/>
      <c r="E138" s="228"/>
      <c r="F138" s="228"/>
      <c r="G138" s="1"/>
      <c r="H138" s="1"/>
      <c r="I138" s="1"/>
      <c r="J138" s="1"/>
      <c r="K138" s="1"/>
      <c r="L138" s="1"/>
      <c r="M138" s="1"/>
      <c r="N138" s="1"/>
      <c r="O138" s="1"/>
      <c r="P138" s="1"/>
      <c r="Q138" s="1"/>
      <c r="R138" s="1"/>
      <c r="S138" s="1"/>
      <c r="T138" s="1"/>
      <c r="U138" s="1"/>
      <c r="V138" s="1"/>
      <c r="W138" s="1"/>
      <c r="X138" s="1"/>
      <c r="Y138" s="1"/>
      <c r="Z138" s="1"/>
    </row>
    <row r="139" ht="18.75" customHeight="1">
      <c r="A139" s="1"/>
      <c r="B139" s="1"/>
      <c r="C139" s="1"/>
      <c r="D139" s="228"/>
      <c r="E139" s="228"/>
      <c r="F139" s="228"/>
      <c r="G139" s="1"/>
      <c r="H139" s="1"/>
      <c r="I139" s="1"/>
      <c r="J139" s="1"/>
      <c r="K139" s="1"/>
      <c r="L139" s="1"/>
      <c r="M139" s="1"/>
      <c r="N139" s="1"/>
      <c r="O139" s="1"/>
      <c r="P139" s="1"/>
      <c r="Q139" s="1"/>
      <c r="R139" s="1"/>
      <c r="S139" s="1"/>
      <c r="T139" s="1"/>
      <c r="U139" s="1"/>
      <c r="V139" s="1"/>
      <c r="W139" s="1"/>
      <c r="X139" s="1"/>
      <c r="Y139" s="1"/>
      <c r="Z139" s="1"/>
    </row>
    <row r="140" ht="18.75" customHeight="1">
      <c r="A140" s="1"/>
      <c r="B140" s="1"/>
      <c r="C140" s="1"/>
      <c r="D140" s="228"/>
      <c r="E140" s="228"/>
      <c r="F140" s="228"/>
      <c r="G140" s="1"/>
      <c r="H140" s="1"/>
      <c r="I140" s="1"/>
      <c r="J140" s="1"/>
      <c r="K140" s="1"/>
      <c r="L140" s="1"/>
      <c r="M140" s="1"/>
      <c r="N140" s="1"/>
      <c r="O140" s="1"/>
      <c r="P140" s="1"/>
      <c r="Q140" s="1"/>
      <c r="R140" s="1"/>
      <c r="S140" s="1"/>
      <c r="T140" s="1"/>
      <c r="U140" s="1"/>
      <c r="V140" s="1"/>
      <c r="W140" s="1"/>
      <c r="X140" s="1"/>
      <c r="Y140" s="1"/>
      <c r="Z140" s="1"/>
    </row>
    <row r="141" ht="18.75" customHeight="1">
      <c r="A141" s="1"/>
      <c r="B141" s="1"/>
      <c r="C141" s="1"/>
      <c r="D141" s="228"/>
      <c r="E141" s="228"/>
      <c r="F141" s="228"/>
      <c r="G141" s="1"/>
      <c r="H141" s="1"/>
      <c r="I141" s="1"/>
      <c r="J141" s="1"/>
      <c r="K141" s="1"/>
      <c r="L141" s="1"/>
      <c r="M141" s="1"/>
      <c r="N141" s="1"/>
      <c r="O141" s="1"/>
      <c r="P141" s="1"/>
      <c r="Q141" s="1"/>
      <c r="R141" s="1"/>
      <c r="S141" s="1"/>
      <c r="T141" s="1"/>
      <c r="U141" s="1"/>
      <c r="V141" s="1"/>
      <c r="W141" s="1"/>
      <c r="X141" s="1"/>
      <c r="Y141" s="1"/>
      <c r="Z141" s="1"/>
    </row>
    <row r="142" ht="18.75" customHeight="1">
      <c r="A142" s="1"/>
      <c r="B142" s="1"/>
      <c r="C142" s="1"/>
      <c r="D142" s="228"/>
      <c r="E142" s="228"/>
      <c r="F142" s="228"/>
      <c r="G142" s="1"/>
      <c r="H142" s="1"/>
      <c r="I142" s="1"/>
      <c r="J142" s="1"/>
      <c r="K142" s="1"/>
      <c r="L142" s="1"/>
      <c r="M142" s="1"/>
      <c r="N142" s="1"/>
      <c r="O142" s="1"/>
      <c r="P142" s="1"/>
      <c r="Q142" s="1"/>
      <c r="R142" s="1"/>
      <c r="S142" s="1"/>
      <c r="T142" s="1"/>
      <c r="U142" s="1"/>
      <c r="V142" s="1"/>
      <c r="W142" s="1"/>
      <c r="X142" s="1"/>
      <c r="Y142" s="1"/>
      <c r="Z142" s="1"/>
    </row>
    <row r="143" ht="18.75" customHeight="1">
      <c r="A143" s="1"/>
      <c r="B143" s="1"/>
      <c r="C143" s="1"/>
      <c r="D143" s="228"/>
      <c r="E143" s="228"/>
      <c r="F143" s="228"/>
      <c r="G143" s="1"/>
      <c r="H143" s="1"/>
      <c r="I143" s="1"/>
      <c r="J143" s="1"/>
      <c r="K143" s="1"/>
      <c r="L143" s="1"/>
      <c r="M143" s="1"/>
      <c r="N143" s="1"/>
      <c r="O143" s="1"/>
      <c r="P143" s="1"/>
      <c r="Q143" s="1"/>
      <c r="R143" s="1"/>
      <c r="S143" s="1"/>
      <c r="T143" s="1"/>
      <c r="U143" s="1"/>
      <c r="V143" s="1"/>
      <c r="W143" s="1"/>
      <c r="X143" s="1"/>
      <c r="Y143" s="1"/>
      <c r="Z143" s="1"/>
    </row>
    <row r="144" ht="18.75" customHeight="1">
      <c r="A144" s="1"/>
      <c r="B144" s="1"/>
      <c r="C144" s="1"/>
      <c r="D144" s="228"/>
      <c r="E144" s="228"/>
      <c r="F144" s="228"/>
      <c r="G144" s="1"/>
      <c r="H144" s="1"/>
      <c r="I144" s="1"/>
      <c r="J144" s="1"/>
      <c r="K144" s="1"/>
      <c r="L144" s="1"/>
      <c r="M144" s="1"/>
      <c r="N144" s="1"/>
      <c r="O144" s="1"/>
      <c r="P144" s="1"/>
      <c r="Q144" s="1"/>
      <c r="R144" s="1"/>
      <c r="S144" s="1"/>
      <c r="T144" s="1"/>
      <c r="U144" s="1"/>
      <c r="V144" s="1"/>
      <c r="W144" s="1"/>
      <c r="X144" s="1"/>
      <c r="Y144" s="1"/>
      <c r="Z144" s="1"/>
    </row>
    <row r="145" ht="18.75" customHeight="1">
      <c r="A145" s="1"/>
      <c r="B145" s="1"/>
      <c r="C145" s="1"/>
      <c r="D145" s="228"/>
      <c r="E145" s="228"/>
      <c r="F145" s="228"/>
      <c r="G145" s="1"/>
      <c r="H145" s="1"/>
      <c r="I145" s="1"/>
      <c r="J145" s="1"/>
      <c r="K145" s="1"/>
      <c r="L145" s="1"/>
      <c r="M145" s="1"/>
      <c r="N145" s="1"/>
      <c r="O145" s="1"/>
      <c r="P145" s="1"/>
      <c r="Q145" s="1"/>
      <c r="R145" s="1"/>
      <c r="S145" s="1"/>
      <c r="T145" s="1"/>
      <c r="U145" s="1"/>
      <c r="V145" s="1"/>
      <c r="W145" s="1"/>
      <c r="X145" s="1"/>
      <c r="Y145" s="1"/>
      <c r="Z145" s="1"/>
    </row>
    <row r="146" ht="18.75" customHeight="1">
      <c r="A146" s="1"/>
      <c r="B146" s="1"/>
      <c r="C146" s="1"/>
      <c r="D146" s="228"/>
      <c r="E146" s="228"/>
      <c r="F146" s="228"/>
      <c r="G146" s="1"/>
      <c r="H146" s="1"/>
      <c r="I146" s="1"/>
      <c r="J146" s="1"/>
      <c r="K146" s="1"/>
      <c r="L146" s="1"/>
      <c r="M146" s="1"/>
      <c r="N146" s="1"/>
      <c r="O146" s="1"/>
      <c r="P146" s="1"/>
      <c r="Q146" s="1"/>
      <c r="R146" s="1"/>
      <c r="S146" s="1"/>
      <c r="T146" s="1"/>
      <c r="U146" s="1"/>
      <c r="V146" s="1"/>
      <c r="W146" s="1"/>
      <c r="X146" s="1"/>
      <c r="Y146" s="1"/>
      <c r="Z146" s="1"/>
    </row>
    <row r="147" ht="18.75" customHeight="1">
      <c r="A147" s="1"/>
      <c r="B147" s="1"/>
      <c r="C147" s="1"/>
      <c r="D147" s="228"/>
      <c r="E147" s="228"/>
      <c r="F147" s="228"/>
      <c r="G147" s="1"/>
      <c r="H147" s="1"/>
      <c r="I147" s="1"/>
      <c r="J147" s="1"/>
      <c r="K147" s="1"/>
      <c r="L147" s="1"/>
      <c r="M147" s="1"/>
      <c r="N147" s="1"/>
      <c r="O147" s="1"/>
      <c r="P147" s="1"/>
      <c r="Q147" s="1"/>
      <c r="R147" s="1"/>
      <c r="S147" s="1"/>
      <c r="T147" s="1"/>
      <c r="U147" s="1"/>
      <c r="V147" s="1"/>
      <c r="W147" s="1"/>
      <c r="X147" s="1"/>
      <c r="Y147" s="1"/>
      <c r="Z147" s="1"/>
    </row>
    <row r="148" ht="18.75" customHeight="1">
      <c r="A148" s="1"/>
      <c r="B148" s="1"/>
      <c r="C148" s="1"/>
      <c r="D148" s="228"/>
      <c r="E148" s="228"/>
      <c r="F148" s="228"/>
      <c r="G148" s="1"/>
      <c r="H148" s="1"/>
      <c r="I148" s="1"/>
      <c r="J148" s="1"/>
      <c r="K148" s="1"/>
      <c r="L148" s="1"/>
      <c r="M148" s="1"/>
      <c r="N148" s="1"/>
      <c r="O148" s="1"/>
      <c r="P148" s="1"/>
      <c r="Q148" s="1"/>
      <c r="R148" s="1"/>
      <c r="S148" s="1"/>
      <c r="T148" s="1"/>
      <c r="U148" s="1"/>
      <c r="V148" s="1"/>
      <c r="W148" s="1"/>
      <c r="X148" s="1"/>
      <c r="Y148" s="1"/>
      <c r="Z148" s="1"/>
    </row>
    <row r="149" ht="18.75" customHeight="1">
      <c r="A149" s="1"/>
      <c r="B149" s="1"/>
      <c r="C149" s="1"/>
      <c r="D149" s="228"/>
      <c r="E149" s="228"/>
      <c r="F149" s="228"/>
      <c r="G149" s="1"/>
      <c r="H149" s="1"/>
      <c r="I149" s="1"/>
      <c r="J149" s="1"/>
      <c r="K149" s="1"/>
      <c r="L149" s="1"/>
      <c r="M149" s="1"/>
      <c r="N149" s="1"/>
      <c r="O149" s="1"/>
      <c r="P149" s="1"/>
      <c r="Q149" s="1"/>
      <c r="R149" s="1"/>
      <c r="S149" s="1"/>
      <c r="T149" s="1"/>
      <c r="U149" s="1"/>
      <c r="V149" s="1"/>
      <c r="W149" s="1"/>
      <c r="X149" s="1"/>
      <c r="Y149" s="1"/>
      <c r="Z149" s="1"/>
    </row>
    <row r="150" ht="18.75" customHeight="1">
      <c r="A150" s="1"/>
      <c r="B150" s="1"/>
      <c r="C150" s="1"/>
      <c r="D150" s="228"/>
      <c r="E150" s="228"/>
      <c r="F150" s="228"/>
      <c r="G150" s="1"/>
      <c r="H150" s="1"/>
      <c r="I150" s="1"/>
      <c r="J150" s="1"/>
      <c r="K150" s="1"/>
      <c r="L150" s="1"/>
      <c r="M150" s="1"/>
      <c r="N150" s="1"/>
      <c r="O150" s="1"/>
      <c r="P150" s="1"/>
      <c r="Q150" s="1"/>
      <c r="R150" s="1"/>
      <c r="S150" s="1"/>
      <c r="T150" s="1"/>
      <c r="U150" s="1"/>
      <c r="V150" s="1"/>
      <c r="W150" s="1"/>
      <c r="X150" s="1"/>
      <c r="Y150" s="1"/>
      <c r="Z150" s="1"/>
    </row>
    <row r="151" ht="18.75" customHeight="1">
      <c r="A151" s="1"/>
      <c r="B151" s="1"/>
      <c r="C151" s="1"/>
      <c r="D151" s="228"/>
      <c r="E151" s="228"/>
      <c r="F151" s="228"/>
      <c r="G151" s="1"/>
      <c r="H151" s="1"/>
      <c r="I151" s="1"/>
      <c r="J151" s="1"/>
      <c r="K151" s="1"/>
      <c r="L151" s="1"/>
      <c r="M151" s="1"/>
      <c r="N151" s="1"/>
      <c r="O151" s="1"/>
      <c r="P151" s="1"/>
      <c r="Q151" s="1"/>
      <c r="R151" s="1"/>
      <c r="S151" s="1"/>
      <c r="T151" s="1"/>
      <c r="U151" s="1"/>
      <c r="V151" s="1"/>
      <c r="W151" s="1"/>
      <c r="X151" s="1"/>
      <c r="Y151" s="1"/>
      <c r="Z151" s="1"/>
    </row>
    <row r="152" ht="18.75" customHeight="1">
      <c r="A152" s="1"/>
      <c r="B152" s="1"/>
      <c r="C152" s="1"/>
      <c r="D152" s="228"/>
      <c r="E152" s="228"/>
      <c r="F152" s="228"/>
      <c r="G152" s="1"/>
      <c r="H152" s="1"/>
      <c r="I152" s="1"/>
      <c r="J152" s="1"/>
      <c r="K152" s="1"/>
      <c r="L152" s="1"/>
      <c r="M152" s="1"/>
      <c r="N152" s="1"/>
      <c r="O152" s="1"/>
      <c r="P152" s="1"/>
      <c r="Q152" s="1"/>
      <c r="R152" s="1"/>
      <c r="S152" s="1"/>
      <c r="T152" s="1"/>
      <c r="U152" s="1"/>
      <c r="V152" s="1"/>
      <c r="W152" s="1"/>
      <c r="X152" s="1"/>
      <c r="Y152" s="1"/>
      <c r="Z152" s="1"/>
    </row>
    <row r="153" ht="18.75" customHeight="1">
      <c r="A153" s="1"/>
      <c r="B153" s="1"/>
      <c r="C153" s="1"/>
      <c r="D153" s="228"/>
      <c r="E153" s="228"/>
      <c r="F153" s="228"/>
      <c r="G153" s="1"/>
      <c r="H153" s="1"/>
      <c r="I153" s="1"/>
      <c r="J153" s="1"/>
      <c r="K153" s="1"/>
      <c r="L153" s="1"/>
      <c r="M153" s="1"/>
      <c r="N153" s="1"/>
      <c r="O153" s="1"/>
      <c r="P153" s="1"/>
      <c r="Q153" s="1"/>
      <c r="R153" s="1"/>
      <c r="S153" s="1"/>
      <c r="T153" s="1"/>
      <c r="U153" s="1"/>
      <c r="V153" s="1"/>
      <c r="W153" s="1"/>
      <c r="X153" s="1"/>
      <c r="Y153" s="1"/>
      <c r="Z153" s="1"/>
    </row>
    <row r="154" ht="18.75" customHeight="1">
      <c r="A154" s="1"/>
      <c r="B154" s="1"/>
      <c r="C154" s="1"/>
      <c r="D154" s="228"/>
      <c r="E154" s="228"/>
      <c r="F154" s="228"/>
      <c r="G154" s="1"/>
      <c r="H154" s="1"/>
      <c r="I154" s="1"/>
      <c r="J154" s="1"/>
      <c r="K154" s="1"/>
      <c r="L154" s="1"/>
      <c r="M154" s="1"/>
      <c r="N154" s="1"/>
      <c r="O154" s="1"/>
      <c r="P154" s="1"/>
      <c r="Q154" s="1"/>
      <c r="R154" s="1"/>
      <c r="S154" s="1"/>
      <c r="T154" s="1"/>
      <c r="U154" s="1"/>
      <c r="V154" s="1"/>
      <c r="W154" s="1"/>
      <c r="X154" s="1"/>
      <c r="Y154" s="1"/>
      <c r="Z154" s="1"/>
    </row>
    <row r="155" ht="18.75" customHeight="1">
      <c r="A155" s="1"/>
      <c r="B155" s="1"/>
      <c r="C155" s="1"/>
      <c r="D155" s="228"/>
      <c r="E155" s="228"/>
      <c r="F155" s="228"/>
      <c r="G155" s="1"/>
      <c r="H155" s="1"/>
      <c r="I155" s="1"/>
      <c r="J155" s="1"/>
      <c r="K155" s="1"/>
      <c r="L155" s="1"/>
      <c r="M155" s="1"/>
      <c r="N155" s="1"/>
      <c r="O155" s="1"/>
      <c r="P155" s="1"/>
      <c r="Q155" s="1"/>
      <c r="R155" s="1"/>
      <c r="S155" s="1"/>
      <c r="T155" s="1"/>
      <c r="U155" s="1"/>
      <c r="V155" s="1"/>
      <c r="W155" s="1"/>
      <c r="X155" s="1"/>
      <c r="Y155" s="1"/>
      <c r="Z155" s="1"/>
    </row>
    <row r="156" ht="18.75" customHeight="1">
      <c r="A156" s="1"/>
      <c r="B156" s="1"/>
      <c r="C156" s="1"/>
      <c r="D156" s="228"/>
      <c r="E156" s="228"/>
      <c r="F156" s="228"/>
      <c r="G156" s="1"/>
      <c r="H156" s="1"/>
      <c r="I156" s="1"/>
      <c r="J156" s="1"/>
      <c r="K156" s="1"/>
      <c r="L156" s="1"/>
      <c r="M156" s="1"/>
      <c r="N156" s="1"/>
      <c r="O156" s="1"/>
      <c r="P156" s="1"/>
      <c r="Q156" s="1"/>
      <c r="R156" s="1"/>
      <c r="S156" s="1"/>
      <c r="T156" s="1"/>
      <c r="U156" s="1"/>
      <c r="V156" s="1"/>
      <c r="W156" s="1"/>
      <c r="X156" s="1"/>
      <c r="Y156" s="1"/>
      <c r="Z156" s="1"/>
    </row>
    <row r="157" ht="18.75" customHeight="1">
      <c r="A157" s="1"/>
      <c r="B157" s="1"/>
      <c r="C157" s="1"/>
      <c r="D157" s="228"/>
      <c r="E157" s="228"/>
      <c r="F157" s="228"/>
      <c r="G157" s="1"/>
      <c r="H157" s="1"/>
      <c r="I157" s="1"/>
      <c r="J157" s="1"/>
      <c r="K157" s="1"/>
      <c r="L157" s="1"/>
      <c r="M157" s="1"/>
      <c r="N157" s="1"/>
      <c r="O157" s="1"/>
      <c r="P157" s="1"/>
      <c r="Q157" s="1"/>
      <c r="R157" s="1"/>
      <c r="S157" s="1"/>
      <c r="T157" s="1"/>
      <c r="U157" s="1"/>
      <c r="V157" s="1"/>
      <c r="W157" s="1"/>
      <c r="X157" s="1"/>
      <c r="Y157" s="1"/>
      <c r="Z157" s="1"/>
    </row>
    <row r="158" ht="18.75" customHeight="1">
      <c r="A158" s="1"/>
      <c r="B158" s="1"/>
      <c r="C158" s="1"/>
      <c r="D158" s="228"/>
      <c r="E158" s="228"/>
      <c r="F158" s="228"/>
      <c r="G158" s="1"/>
      <c r="H158" s="1"/>
      <c r="I158" s="1"/>
      <c r="J158" s="1"/>
      <c r="K158" s="1"/>
      <c r="L158" s="1"/>
      <c r="M158" s="1"/>
      <c r="N158" s="1"/>
      <c r="O158" s="1"/>
      <c r="P158" s="1"/>
      <c r="Q158" s="1"/>
      <c r="R158" s="1"/>
      <c r="S158" s="1"/>
      <c r="T158" s="1"/>
      <c r="U158" s="1"/>
      <c r="V158" s="1"/>
      <c r="W158" s="1"/>
      <c r="X158" s="1"/>
      <c r="Y158" s="1"/>
      <c r="Z158" s="1"/>
    </row>
    <row r="159" ht="18.75" customHeight="1">
      <c r="A159" s="1"/>
      <c r="B159" s="1"/>
      <c r="C159" s="1"/>
      <c r="D159" s="228"/>
      <c r="E159" s="228"/>
      <c r="F159" s="228"/>
      <c r="G159" s="1"/>
      <c r="H159" s="1"/>
      <c r="I159" s="1"/>
      <c r="J159" s="1"/>
      <c r="K159" s="1"/>
      <c r="L159" s="1"/>
      <c r="M159" s="1"/>
      <c r="N159" s="1"/>
      <c r="O159" s="1"/>
      <c r="P159" s="1"/>
      <c r="Q159" s="1"/>
      <c r="R159" s="1"/>
      <c r="S159" s="1"/>
      <c r="T159" s="1"/>
      <c r="U159" s="1"/>
      <c r="V159" s="1"/>
      <c r="W159" s="1"/>
      <c r="X159" s="1"/>
      <c r="Y159" s="1"/>
      <c r="Z159" s="1"/>
    </row>
    <row r="160" ht="18.75" customHeight="1">
      <c r="A160" s="1"/>
      <c r="B160" s="1"/>
      <c r="C160" s="1"/>
      <c r="D160" s="228"/>
      <c r="E160" s="228"/>
      <c r="F160" s="228"/>
      <c r="G160" s="1"/>
      <c r="H160" s="1"/>
      <c r="I160" s="1"/>
      <c r="J160" s="1"/>
      <c r="K160" s="1"/>
      <c r="L160" s="1"/>
      <c r="M160" s="1"/>
      <c r="N160" s="1"/>
      <c r="O160" s="1"/>
      <c r="P160" s="1"/>
      <c r="Q160" s="1"/>
      <c r="R160" s="1"/>
      <c r="S160" s="1"/>
      <c r="T160" s="1"/>
      <c r="U160" s="1"/>
      <c r="V160" s="1"/>
      <c r="W160" s="1"/>
      <c r="X160" s="1"/>
      <c r="Y160" s="1"/>
      <c r="Z160" s="1"/>
    </row>
    <row r="161" ht="18.75" customHeight="1">
      <c r="A161" s="1"/>
      <c r="B161" s="1"/>
      <c r="C161" s="1"/>
      <c r="D161" s="228"/>
      <c r="E161" s="228"/>
      <c r="F161" s="228"/>
      <c r="G161" s="1"/>
      <c r="H161" s="1"/>
      <c r="I161" s="1"/>
      <c r="J161" s="1"/>
      <c r="K161" s="1"/>
      <c r="L161" s="1"/>
      <c r="M161" s="1"/>
      <c r="N161" s="1"/>
      <c r="O161" s="1"/>
      <c r="P161" s="1"/>
      <c r="Q161" s="1"/>
      <c r="R161" s="1"/>
      <c r="S161" s="1"/>
      <c r="T161" s="1"/>
      <c r="U161" s="1"/>
      <c r="V161" s="1"/>
      <c r="W161" s="1"/>
      <c r="X161" s="1"/>
      <c r="Y161" s="1"/>
      <c r="Z161" s="1"/>
    </row>
    <row r="162" ht="18.75" customHeight="1">
      <c r="A162" s="1"/>
      <c r="B162" s="1"/>
      <c r="C162" s="1"/>
      <c r="D162" s="228"/>
      <c r="E162" s="228"/>
      <c r="F162" s="228"/>
      <c r="G162" s="1"/>
      <c r="H162" s="1"/>
      <c r="I162" s="1"/>
      <c r="J162" s="1"/>
      <c r="K162" s="1"/>
      <c r="L162" s="1"/>
      <c r="M162" s="1"/>
      <c r="N162" s="1"/>
      <c r="O162" s="1"/>
      <c r="P162" s="1"/>
      <c r="Q162" s="1"/>
      <c r="R162" s="1"/>
      <c r="S162" s="1"/>
      <c r="T162" s="1"/>
      <c r="U162" s="1"/>
      <c r="V162" s="1"/>
      <c r="W162" s="1"/>
      <c r="X162" s="1"/>
      <c r="Y162" s="1"/>
      <c r="Z162" s="1"/>
    </row>
    <row r="163" ht="18.75" customHeight="1">
      <c r="A163" s="1"/>
      <c r="B163" s="1"/>
      <c r="C163" s="1"/>
      <c r="D163" s="228"/>
      <c r="E163" s="228"/>
      <c r="F163" s="228"/>
      <c r="G163" s="1"/>
      <c r="H163" s="1"/>
      <c r="I163" s="1"/>
      <c r="J163" s="1"/>
      <c r="K163" s="1"/>
      <c r="L163" s="1"/>
      <c r="M163" s="1"/>
      <c r="N163" s="1"/>
      <c r="O163" s="1"/>
      <c r="P163" s="1"/>
      <c r="Q163" s="1"/>
      <c r="R163" s="1"/>
      <c r="S163" s="1"/>
      <c r="T163" s="1"/>
      <c r="U163" s="1"/>
      <c r="V163" s="1"/>
      <c r="W163" s="1"/>
      <c r="X163" s="1"/>
      <c r="Y163" s="1"/>
      <c r="Z163" s="1"/>
    </row>
    <row r="164" ht="18.75" customHeight="1">
      <c r="A164" s="1"/>
      <c r="B164" s="1"/>
      <c r="C164" s="1"/>
      <c r="D164" s="228"/>
      <c r="E164" s="228"/>
      <c r="F164" s="228"/>
      <c r="G164" s="1"/>
      <c r="H164" s="1"/>
      <c r="I164" s="1"/>
      <c r="J164" s="1"/>
      <c r="K164" s="1"/>
      <c r="L164" s="1"/>
      <c r="M164" s="1"/>
      <c r="N164" s="1"/>
      <c r="O164" s="1"/>
      <c r="P164" s="1"/>
      <c r="Q164" s="1"/>
      <c r="R164" s="1"/>
      <c r="S164" s="1"/>
      <c r="T164" s="1"/>
      <c r="U164" s="1"/>
      <c r="V164" s="1"/>
      <c r="W164" s="1"/>
      <c r="X164" s="1"/>
      <c r="Y164" s="1"/>
      <c r="Z164" s="1"/>
    </row>
    <row r="165" ht="18.75" customHeight="1">
      <c r="A165" s="1"/>
      <c r="B165" s="1"/>
      <c r="C165" s="1"/>
      <c r="D165" s="228"/>
      <c r="E165" s="228"/>
      <c r="F165" s="228"/>
      <c r="G165" s="1"/>
      <c r="H165" s="1"/>
      <c r="I165" s="1"/>
      <c r="J165" s="1"/>
      <c r="K165" s="1"/>
      <c r="L165" s="1"/>
      <c r="M165" s="1"/>
      <c r="N165" s="1"/>
      <c r="O165" s="1"/>
      <c r="P165" s="1"/>
      <c r="Q165" s="1"/>
      <c r="R165" s="1"/>
      <c r="S165" s="1"/>
      <c r="T165" s="1"/>
      <c r="U165" s="1"/>
      <c r="V165" s="1"/>
      <c r="W165" s="1"/>
      <c r="X165" s="1"/>
      <c r="Y165" s="1"/>
      <c r="Z165" s="1"/>
    </row>
    <row r="166" ht="18.75" customHeight="1">
      <c r="A166" s="1"/>
      <c r="B166" s="1"/>
      <c r="C166" s="1"/>
      <c r="D166" s="228"/>
      <c r="E166" s="228"/>
      <c r="F166" s="228"/>
      <c r="G166" s="1"/>
      <c r="H166" s="1"/>
      <c r="I166" s="1"/>
      <c r="J166" s="1"/>
      <c r="K166" s="1"/>
      <c r="L166" s="1"/>
      <c r="M166" s="1"/>
      <c r="N166" s="1"/>
      <c r="O166" s="1"/>
      <c r="P166" s="1"/>
      <c r="Q166" s="1"/>
      <c r="R166" s="1"/>
      <c r="S166" s="1"/>
      <c r="T166" s="1"/>
      <c r="U166" s="1"/>
      <c r="V166" s="1"/>
      <c r="W166" s="1"/>
      <c r="X166" s="1"/>
      <c r="Y166" s="1"/>
      <c r="Z166" s="1"/>
    </row>
    <row r="167" ht="18.75" customHeight="1">
      <c r="A167" s="1"/>
      <c r="B167" s="1"/>
      <c r="C167" s="1"/>
      <c r="D167" s="228"/>
      <c r="E167" s="228"/>
      <c r="F167" s="228"/>
      <c r="G167" s="1"/>
      <c r="H167" s="1"/>
      <c r="I167" s="1"/>
      <c r="J167" s="1"/>
      <c r="K167" s="1"/>
      <c r="L167" s="1"/>
      <c r="M167" s="1"/>
      <c r="N167" s="1"/>
      <c r="O167" s="1"/>
      <c r="P167" s="1"/>
      <c r="Q167" s="1"/>
      <c r="R167" s="1"/>
      <c r="S167" s="1"/>
      <c r="T167" s="1"/>
      <c r="U167" s="1"/>
      <c r="V167" s="1"/>
      <c r="W167" s="1"/>
      <c r="X167" s="1"/>
      <c r="Y167" s="1"/>
      <c r="Z167" s="1"/>
    </row>
    <row r="168" ht="18.75" customHeight="1">
      <c r="A168" s="1"/>
      <c r="B168" s="1"/>
      <c r="C168" s="1"/>
      <c r="D168" s="228"/>
      <c r="E168" s="228"/>
      <c r="F168" s="228"/>
      <c r="G168" s="1"/>
      <c r="H168" s="1"/>
      <c r="I168" s="1"/>
      <c r="J168" s="1"/>
      <c r="K168" s="1"/>
      <c r="L168" s="1"/>
      <c r="M168" s="1"/>
      <c r="N168" s="1"/>
      <c r="O168" s="1"/>
      <c r="P168" s="1"/>
      <c r="Q168" s="1"/>
      <c r="R168" s="1"/>
      <c r="S168" s="1"/>
      <c r="T168" s="1"/>
      <c r="U168" s="1"/>
      <c r="V168" s="1"/>
      <c r="W168" s="1"/>
      <c r="X168" s="1"/>
      <c r="Y168" s="1"/>
      <c r="Z168" s="1"/>
    </row>
    <row r="169" ht="18.75" customHeight="1">
      <c r="A169" s="1"/>
      <c r="B169" s="1"/>
      <c r="C169" s="1"/>
      <c r="D169" s="228"/>
      <c r="E169" s="228"/>
      <c r="F169" s="228"/>
      <c r="G169" s="1"/>
      <c r="H169" s="1"/>
      <c r="I169" s="1"/>
      <c r="J169" s="1"/>
      <c r="K169" s="1"/>
      <c r="L169" s="1"/>
      <c r="M169" s="1"/>
      <c r="N169" s="1"/>
      <c r="O169" s="1"/>
      <c r="P169" s="1"/>
      <c r="Q169" s="1"/>
      <c r="R169" s="1"/>
      <c r="S169" s="1"/>
      <c r="T169" s="1"/>
      <c r="U169" s="1"/>
      <c r="V169" s="1"/>
      <c r="W169" s="1"/>
      <c r="X169" s="1"/>
      <c r="Y169" s="1"/>
      <c r="Z169" s="1"/>
    </row>
    <row r="170" ht="18.75" customHeight="1">
      <c r="A170" s="1"/>
      <c r="B170" s="1"/>
      <c r="C170" s="1"/>
      <c r="D170" s="228"/>
      <c r="E170" s="228"/>
      <c r="F170" s="228"/>
      <c r="G170" s="1"/>
      <c r="H170" s="1"/>
      <c r="I170" s="1"/>
      <c r="J170" s="1"/>
      <c r="K170" s="1"/>
      <c r="L170" s="1"/>
      <c r="M170" s="1"/>
      <c r="N170" s="1"/>
      <c r="O170" s="1"/>
      <c r="P170" s="1"/>
      <c r="Q170" s="1"/>
      <c r="R170" s="1"/>
      <c r="S170" s="1"/>
      <c r="T170" s="1"/>
      <c r="U170" s="1"/>
      <c r="V170" s="1"/>
      <c r="W170" s="1"/>
      <c r="X170" s="1"/>
      <c r="Y170" s="1"/>
      <c r="Z170" s="1"/>
    </row>
    <row r="171" ht="18.75" customHeight="1">
      <c r="A171" s="1"/>
      <c r="B171" s="1"/>
      <c r="C171" s="1"/>
      <c r="D171" s="228"/>
      <c r="E171" s="228"/>
      <c r="F171" s="228"/>
      <c r="G171" s="1"/>
      <c r="H171" s="1"/>
      <c r="I171" s="1"/>
      <c r="J171" s="1"/>
      <c r="K171" s="1"/>
      <c r="L171" s="1"/>
      <c r="M171" s="1"/>
      <c r="N171" s="1"/>
      <c r="O171" s="1"/>
      <c r="P171" s="1"/>
      <c r="Q171" s="1"/>
      <c r="R171" s="1"/>
      <c r="S171" s="1"/>
      <c r="T171" s="1"/>
      <c r="U171" s="1"/>
      <c r="V171" s="1"/>
      <c r="W171" s="1"/>
      <c r="X171" s="1"/>
      <c r="Y171" s="1"/>
      <c r="Z171" s="1"/>
    </row>
    <row r="172" ht="18.75" customHeight="1">
      <c r="A172" s="1"/>
      <c r="B172" s="1"/>
      <c r="C172" s="1"/>
      <c r="D172" s="228"/>
      <c r="E172" s="228"/>
      <c r="F172" s="228"/>
      <c r="G172" s="1"/>
      <c r="H172" s="1"/>
      <c r="I172" s="1"/>
      <c r="J172" s="1"/>
      <c r="K172" s="1"/>
      <c r="L172" s="1"/>
      <c r="M172" s="1"/>
      <c r="N172" s="1"/>
      <c r="O172" s="1"/>
      <c r="P172" s="1"/>
      <c r="Q172" s="1"/>
      <c r="R172" s="1"/>
      <c r="S172" s="1"/>
      <c r="T172" s="1"/>
      <c r="U172" s="1"/>
      <c r="V172" s="1"/>
      <c r="W172" s="1"/>
      <c r="X172" s="1"/>
      <c r="Y172" s="1"/>
      <c r="Z172" s="1"/>
    </row>
    <row r="173" ht="18.75" customHeight="1">
      <c r="A173" s="1"/>
      <c r="B173" s="1"/>
      <c r="C173" s="1"/>
      <c r="D173" s="228"/>
      <c r="E173" s="228"/>
      <c r="F173" s="228"/>
      <c r="G173" s="1"/>
      <c r="H173" s="1"/>
      <c r="I173" s="1"/>
      <c r="J173" s="1"/>
      <c r="K173" s="1"/>
      <c r="L173" s="1"/>
      <c r="M173" s="1"/>
      <c r="N173" s="1"/>
      <c r="O173" s="1"/>
      <c r="P173" s="1"/>
      <c r="Q173" s="1"/>
      <c r="R173" s="1"/>
      <c r="S173" s="1"/>
      <c r="T173" s="1"/>
      <c r="U173" s="1"/>
      <c r="V173" s="1"/>
      <c r="W173" s="1"/>
      <c r="X173" s="1"/>
      <c r="Y173" s="1"/>
      <c r="Z173" s="1"/>
    </row>
    <row r="174" ht="18.75" customHeight="1">
      <c r="A174" s="1"/>
      <c r="B174" s="1"/>
      <c r="C174" s="1"/>
      <c r="D174" s="228"/>
      <c r="E174" s="228"/>
      <c r="F174" s="228"/>
      <c r="G174" s="1"/>
      <c r="H174" s="1"/>
      <c r="I174" s="1"/>
      <c r="J174" s="1"/>
      <c r="K174" s="1"/>
      <c r="L174" s="1"/>
      <c r="M174" s="1"/>
      <c r="N174" s="1"/>
      <c r="O174" s="1"/>
      <c r="P174" s="1"/>
      <c r="Q174" s="1"/>
      <c r="R174" s="1"/>
      <c r="S174" s="1"/>
      <c r="T174" s="1"/>
      <c r="U174" s="1"/>
      <c r="V174" s="1"/>
      <c r="W174" s="1"/>
      <c r="X174" s="1"/>
      <c r="Y174" s="1"/>
      <c r="Z174" s="1"/>
    </row>
    <row r="175" ht="18.75" customHeight="1">
      <c r="A175" s="1"/>
      <c r="B175" s="1"/>
      <c r="C175" s="1"/>
      <c r="D175" s="228"/>
      <c r="E175" s="228"/>
      <c r="F175" s="228"/>
      <c r="G175" s="1"/>
      <c r="H175" s="1"/>
      <c r="I175" s="1"/>
      <c r="J175" s="1"/>
      <c r="K175" s="1"/>
      <c r="L175" s="1"/>
      <c r="M175" s="1"/>
      <c r="N175" s="1"/>
      <c r="O175" s="1"/>
      <c r="P175" s="1"/>
      <c r="Q175" s="1"/>
      <c r="R175" s="1"/>
      <c r="S175" s="1"/>
      <c r="T175" s="1"/>
      <c r="U175" s="1"/>
      <c r="V175" s="1"/>
      <c r="W175" s="1"/>
      <c r="X175" s="1"/>
      <c r="Y175" s="1"/>
      <c r="Z175" s="1"/>
    </row>
    <row r="176" ht="18.75" customHeight="1">
      <c r="A176" s="1"/>
      <c r="B176" s="1"/>
      <c r="C176" s="1"/>
      <c r="D176" s="228"/>
      <c r="E176" s="228"/>
      <c r="F176" s="228"/>
      <c r="G176" s="1"/>
      <c r="H176" s="1"/>
      <c r="I176" s="1"/>
      <c r="J176" s="1"/>
      <c r="K176" s="1"/>
      <c r="L176" s="1"/>
      <c r="M176" s="1"/>
      <c r="N176" s="1"/>
      <c r="O176" s="1"/>
      <c r="P176" s="1"/>
      <c r="Q176" s="1"/>
      <c r="R176" s="1"/>
      <c r="S176" s="1"/>
      <c r="T176" s="1"/>
      <c r="U176" s="1"/>
      <c r="V176" s="1"/>
      <c r="W176" s="1"/>
      <c r="X176" s="1"/>
      <c r="Y176" s="1"/>
      <c r="Z176" s="1"/>
    </row>
    <row r="177" ht="18.75" customHeight="1">
      <c r="A177" s="1"/>
      <c r="B177" s="1"/>
      <c r="C177" s="1"/>
      <c r="D177" s="228"/>
      <c r="E177" s="228"/>
      <c r="F177" s="228"/>
      <c r="G177" s="1"/>
      <c r="H177" s="1"/>
      <c r="I177" s="1"/>
      <c r="J177" s="1"/>
      <c r="K177" s="1"/>
      <c r="L177" s="1"/>
      <c r="M177" s="1"/>
      <c r="N177" s="1"/>
      <c r="O177" s="1"/>
      <c r="P177" s="1"/>
      <c r="Q177" s="1"/>
      <c r="R177" s="1"/>
      <c r="S177" s="1"/>
      <c r="T177" s="1"/>
      <c r="U177" s="1"/>
      <c r="V177" s="1"/>
      <c r="W177" s="1"/>
      <c r="X177" s="1"/>
      <c r="Y177" s="1"/>
      <c r="Z177" s="1"/>
    </row>
    <row r="178" ht="18.75" customHeight="1">
      <c r="A178" s="1"/>
      <c r="B178" s="1"/>
      <c r="C178" s="1"/>
      <c r="D178" s="228"/>
      <c r="E178" s="228"/>
      <c r="F178" s="228"/>
      <c r="G178" s="1"/>
      <c r="H178" s="1"/>
      <c r="I178" s="1"/>
      <c r="J178" s="1"/>
      <c r="K178" s="1"/>
      <c r="L178" s="1"/>
      <c r="M178" s="1"/>
      <c r="N178" s="1"/>
      <c r="O178" s="1"/>
      <c r="P178" s="1"/>
      <c r="Q178" s="1"/>
      <c r="R178" s="1"/>
      <c r="S178" s="1"/>
      <c r="T178" s="1"/>
      <c r="U178" s="1"/>
      <c r="V178" s="1"/>
      <c r="W178" s="1"/>
      <c r="X178" s="1"/>
      <c r="Y178" s="1"/>
      <c r="Z178" s="1"/>
    </row>
    <row r="179" ht="18.75" customHeight="1">
      <c r="A179" s="1"/>
      <c r="B179" s="1"/>
      <c r="C179" s="1"/>
      <c r="D179" s="228"/>
      <c r="E179" s="228"/>
      <c r="F179" s="228"/>
      <c r="G179" s="1"/>
      <c r="H179" s="1"/>
      <c r="I179" s="1"/>
      <c r="J179" s="1"/>
      <c r="K179" s="1"/>
      <c r="L179" s="1"/>
      <c r="M179" s="1"/>
      <c r="N179" s="1"/>
      <c r="O179" s="1"/>
      <c r="P179" s="1"/>
      <c r="Q179" s="1"/>
      <c r="R179" s="1"/>
      <c r="S179" s="1"/>
      <c r="T179" s="1"/>
      <c r="U179" s="1"/>
      <c r="V179" s="1"/>
      <c r="W179" s="1"/>
      <c r="X179" s="1"/>
      <c r="Y179" s="1"/>
      <c r="Z179" s="1"/>
    </row>
    <row r="180" ht="18.75" customHeight="1">
      <c r="A180" s="1"/>
      <c r="B180" s="1"/>
      <c r="C180" s="1"/>
      <c r="D180" s="228"/>
      <c r="E180" s="228"/>
      <c r="F180" s="228"/>
      <c r="G180" s="1"/>
      <c r="H180" s="1"/>
      <c r="I180" s="1"/>
      <c r="J180" s="1"/>
      <c r="K180" s="1"/>
      <c r="L180" s="1"/>
      <c r="M180" s="1"/>
      <c r="N180" s="1"/>
      <c r="O180" s="1"/>
      <c r="P180" s="1"/>
      <c r="Q180" s="1"/>
      <c r="R180" s="1"/>
      <c r="S180" s="1"/>
      <c r="T180" s="1"/>
      <c r="U180" s="1"/>
      <c r="V180" s="1"/>
      <c r="W180" s="1"/>
      <c r="X180" s="1"/>
      <c r="Y180" s="1"/>
      <c r="Z180" s="1"/>
    </row>
    <row r="181" ht="18.75" customHeight="1">
      <c r="A181" s="1"/>
      <c r="B181" s="1"/>
      <c r="C181" s="1"/>
      <c r="D181" s="228"/>
      <c r="E181" s="228"/>
      <c r="F181" s="228"/>
      <c r="G181" s="1"/>
      <c r="H181" s="1"/>
      <c r="I181" s="1"/>
      <c r="J181" s="1"/>
      <c r="K181" s="1"/>
      <c r="L181" s="1"/>
      <c r="M181" s="1"/>
      <c r="N181" s="1"/>
      <c r="O181" s="1"/>
      <c r="P181" s="1"/>
      <c r="Q181" s="1"/>
      <c r="R181" s="1"/>
      <c r="S181" s="1"/>
      <c r="T181" s="1"/>
      <c r="U181" s="1"/>
      <c r="V181" s="1"/>
      <c r="W181" s="1"/>
      <c r="X181" s="1"/>
      <c r="Y181" s="1"/>
      <c r="Z181" s="1"/>
    </row>
    <row r="182" ht="18.75" customHeight="1">
      <c r="A182" s="1"/>
      <c r="B182" s="1"/>
      <c r="C182" s="1"/>
      <c r="D182" s="228"/>
      <c r="E182" s="228"/>
      <c r="F182" s="228"/>
      <c r="G182" s="1"/>
      <c r="H182" s="1"/>
      <c r="I182" s="1"/>
      <c r="J182" s="1"/>
      <c r="K182" s="1"/>
      <c r="L182" s="1"/>
      <c r="M182" s="1"/>
      <c r="N182" s="1"/>
      <c r="O182" s="1"/>
      <c r="P182" s="1"/>
      <c r="Q182" s="1"/>
      <c r="R182" s="1"/>
      <c r="S182" s="1"/>
      <c r="T182" s="1"/>
      <c r="U182" s="1"/>
      <c r="V182" s="1"/>
      <c r="W182" s="1"/>
      <c r="X182" s="1"/>
      <c r="Y182" s="1"/>
      <c r="Z182" s="1"/>
    </row>
    <row r="183" ht="18.75" customHeight="1">
      <c r="A183" s="1"/>
      <c r="B183" s="1"/>
      <c r="C183" s="1"/>
      <c r="D183" s="228"/>
      <c r="E183" s="228"/>
      <c r="F183" s="228"/>
      <c r="G183" s="1"/>
      <c r="H183" s="1"/>
      <c r="I183" s="1"/>
      <c r="J183" s="1"/>
      <c r="K183" s="1"/>
      <c r="L183" s="1"/>
      <c r="M183" s="1"/>
      <c r="N183" s="1"/>
      <c r="O183" s="1"/>
      <c r="P183" s="1"/>
      <c r="Q183" s="1"/>
      <c r="R183" s="1"/>
      <c r="S183" s="1"/>
      <c r="T183" s="1"/>
      <c r="U183" s="1"/>
      <c r="V183" s="1"/>
      <c r="W183" s="1"/>
      <c r="X183" s="1"/>
      <c r="Y183" s="1"/>
      <c r="Z183" s="1"/>
    </row>
    <row r="184" ht="18.75" customHeight="1">
      <c r="A184" s="1"/>
      <c r="B184" s="1"/>
      <c r="C184" s="1"/>
      <c r="D184" s="228"/>
      <c r="E184" s="228"/>
      <c r="F184" s="228"/>
      <c r="G184" s="1"/>
      <c r="H184" s="1"/>
      <c r="I184" s="1"/>
      <c r="J184" s="1"/>
      <c r="K184" s="1"/>
      <c r="L184" s="1"/>
      <c r="M184" s="1"/>
      <c r="N184" s="1"/>
      <c r="O184" s="1"/>
      <c r="P184" s="1"/>
      <c r="Q184" s="1"/>
      <c r="R184" s="1"/>
      <c r="S184" s="1"/>
      <c r="T184" s="1"/>
      <c r="U184" s="1"/>
      <c r="V184" s="1"/>
      <c r="W184" s="1"/>
      <c r="X184" s="1"/>
      <c r="Y184" s="1"/>
      <c r="Z184" s="1"/>
    </row>
    <row r="185" ht="18.75" customHeight="1">
      <c r="A185" s="1"/>
      <c r="B185" s="1"/>
      <c r="C185" s="1"/>
      <c r="D185" s="228"/>
      <c r="E185" s="228"/>
      <c r="F185" s="228"/>
      <c r="G185" s="1"/>
      <c r="H185" s="1"/>
      <c r="I185" s="1"/>
      <c r="J185" s="1"/>
      <c r="K185" s="1"/>
      <c r="L185" s="1"/>
      <c r="M185" s="1"/>
      <c r="N185" s="1"/>
      <c r="O185" s="1"/>
      <c r="P185" s="1"/>
      <c r="Q185" s="1"/>
      <c r="R185" s="1"/>
      <c r="S185" s="1"/>
      <c r="T185" s="1"/>
      <c r="U185" s="1"/>
      <c r="V185" s="1"/>
      <c r="W185" s="1"/>
      <c r="X185" s="1"/>
      <c r="Y185" s="1"/>
      <c r="Z185" s="1"/>
    </row>
    <row r="186" ht="18.75" customHeight="1">
      <c r="A186" s="1"/>
      <c r="B186" s="1"/>
      <c r="C186" s="1"/>
      <c r="D186" s="228"/>
      <c r="E186" s="228"/>
      <c r="F186" s="228"/>
      <c r="G186" s="1"/>
      <c r="H186" s="1"/>
      <c r="I186" s="1"/>
      <c r="J186" s="1"/>
      <c r="K186" s="1"/>
      <c r="L186" s="1"/>
      <c r="M186" s="1"/>
      <c r="N186" s="1"/>
      <c r="O186" s="1"/>
      <c r="P186" s="1"/>
      <c r="Q186" s="1"/>
      <c r="R186" s="1"/>
      <c r="S186" s="1"/>
      <c r="T186" s="1"/>
      <c r="U186" s="1"/>
      <c r="V186" s="1"/>
      <c r="W186" s="1"/>
      <c r="X186" s="1"/>
      <c r="Y186" s="1"/>
      <c r="Z186" s="1"/>
    </row>
    <row r="187" ht="18.75" customHeight="1">
      <c r="A187" s="1"/>
      <c r="B187" s="1"/>
      <c r="C187" s="1"/>
      <c r="D187" s="228"/>
      <c r="E187" s="228"/>
      <c r="F187" s="228"/>
      <c r="G187" s="1"/>
      <c r="H187" s="1"/>
      <c r="I187" s="1"/>
      <c r="J187" s="1"/>
      <c r="K187" s="1"/>
      <c r="L187" s="1"/>
      <c r="M187" s="1"/>
      <c r="N187" s="1"/>
      <c r="O187" s="1"/>
      <c r="P187" s="1"/>
      <c r="Q187" s="1"/>
      <c r="R187" s="1"/>
      <c r="S187" s="1"/>
      <c r="T187" s="1"/>
      <c r="U187" s="1"/>
      <c r="V187" s="1"/>
      <c r="W187" s="1"/>
      <c r="X187" s="1"/>
      <c r="Y187" s="1"/>
      <c r="Z187" s="1"/>
    </row>
    <row r="188" ht="18.75" customHeight="1">
      <c r="A188" s="1"/>
      <c r="B188" s="1"/>
      <c r="C188" s="1"/>
      <c r="D188" s="228"/>
      <c r="E188" s="228"/>
      <c r="F188" s="228"/>
      <c r="G188" s="1"/>
      <c r="H188" s="1"/>
      <c r="I188" s="1"/>
      <c r="J188" s="1"/>
      <c r="K188" s="1"/>
      <c r="L188" s="1"/>
      <c r="M188" s="1"/>
      <c r="N188" s="1"/>
      <c r="O188" s="1"/>
      <c r="P188" s="1"/>
      <c r="Q188" s="1"/>
      <c r="R188" s="1"/>
      <c r="S188" s="1"/>
      <c r="T188" s="1"/>
      <c r="U188" s="1"/>
      <c r="V188" s="1"/>
      <c r="W188" s="1"/>
      <c r="X188" s="1"/>
      <c r="Y188" s="1"/>
      <c r="Z188" s="1"/>
    </row>
    <row r="189" ht="18.75" customHeight="1">
      <c r="A189" s="1"/>
      <c r="B189" s="1"/>
      <c r="C189" s="1"/>
      <c r="D189" s="228"/>
      <c r="E189" s="228"/>
      <c r="F189" s="228"/>
      <c r="G189" s="1"/>
      <c r="H189" s="1"/>
      <c r="I189" s="1"/>
      <c r="J189" s="1"/>
      <c r="K189" s="1"/>
      <c r="L189" s="1"/>
      <c r="M189" s="1"/>
      <c r="N189" s="1"/>
      <c r="O189" s="1"/>
      <c r="P189" s="1"/>
      <c r="Q189" s="1"/>
      <c r="R189" s="1"/>
      <c r="S189" s="1"/>
      <c r="T189" s="1"/>
      <c r="U189" s="1"/>
      <c r="V189" s="1"/>
      <c r="W189" s="1"/>
      <c r="X189" s="1"/>
      <c r="Y189" s="1"/>
      <c r="Z189" s="1"/>
    </row>
    <row r="190" ht="18.75" customHeight="1">
      <c r="A190" s="1"/>
      <c r="B190" s="1"/>
      <c r="C190" s="1"/>
      <c r="D190" s="228"/>
      <c r="E190" s="228"/>
      <c r="F190" s="228"/>
      <c r="G190" s="1"/>
      <c r="H190" s="1"/>
      <c r="I190" s="1"/>
      <c r="J190" s="1"/>
      <c r="K190" s="1"/>
      <c r="L190" s="1"/>
      <c r="M190" s="1"/>
      <c r="N190" s="1"/>
      <c r="O190" s="1"/>
      <c r="P190" s="1"/>
      <c r="Q190" s="1"/>
      <c r="R190" s="1"/>
      <c r="S190" s="1"/>
      <c r="T190" s="1"/>
      <c r="U190" s="1"/>
      <c r="V190" s="1"/>
      <c r="W190" s="1"/>
      <c r="X190" s="1"/>
      <c r="Y190" s="1"/>
      <c r="Z190" s="1"/>
    </row>
    <row r="191" ht="18.75" customHeight="1">
      <c r="A191" s="1"/>
      <c r="B191" s="1"/>
      <c r="C191" s="1"/>
      <c r="D191" s="228"/>
      <c r="E191" s="228"/>
      <c r="F191" s="228"/>
      <c r="G191" s="1"/>
      <c r="H191" s="1"/>
      <c r="I191" s="1"/>
      <c r="J191" s="1"/>
      <c r="K191" s="1"/>
      <c r="L191" s="1"/>
      <c r="M191" s="1"/>
      <c r="N191" s="1"/>
      <c r="O191" s="1"/>
      <c r="P191" s="1"/>
      <c r="Q191" s="1"/>
      <c r="R191" s="1"/>
      <c r="S191" s="1"/>
      <c r="T191" s="1"/>
      <c r="U191" s="1"/>
      <c r="V191" s="1"/>
      <c r="W191" s="1"/>
      <c r="X191" s="1"/>
      <c r="Y191" s="1"/>
      <c r="Z191" s="1"/>
    </row>
    <row r="192" ht="18.75" customHeight="1">
      <c r="A192" s="1"/>
      <c r="B192" s="1"/>
      <c r="C192" s="1"/>
      <c r="D192" s="228"/>
      <c r="E192" s="228"/>
      <c r="F192" s="228"/>
      <c r="G192" s="1"/>
      <c r="H192" s="1"/>
      <c r="I192" s="1"/>
      <c r="J192" s="1"/>
      <c r="K192" s="1"/>
      <c r="L192" s="1"/>
      <c r="M192" s="1"/>
      <c r="N192" s="1"/>
      <c r="O192" s="1"/>
      <c r="P192" s="1"/>
      <c r="Q192" s="1"/>
      <c r="R192" s="1"/>
      <c r="S192" s="1"/>
      <c r="T192" s="1"/>
      <c r="U192" s="1"/>
      <c r="V192" s="1"/>
      <c r="W192" s="1"/>
      <c r="X192" s="1"/>
      <c r="Y192" s="1"/>
      <c r="Z192" s="1"/>
    </row>
    <row r="193" ht="18.75" customHeight="1">
      <c r="A193" s="1"/>
      <c r="B193" s="1"/>
      <c r="C193" s="1"/>
      <c r="D193" s="228"/>
      <c r="E193" s="228"/>
      <c r="F193" s="228"/>
      <c r="G193" s="1"/>
      <c r="H193" s="1"/>
      <c r="I193" s="1"/>
      <c r="J193" s="1"/>
      <c r="K193" s="1"/>
      <c r="L193" s="1"/>
      <c r="M193" s="1"/>
      <c r="N193" s="1"/>
      <c r="O193" s="1"/>
      <c r="P193" s="1"/>
      <c r="Q193" s="1"/>
      <c r="R193" s="1"/>
      <c r="S193" s="1"/>
      <c r="T193" s="1"/>
      <c r="U193" s="1"/>
      <c r="V193" s="1"/>
      <c r="W193" s="1"/>
      <c r="X193" s="1"/>
      <c r="Y193" s="1"/>
      <c r="Z193" s="1"/>
    </row>
    <row r="194" ht="18.75" customHeight="1">
      <c r="A194" s="1"/>
      <c r="B194" s="1"/>
      <c r="C194" s="1"/>
      <c r="D194" s="228"/>
      <c r="E194" s="228"/>
      <c r="F194" s="228"/>
      <c r="G194" s="1"/>
      <c r="H194" s="1"/>
      <c r="I194" s="1"/>
      <c r="J194" s="1"/>
      <c r="K194" s="1"/>
      <c r="L194" s="1"/>
      <c r="M194" s="1"/>
      <c r="N194" s="1"/>
      <c r="O194" s="1"/>
      <c r="P194" s="1"/>
      <c r="Q194" s="1"/>
      <c r="R194" s="1"/>
      <c r="S194" s="1"/>
      <c r="T194" s="1"/>
      <c r="U194" s="1"/>
      <c r="V194" s="1"/>
      <c r="W194" s="1"/>
      <c r="X194" s="1"/>
      <c r="Y194" s="1"/>
      <c r="Z194" s="1"/>
    </row>
    <row r="195" ht="18.75" customHeight="1">
      <c r="A195" s="1"/>
      <c r="B195" s="1"/>
      <c r="C195" s="1"/>
      <c r="D195" s="228"/>
      <c r="E195" s="228"/>
      <c r="F195" s="228"/>
      <c r="G195" s="1"/>
      <c r="H195" s="1"/>
      <c r="I195" s="1"/>
      <c r="J195" s="1"/>
      <c r="K195" s="1"/>
      <c r="L195" s="1"/>
      <c r="M195" s="1"/>
      <c r="N195" s="1"/>
      <c r="O195" s="1"/>
      <c r="P195" s="1"/>
      <c r="Q195" s="1"/>
      <c r="R195" s="1"/>
      <c r="S195" s="1"/>
      <c r="T195" s="1"/>
      <c r="U195" s="1"/>
      <c r="V195" s="1"/>
      <c r="W195" s="1"/>
      <c r="X195" s="1"/>
      <c r="Y195" s="1"/>
      <c r="Z195" s="1"/>
    </row>
    <row r="196" ht="18.75" customHeight="1">
      <c r="A196" s="1"/>
      <c r="B196" s="1"/>
      <c r="C196" s="1"/>
      <c r="D196" s="228"/>
      <c r="E196" s="228"/>
      <c r="F196" s="228"/>
      <c r="G196" s="1"/>
      <c r="H196" s="1"/>
      <c r="I196" s="1"/>
      <c r="J196" s="1"/>
      <c r="K196" s="1"/>
      <c r="L196" s="1"/>
      <c r="M196" s="1"/>
      <c r="N196" s="1"/>
      <c r="O196" s="1"/>
      <c r="P196" s="1"/>
      <c r="Q196" s="1"/>
      <c r="R196" s="1"/>
      <c r="S196" s="1"/>
      <c r="T196" s="1"/>
      <c r="U196" s="1"/>
      <c r="V196" s="1"/>
      <c r="W196" s="1"/>
      <c r="X196" s="1"/>
      <c r="Y196" s="1"/>
      <c r="Z196" s="1"/>
    </row>
    <row r="197" ht="18.75" customHeight="1">
      <c r="A197" s="1"/>
      <c r="B197" s="1"/>
      <c r="C197" s="1"/>
      <c r="D197" s="228"/>
      <c r="E197" s="228"/>
      <c r="F197" s="228"/>
      <c r="G197" s="1"/>
      <c r="H197" s="1"/>
      <c r="I197" s="1"/>
      <c r="J197" s="1"/>
      <c r="K197" s="1"/>
      <c r="L197" s="1"/>
      <c r="M197" s="1"/>
      <c r="N197" s="1"/>
      <c r="O197" s="1"/>
      <c r="P197" s="1"/>
      <c r="Q197" s="1"/>
      <c r="R197" s="1"/>
      <c r="S197" s="1"/>
      <c r="T197" s="1"/>
      <c r="U197" s="1"/>
      <c r="V197" s="1"/>
      <c r="W197" s="1"/>
      <c r="X197" s="1"/>
      <c r="Y197" s="1"/>
      <c r="Z197" s="1"/>
    </row>
    <row r="198" ht="18.75" customHeight="1">
      <c r="A198" s="1"/>
      <c r="B198" s="1"/>
      <c r="C198" s="1"/>
      <c r="D198" s="228"/>
      <c r="E198" s="228"/>
      <c r="F198" s="228"/>
      <c r="G198" s="1"/>
      <c r="H198" s="1"/>
      <c r="I198" s="1"/>
      <c r="J198" s="1"/>
      <c r="K198" s="1"/>
      <c r="L198" s="1"/>
      <c r="M198" s="1"/>
      <c r="N198" s="1"/>
      <c r="O198" s="1"/>
      <c r="P198" s="1"/>
      <c r="Q198" s="1"/>
      <c r="R198" s="1"/>
      <c r="S198" s="1"/>
      <c r="T198" s="1"/>
      <c r="U198" s="1"/>
      <c r="V198" s="1"/>
      <c r="W198" s="1"/>
      <c r="X198" s="1"/>
      <c r="Y198" s="1"/>
      <c r="Z198" s="1"/>
    </row>
    <row r="199" ht="18.75" customHeight="1">
      <c r="A199" s="1"/>
      <c r="B199" s="1"/>
      <c r="C199" s="1"/>
      <c r="D199" s="228"/>
      <c r="E199" s="228"/>
      <c r="F199" s="228"/>
      <c r="G199" s="1"/>
      <c r="H199" s="1"/>
      <c r="I199" s="1"/>
      <c r="J199" s="1"/>
      <c r="K199" s="1"/>
      <c r="L199" s="1"/>
      <c r="M199" s="1"/>
      <c r="N199" s="1"/>
      <c r="O199" s="1"/>
      <c r="P199" s="1"/>
      <c r="Q199" s="1"/>
      <c r="R199" s="1"/>
      <c r="S199" s="1"/>
      <c r="T199" s="1"/>
      <c r="U199" s="1"/>
      <c r="V199" s="1"/>
      <c r="W199" s="1"/>
      <c r="X199" s="1"/>
      <c r="Y199" s="1"/>
      <c r="Z199" s="1"/>
    </row>
    <row r="200" ht="18.75" customHeight="1">
      <c r="A200" s="1"/>
      <c r="B200" s="1"/>
      <c r="C200" s="1"/>
      <c r="D200" s="228"/>
      <c r="E200" s="228"/>
      <c r="F200" s="228"/>
      <c r="G200" s="1"/>
      <c r="H200" s="1"/>
      <c r="I200" s="1"/>
      <c r="J200" s="1"/>
      <c r="K200" s="1"/>
      <c r="L200" s="1"/>
      <c r="M200" s="1"/>
      <c r="N200" s="1"/>
      <c r="O200" s="1"/>
      <c r="P200" s="1"/>
      <c r="Q200" s="1"/>
      <c r="R200" s="1"/>
      <c r="S200" s="1"/>
      <c r="T200" s="1"/>
      <c r="U200" s="1"/>
      <c r="V200" s="1"/>
      <c r="W200" s="1"/>
      <c r="X200" s="1"/>
      <c r="Y200" s="1"/>
      <c r="Z200" s="1"/>
    </row>
    <row r="201" ht="18.75" customHeight="1">
      <c r="A201" s="1"/>
      <c r="B201" s="1"/>
      <c r="C201" s="1"/>
      <c r="D201" s="228"/>
      <c r="E201" s="228"/>
      <c r="F201" s="228"/>
      <c r="G201" s="1"/>
      <c r="H201" s="1"/>
      <c r="I201" s="1"/>
      <c r="J201" s="1"/>
      <c r="K201" s="1"/>
      <c r="L201" s="1"/>
      <c r="M201" s="1"/>
      <c r="N201" s="1"/>
      <c r="O201" s="1"/>
      <c r="P201" s="1"/>
      <c r="Q201" s="1"/>
      <c r="R201" s="1"/>
      <c r="S201" s="1"/>
      <c r="T201" s="1"/>
      <c r="U201" s="1"/>
      <c r="V201" s="1"/>
      <c r="W201" s="1"/>
      <c r="X201" s="1"/>
      <c r="Y201" s="1"/>
      <c r="Z201" s="1"/>
    </row>
    <row r="202" ht="18.75" customHeight="1">
      <c r="A202" s="1"/>
      <c r="B202" s="1"/>
      <c r="C202" s="1"/>
      <c r="D202" s="228"/>
      <c r="E202" s="228"/>
      <c r="F202" s="228"/>
      <c r="G202" s="1"/>
      <c r="H202" s="1"/>
      <c r="I202" s="1"/>
      <c r="J202" s="1"/>
      <c r="K202" s="1"/>
      <c r="L202" s="1"/>
      <c r="M202" s="1"/>
      <c r="N202" s="1"/>
      <c r="O202" s="1"/>
      <c r="P202" s="1"/>
      <c r="Q202" s="1"/>
      <c r="R202" s="1"/>
      <c r="S202" s="1"/>
      <c r="T202" s="1"/>
      <c r="U202" s="1"/>
      <c r="V202" s="1"/>
      <c r="W202" s="1"/>
      <c r="X202" s="1"/>
      <c r="Y202" s="1"/>
      <c r="Z202" s="1"/>
    </row>
    <row r="203" ht="18.75" customHeight="1">
      <c r="A203" s="1"/>
      <c r="B203" s="1"/>
      <c r="C203" s="1"/>
      <c r="D203" s="228"/>
      <c r="E203" s="228"/>
      <c r="F203" s="228"/>
      <c r="G203" s="1"/>
      <c r="H203" s="1"/>
      <c r="I203" s="1"/>
      <c r="J203" s="1"/>
      <c r="K203" s="1"/>
      <c r="L203" s="1"/>
      <c r="M203" s="1"/>
      <c r="N203" s="1"/>
      <c r="O203" s="1"/>
      <c r="P203" s="1"/>
      <c r="Q203" s="1"/>
      <c r="R203" s="1"/>
      <c r="S203" s="1"/>
      <c r="T203" s="1"/>
      <c r="U203" s="1"/>
      <c r="V203" s="1"/>
      <c r="W203" s="1"/>
      <c r="X203" s="1"/>
      <c r="Y203" s="1"/>
      <c r="Z203" s="1"/>
    </row>
    <row r="204" ht="18.75" customHeight="1">
      <c r="A204" s="1"/>
      <c r="B204" s="1"/>
      <c r="C204" s="1"/>
      <c r="D204" s="228"/>
      <c r="E204" s="228"/>
      <c r="F204" s="228"/>
      <c r="G204" s="1"/>
      <c r="H204" s="1"/>
      <c r="I204" s="1"/>
      <c r="J204" s="1"/>
      <c r="K204" s="1"/>
      <c r="L204" s="1"/>
      <c r="M204" s="1"/>
      <c r="N204" s="1"/>
      <c r="O204" s="1"/>
      <c r="P204" s="1"/>
      <c r="Q204" s="1"/>
      <c r="R204" s="1"/>
      <c r="S204" s="1"/>
      <c r="T204" s="1"/>
      <c r="U204" s="1"/>
      <c r="V204" s="1"/>
      <c r="W204" s="1"/>
      <c r="X204" s="1"/>
      <c r="Y204" s="1"/>
      <c r="Z204" s="1"/>
    </row>
    <row r="205" ht="18.75" customHeight="1">
      <c r="A205" s="1"/>
      <c r="B205" s="1"/>
      <c r="C205" s="1"/>
      <c r="D205" s="228"/>
      <c r="E205" s="228"/>
      <c r="F205" s="228"/>
      <c r="G205" s="1"/>
      <c r="H205" s="1"/>
      <c r="I205" s="1"/>
      <c r="J205" s="1"/>
      <c r="K205" s="1"/>
      <c r="L205" s="1"/>
      <c r="M205" s="1"/>
      <c r="N205" s="1"/>
      <c r="O205" s="1"/>
      <c r="P205" s="1"/>
      <c r="Q205" s="1"/>
      <c r="R205" s="1"/>
      <c r="S205" s="1"/>
      <c r="T205" s="1"/>
      <c r="U205" s="1"/>
      <c r="V205" s="1"/>
      <c r="W205" s="1"/>
      <c r="X205" s="1"/>
      <c r="Y205" s="1"/>
      <c r="Z205" s="1"/>
    </row>
    <row r="206" ht="18.75" customHeight="1">
      <c r="A206" s="1"/>
      <c r="B206" s="1"/>
      <c r="C206" s="1"/>
      <c r="D206" s="228"/>
      <c r="E206" s="228"/>
      <c r="F206" s="228"/>
      <c r="G206" s="1"/>
      <c r="H206" s="1"/>
      <c r="I206" s="1"/>
      <c r="J206" s="1"/>
      <c r="K206" s="1"/>
      <c r="L206" s="1"/>
      <c r="M206" s="1"/>
      <c r="N206" s="1"/>
      <c r="O206" s="1"/>
      <c r="P206" s="1"/>
      <c r="Q206" s="1"/>
      <c r="R206" s="1"/>
      <c r="S206" s="1"/>
      <c r="T206" s="1"/>
      <c r="U206" s="1"/>
      <c r="V206" s="1"/>
      <c r="W206" s="1"/>
      <c r="X206" s="1"/>
      <c r="Y206" s="1"/>
      <c r="Z206" s="1"/>
    </row>
    <row r="207" ht="18.75" customHeight="1">
      <c r="A207" s="1"/>
      <c r="B207" s="1"/>
      <c r="C207" s="1"/>
      <c r="D207" s="228"/>
      <c r="E207" s="228"/>
      <c r="F207" s="228"/>
      <c r="G207" s="1"/>
      <c r="H207" s="1"/>
      <c r="I207" s="1"/>
      <c r="J207" s="1"/>
      <c r="K207" s="1"/>
      <c r="L207" s="1"/>
      <c r="M207" s="1"/>
      <c r="N207" s="1"/>
      <c r="O207" s="1"/>
      <c r="P207" s="1"/>
      <c r="Q207" s="1"/>
      <c r="R207" s="1"/>
      <c r="S207" s="1"/>
      <c r="T207" s="1"/>
      <c r="U207" s="1"/>
      <c r="V207" s="1"/>
      <c r="W207" s="1"/>
      <c r="X207" s="1"/>
      <c r="Y207" s="1"/>
      <c r="Z207" s="1"/>
    </row>
    <row r="208" ht="18.75" customHeight="1">
      <c r="A208" s="1"/>
      <c r="B208" s="1"/>
      <c r="C208" s="1"/>
      <c r="D208" s="228"/>
      <c r="E208" s="228"/>
      <c r="F208" s="228"/>
      <c r="G208" s="1"/>
      <c r="H208" s="1"/>
      <c r="I208" s="1"/>
      <c r="J208" s="1"/>
      <c r="K208" s="1"/>
      <c r="L208" s="1"/>
      <c r="M208" s="1"/>
      <c r="N208" s="1"/>
      <c r="O208" s="1"/>
      <c r="P208" s="1"/>
      <c r="Q208" s="1"/>
      <c r="R208" s="1"/>
      <c r="S208" s="1"/>
      <c r="T208" s="1"/>
      <c r="U208" s="1"/>
      <c r="V208" s="1"/>
      <c r="W208" s="1"/>
      <c r="X208" s="1"/>
      <c r="Y208" s="1"/>
      <c r="Z208" s="1"/>
    </row>
    <row r="209" ht="18.75" customHeight="1">
      <c r="A209" s="1"/>
      <c r="B209" s="1"/>
      <c r="C209" s="1"/>
      <c r="D209" s="228"/>
      <c r="E209" s="228"/>
      <c r="F209" s="228"/>
      <c r="G209" s="1"/>
      <c r="H209" s="1"/>
      <c r="I209" s="1"/>
      <c r="J209" s="1"/>
      <c r="K209" s="1"/>
      <c r="L209" s="1"/>
      <c r="M209" s="1"/>
      <c r="N209" s="1"/>
      <c r="O209" s="1"/>
      <c r="P209" s="1"/>
      <c r="Q209" s="1"/>
      <c r="R209" s="1"/>
      <c r="S209" s="1"/>
      <c r="T209" s="1"/>
      <c r="U209" s="1"/>
      <c r="V209" s="1"/>
      <c r="W209" s="1"/>
      <c r="X209" s="1"/>
      <c r="Y209" s="1"/>
      <c r="Z209" s="1"/>
    </row>
    <row r="210" ht="18.75" customHeight="1">
      <c r="A210" s="1"/>
      <c r="B210" s="1"/>
      <c r="C210" s="1"/>
      <c r="D210" s="228"/>
      <c r="E210" s="228"/>
      <c r="F210" s="228"/>
      <c r="G210" s="1"/>
      <c r="H210" s="1"/>
      <c r="I210" s="1"/>
      <c r="J210" s="1"/>
      <c r="K210" s="1"/>
      <c r="L210" s="1"/>
      <c r="M210" s="1"/>
      <c r="N210" s="1"/>
      <c r="O210" s="1"/>
      <c r="P210" s="1"/>
      <c r="Q210" s="1"/>
      <c r="R210" s="1"/>
      <c r="S210" s="1"/>
      <c r="T210" s="1"/>
      <c r="U210" s="1"/>
      <c r="V210" s="1"/>
      <c r="W210" s="1"/>
      <c r="X210" s="1"/>
      <c r="Y210" s="1"/>
      <c r="Z210" s="1"/>
    </row>
    <row r="211" ht="18.75" customHeight="1">
      <c r="A211" s="1"/>
      <c r="B211" s="1"/>
      <c r="C211" s="1"/>
      <c r="D211" s="228"/>
      <c r="E211" s="228"/>
      <c r="F211" s="228"/>
      <c r="G211" s="1"/>
      <c r="H211" s="1"/>
      <c r="I211" s="1"/>
      <c r="J211" s="1"/>
      <c r="K211" s="1"/>
      <c r="L211" s="1"/>
      <c r="M211" s="1"/>
      <c r="N211" s="1"/>
      <c r="O211" s="1"/>
      <c r="P211" s="1"/>
      <c r="Q211" s="1"/>
      <c r="R211" s="1"/>
      <c r="S211" s="1"/>
      <c r="T211" s="1"/>
      <c r="U211" s="1"/>
      <c r="V211" s="1"/>
      <c r="W211" s="1"/>
      <c r="X211" s="1"/>
      <c r="Y211" s="1"/>
      <c r="Z211" s="1"/>
    </row>
    <row r="212" ht="18.75" customHeight="1">
      <c r="A212" s="1"/>
      <c r="B212" s="1"/>
      <c r="C212" s="1"/>
      <c r="D212" s="228"/>
      <c r="E212" s="228"/>
      <c r="F212" s="228"/>
      <c r="G212" s="1"/>
      <c r="H212" s="1"/>
      <c r="I212" s="1"/>
      <c r="J212" s="1"/>
      <c r="K212" s="1"/>
      <c r="L212" s="1"/>
      <c r="M212" s="1"/>
      <c r="N212" s="1"/>
      <c r="O212" s="1"/>
      <c r="P212" s="1"/>
      <c r="Q212" s="1"/>
      <c r="R212" s="1"/>
      <c r="S212" s="1"/>
      <c r="T212" s="1"/>
      <c r="U212" s="1"/>
      <c r="V212" s="1"/>
      <c r="W212" s="1"/>
      <c r="X212" s="1"/>
      <c r="Y212" s="1"/>
      <c r="Z212" s="1"/>
    </row>
    <row r="213" ht="18.75" customHeight="1">
      <c r="A213" s="1"/>
      <c r="B213" s="1"/>
      <c r="C213" s="1"/>
      <c r="D213" s="228"/>
      <c r="E213" s="228"/>
      <c r="F213" s="228"/>
      <c r="G213" s="1"/>
      <c r="H213" s="1"/>
      <c r="I213" s="1"/>
      <c r="J213" s="1"/>
      <c r="K213" s="1"/>
      <c r="L213" s="1"/>
      <c r="M213" s="1"/>
      <c r="N213" s="1"/>
      <c r="O213" s="1"/>
      <c r="P213" s="1"/>
      <c r="Q213" s="1"/>
      <c r="R213" s="1"/>
      <c r="S213" s="1"/>
      <c r="T213" s="1"/>
      <c r="U213" s="1"/>
      <c r="V213" s="1"/>
      <c r="W213" s="1"/>
      <c r="X213" s="1"/>
      <c r="Y213" s="1"/>
      <c r="Z213" s="1"/>
    </row>
    <row r="214" ht="18.75" customHeight="1">
      <c r="A214" s="1"/>
      <c r="B214" s="1"/>
      <c r="C214" s="1"/>
      <c r="D214" s="228"/>
      <c r="E214" s="228"/>
      <c r="F214" s="228"/>
      <c r="G214" s="1"/>
      <c r="H214" s="1"/>
      <c r="I214" s="1"/>
      <c r="J214" s="1"/>
      <c r="K214" s="1"/>
      <c r="L214" s="1"/>
      <c r="M214" s="1"/>
      <c r="N214" s="1"/>
      <c r="O214" s="1"/>
      <c r="P214" s="1"/>
      <c r="Q214" s="1"/>
      <c r="R214" s="1"/>
      <c r="S214" s="1"/>
      <c r="T214" s="1"/>
      <c r="U214" s="1"/>
      <c r="V214" s="1"/>
      <c r="W214" s="1"/>
      <c r="X214" s="1"/>
      <c r="Y214" s="1"/>
      <c r="Z214" s="1"/>
    </row>
    <row r="215" ht="18.75" customHeight="1">
      <c r="A215" s="1"/>
      <c r="B215" s="1"/>
      <c r="C215" s="1"/>
      <c r="D215" s="228"/>
      <c r="E215" s="228"/>
      <c r="F215" s="228"/>
      <c r="G215" s="1"/>
      <c r="H215" s="1"/>
      <c r="I215" s="1"/>
      <c r="J215" s="1"/>
      <c r="K215" s="1"/>
      <c r="L215" s="1"/>
      <c r="M215" s="1"/>
      <c r="N215" s="1"/>
      <c r="O215" s="1"/>
      <c r="P215" s="1"/>
      <c r="Q215" s="1"/>
      <c r="R215" s="1"/>
      <c r="S215" s="1"/>
      <c r="T215" s="1"/>
      <c r="U215" s="1"/>
      <c r="V215" s="1"/>
      <c r="W215" s="1"/>
      <c r="X215" s="1"/>
      <c r="Y215" s="1"/>
      <c r="Z215" s="1"/>
    </row>
    <row r="216" ht="18.75" customHeight="1">
      <c r="A216" s="1"/>
      <c r="B216" s="1"/>
      <c r="C216" s="1"/>
      <c r="D216" s="228"/>
      <c r="E216" s="228"/>
      <c r="F216" s="228"/>
      <c r="G216" s="1"/>
      <c r="H216" s="1"/>
      <c r="I216" s="1"/>
      <c r="J216" s="1"/>
      <c r="K216" s="1"/>
      <c r="L216" s="1"/>
      <c r="M216" s="1"/>
      <c r="N216" s="1"/>
      <c r="O216" s="1"/>
      <c r="P216" s="1"/>
      <c r="Q216" s="1"/>
      <c r="R216" s="1"/>
      <c r="S216" s="1"/>
      <c r="T216" s="1"/>
      <c r="U216" s="1"/>
      <c r="V216" s="1"/>
      <c r="W216" s="1"/>
      <c r="X216" s="1"/>
      <c r="Y216" s="1"/>
      <c r="Z216" s="1"/>
    </row>
    <row r="217" ht="18.75" customHeight="1">
      <c r="A217" s="1"/>
      <c r="B217" s="1"/>
      <c r="C217" s="1"/>
      <c r="D217" s="228"/>
      <c r="E217" s="228"/>
      <c r="F217" s="228"/>
      <c r="G217" s="1"/>
      <c r="H217" s="1"/>
      <c r="I217" s="1"/>
      <c r="J217" s="1"/>
      <c r="K217" s="1"/>
      <c r="L217" s="1"/>
      <c r="M217" s="1"/>
      <c r="N217" s="1"/>
      <c r="O217" s="1"/>
      <c r="P217" s="1"/>
      <c r="Q217" s="1"/>
      <c r="R217" s="1"/>
      <c r="S217" s="1"/>
      <c r="T217" s="1"/>
      <c r="U217" s="1"/>
      <c r="V217" s="1"/>
      <c r="W217" s="1"/>
      <c r="X217" s="1"/>
      <c r="Y217" s="1"/>
      <c r="Z217" s="1"/>
    </row>
    <row r="218" ht="18.75" customHeight="1">
      <c r="A218" s="1"/>
      <c r="B218" s="1"/>
      <c r="C218" s="1"/>
      <c r="D218" s="228"/>
      <c r="E218" s="228"/>
      <c r="F218" s="228"/>
      <c r="G218" s="1"/>
      <c r="H218" s="1"/>
      <c r="I218" s="1"/>
      <c r="J218" s="1"/>
      <c r="K218" s="1"/>
      <c r="L218" s="1"/>
      <c r="M218" s="1"/>
      <c r="N218" s="1"/>
      <c r="O218" s="1"/>
      <c r="P218" s="1"/>
      <c r="Q218" s="1"/>
      <c r="R218" s="1"/>
      <c r="S218" s="1"/>
      <c r="T218" s="1"/>
      <c r="U218" s="1"/>
      <c r="V218" s="1"/>
      <c r="W218" s="1"/>
      <c r="X218" s="1"/>
      <c r="Y218" s="1"/>
      <c r="Z218" s="1"/>
    </row>
    <row r="219" ht="18.75" customHeight="1">
      <c r="A219" s="1"/>
      <c r="B219" s="1"/>
      <c r="C219" s="1"/>
      <c r="D219" s="228"/>
      <c r="E219" s="228"/>
      <c r="F219" s="228"/>
      <c r="G219" s="1"/>
      <c r="H219" s="1"/>
      <c r="I219" s="1"/>
      <c r="J219" s="1"/>
      <c r="K219" s="1"/>
      <c r="L219" s="1"/>
      <c r="M219" s="1"/>
      <c r="N219" s="1"/>
      <c r="O219" s="1"/>
      <c r="P219" s="1"/>
      <c r="Q219" s="1"/>
      <c r="R219" s="1"/>
      <c r="S219" s="1"/>
      <c r="T219" s="1"/>
      <c r="U219" s="1"/>
      <c r="V219" s="1"/>
      <c r="W219" s="1"/>
      <c r="X219" s="1"/>
      <c r="Y219" s="1"/>
      <c r="Z219" s="1"/>
    </row>
    <row r="220" ht="18.75" customHeight="1">
      <c r="A220" s="1"/>
      <c r="B220" s="1"/>
      <c r="C220" s="1"/>
      <c r="D220" s="228"/>
      <c r="E220" s="228"/>
      <c r="F220" s="228"/>
      <c r="G220" s="1"/>
      <c r="H220" s="1"/>
      <c r="I220" s="1"/>
      <c r="J220" s="1"/>
      <c r="K220" s="1"/>
      <c r="L220" s="1"/>
      <c r="M220" s="1"/>
      <c r="N220" s="1"/>
      <c r="O220" s="1"/>
      <c r="P220" s="1"/>
      <c r="Q220" s="1"/>
      <c r="R220" s="1"/>
      <c r="S220" s="1"/>
      <c r="T220" s="1"/>
      <c r="U220" s="1"/>
      <c r="V220" s="1"/>
      <c r="W220" s="1"/>
      <c r="X220" s="1"/>
      <c r="Y220" s="1"/>
      <c r="Z220" s="1"/>
    </row>
    <row r="221" ht="18.75" customHeight="1">
      <c r="A221" s="1"/>
      <c r="B221" s="1"/>
      <c r="C221" s="1"/>
      <c r="D221" s="228"/>
      <c r="E221" s="228"/>
      <c r="F221" s="228"/>
      <c r="G221" s="1"/>
      <c r="H221" s="1"/>
      <c r="I221" s="1"/>
      <c r="J221" s="1"/>
      <c r="K221" s="1"/>
      <c r="L221" s="1"/>
      <c r="M221" s="1"/>
      <c r="N221" s="1"/>
      <c r="O221" s="1"/>
      <c r="P221" s="1"/>
      <c r="Q221" s="1"/>
      <c r="R221" s="1"/>
      <c r="S221" s="1"/>
      <c r="T221" s="1"/>
      <c r="U221" s="1"/>
      <c r="V221" s="1"/>
      <c r="W221" s="1"/>
      <c r="X221" s="1"/>
      <c r="Y221" s="1"/>
      <c r="Z221" s="1"/>
    </row>
    <row r="222" ht="18.75" customHeight="1">
      <c r="A222" s="1"/>
      <c r="B222" s="1"/>
      <c r="C222" s="1"/>
      <c r="D222" s="228"/>
      <c r="E222" s="228"/>
      <c r="F222" s="228"/>
      <c r="G222" s="1"/>
      <c r="H222" s="1"/>
      <c r="I222" s="1"/>
      <c r="J222" s="1"/>
      <c r="K222" s="1"/>
      <c r="L222" s="1"/>
      <c r="M222" s="1"/>
      <c r="N222" s="1"/>
      <c r="O222" s="1"/>
      <c r="P222" s="1"/>
      <c r="Q222" s="1"/>
      <c r="R222" s="1"/>
      <c r="S222" s="1"/>
      <c r="T222" s="1"/>
      <c r="U222" s="1"/>
      <c r="V222" s="1"/>
      <c r="W222" s="1"/>
      <c r="X222" s="1"/>
      <c r="Y222" s="1"/>
      <c r="Z222" s="1"/>
    </row>
    <row r="223" ht="18.75" customHeight="1">
      <c r="A223" s="1"/>
      <c r="B223" s="1"/>
      <c r="C223" s="1"/>
      <c r="D223" s="228"/>
      <c r="E223" s="228"/>
      <c r="F223" s="228"/>
      <c r="G223" s="1"/>
      <c r="H223" s="1"/>
      <c r="I223" s="1"/>
      <c r="J223" s="1"/>
      <c r="K223" s="1"/>
      <c r="L223" s="1"/>
      <c r="M223" s="1"/>
      <c r="N223" s="1"/>
      <c r="O223" s="1"/>
      <c r="P223" s="1"/>
      <c r="Q223" s="1"/>
      <c r="R223" s="1"/>
      <c r="S223" s="1"/>
      <c r="T223" s="1"/>
      <c r="U223" s="1"/>
      <c r="V223" s="1"/>
      <c r="W223" s="1"/>
      <c r="X223" s="1"/>
      <c r="Y223" s="1"/>
      <c r="Z223" s="1"/>
    </row>
    <row r="224" ht="18.75" customHeight="1">
      <c r="A224" s="1"/>
      <c r="B224" s="1"/>
      <c r="C224" s="1"/>
      <c r="D224" s="228"/>
      <c r="E224" s="228"/>
      <c r="F224" s="228"/>
      <c r="G224" s="1"/>
      <c r="H224" s="1"/>
      <c r="I224" s="1"/>
      <c r="J224" s="1"/>
      <c r="K224" s="1"/>
      <c r="L224" s="1"/>
      <c r="M224" s="1"/>
      <c r="N224" s="1"/>
      <c r="O224" s="1"/>
      <c r="P224" s="1"/>
      <c r="Q224" s="1"/>
      <c r="R224" s="1"/>
      <c r="S224" s="1"/>
      <c r="T224" s="1"/>
      <c r="U224" s="1"/>
      <c r="V224" s="1"/>
      <c r="W224" s="1"/>
      <c r="X224" s="1"/>
      <c r="Y224" s="1"/>
      <c r="Z224" s="1"/>
    </row>
    <row r="225" ht="18.75" customHeight="1">
      <c r="A225" s="1"/>
      <c r="B225" s="1"/>
      <c r="C225" s="1"/>
      <c r="D225" s="228"/>
      <c r="E225" s="228"/>
      <c r="F225" s="228"/>
      <c r="G225" s="1"/>
      <c r="H225" s="1"/>
      <c r="I225" s="1"/>
      <c r="J225" s="1"/>
      <c r="K225" s="1"/>
      <c r="L225" s="1"/>
      <c r="M225" s="1"/>
      <c r="N225" s="1"/>
      <c r="O225" s="1"/>
      <c r="P225" s="1"/>
      <c r="Q225" s="1"/>
      <c r="R225" s="1"/>
      <c r="S225" s="1"/>
      <c r="T225" s="1"/>
      <c r="U225" s="1"/>
      <c r="V225" s="1"/>
      <c r="W225" s="1"/>
      <c r="X225" s="1"/>
      <c r="Y225" s="1"/>
      <c r="Z225" s="1"/>
    </row>
    <row r="226" ht="18.75" customHeight="1">
      <c r="A226" s="1"/>
      <c r="B226" s="1"/>
      <c r="C226" s="1"/>
      <c r="D226" s="228"/>
      <c r="E226" s="228"/>
      <c r="F226" s="228"/>
      <c r="G226" s="1"/>
      <c r="H226" s="1"/>
      <c r="I226" s="1"/>
      <c r="J226" s="1"/>
      <c r="K226" s="1"/>
      <c r="L226" s="1"/>
      <c r="M226" s="1"/>
      <c r="N226" s="1"/>
      <c r="O226" s="1"/>
      <c r="P226" s="1"/>
      <c r="Q226" s="1"/>
      <c r="R226" s="1"/>
      <c r="S226" s="1"/>
      <c r="T226" s="1"/>
      <c r="U226" s="1"/>
      <c r="V226" s="1"/>
      <c r="W226" s="1"/>
      <c r="X226" s="1"/>
      <c r="Y226" s="1"/>
      <c r="Z226" s="1"/>
    </row>
    <row r="227" ht="18.75" customHeight="1">
      <c r="A227" s="1"/>
      <c r="B227" s="1"/>
      <c r="C227" s="1"/>
      <c r="D227" s="228"/>
      <c r="E227" s="228"/>
      <c r="F227" s="228"/>
      <c r="G227" s="1"/>
      <c r="H227" s="1"/>
      <c r="I227" s="1"/>
      <c r="J227" s="1"/>
      <c r="K227" s="1"/>
      <c r="L227" s="1"/>
      <c r="M227" s="1"/>
      <c r="N227" s="1"/>
      <c r="O227" s="1"/>
      <c r="P227" s="1"/>
      <c r="Q227" s="1"/>
      <c r="R227" s="1"/>
      <c r="S227" s="1"/>
      <c r="T227" s="1"/>
      <c r="U227" s="1"/>
      <c r="V227" s="1"/>
      <c r="W227" s="1"/>
      <c r="X227" s="1"/>
      <c r="Y227" s="1"/>
      <c r="Z227" s="1"/>
    </row>
    <row r="228" ht="18.75" customHeight="1">
      <c r="A228" s="1"/>
      <c r="B228" s="1"/>
      <c r="C228" s="1"/>
      <c r="D228" s="228"/>
      <c r="E228" s="228"/>
      <c r="F228" s="228"/>
      <c r="G228" s="1"/>
      <c r="H228" s="1"/>
      <c r="I228" s="1"/>
      <c r="J228" s="1"/>
      <c r="K228" s="1"/>
      <c r="L228" s="1"/>
      <c r="M228" s="1"/>
      <c r="N228" s="1"/>
      <c r="O228" s="1"/>
      <c r="P228" s="1"/>
      <c r="Q228" s="1"/>
      <c r="R228" s="1"/>
      <c r="S228" s="1"/>
      <c r="T228" s="1"/>
      <c r="U228" s="1"/>
      <c r="V228" s="1"/>
      <c r="W228" s="1"/>
      <c r="X228" s="1"/>
      <c r="Y228" s="1"/>
      <c r="Z228" s="1"/>
    </row>
    <row r="229" ht="18.75" customHeight="1">
      <c r="A229" s="1"/>
      <c r="B229" s="1"/>
      <c r="C229" s="1"/>
      <c r="D229" s="228"/>
      <c r="E229" s="228"/>
      <c r="F229" s="228"/>
      <c r="G229" s="1"/>
      <c r="H229" s="1"/>
      <c r="I229" s="1"/>
      <c r="J229" s="1"/>
      <c r="K229" s="1"/>
      <c r="L229" s="1"/>
      <c r="M229" s="1"/>
      <c r="N229" s="1"/>
      <c r="O229" s="1"/>
      <c r="P229" s="1"/>
      <c r="Q229" s="1"/>
      <c r="R229" s="1"/>
      <c r="S229" s="1"/>
      <c r="T229" s="1"/>
      <c r="U229" s="1"/>
      <c r="V229" s="1"/>
      <c r="W229" s="1"/>
      <c r="X229" s="1"/>
      <c r="Y229" s="1"/>
      <c r="Z229" s="1"/>
    </row>
    <row r="230" ht="18.75" customHeight="1">
      <c r="A230" s="1"/>
      <c r="B230" s="1"/>
      <c r="C230" s="1"/>
      <c r="D230" s="228"/>
      <c r="E230" s="228"/>
      <c r="F230" s="228"/>
      <c r="G230" s="1"/>
      <c r="H230" s="1"/>
      <c r="I230" s="1"/>
      <c r="J230" s="1"/>
      <c r="K230" s="1"/>
      <c r="L230" s="1"/>
      <c r="M230" s="1"/>
      <c r="N230" s="1"/>
      <c r="O230" s="1"/>
      <c r="P230" s="1"/>
      <c r="Q230" s="1"/>
      <c r="R230" s="1"/>
      <c r="S230" s="1"/>
      <c r="T230" s="1"/>
      <c r="U230" s="1"/>
      <c r="V230" s="1"/>
      <c r="W230" s="1"/>
      <c r="X230" s="1"/>
      <c r="Y230" s="1"/>
      <c r="Z230" s="1"/>
    </row>
    <row r="231" ht="18.75" customHeight="1">
      <c r="A231" s="1"/>
      <c r="B231" s="1"/>
      <c r="C231" s="1"/>
      <c r="D231" s="228"/>
      <c r="E231" s="228"/>
      <c r="F231" s="228"/>
      <c r="G231" s="1"/>
      <c r="H231" s="1"/>
      <c r="I231" s="1"/>
      <c r="J231" s="1"/>
      <c r="K231" s="1"/>
      <c r="L231" s="1"/>
      <c r="M231" s="1"/>
      <c r="N231" s="1"/>
      <c r="O231" s="1"/>
      <c r="P231" s="1"/>
      <c r="Q231" s="1"/>
      <c r="R231" s="1"/>
      <c r="S231" s="1"/>
      <c r="T231" s="1"/>
      <c r="U231" s="1"/>
      <c r="V231" s="1"/>
      <c r="W231" s="1"/>
      <c r="X231" s="1"/>
      <c r="Y231" s="1"/>
      <c r="Z231" s="1"/>
    </row>
    <row r="232" ht="18.75" customHeight="1">
      <c r="A232" s="1"/>
      <c r="B232" s="1"/>
      <c r="C232" s="1"/>
      <c r="D232" s="228"/>
      <c r="E232" s="228"/>
      <c r="F232" s="228"/>
      <c r="G232" s="1"/>
      <c r="H232" s="1"/>
      <c r="I232" s="1"/>
      <c r="J232" s="1"/>
      <c r="K232" s="1"/>
      <c r="L232" s="1"/>
      <c r="M232" s="1"/>
      <c r="N232" s="1"/>
      <c r="O232" s="1"/>
      <c r="P232" s="1"/>
      <c r="Q232" s="1"/>
      <c r="R232" s="1"/>
      <c r="S232" s="1"/>
      <c r="T232" s="1"/>
      <c r="U232" s="1"/>
      <c r="V232" s="1"/>
      <c r="W232" s="1"/>
      <c r="X232" s="1"/>
      <c r="Y232" s="1"/>
      <c r="Z232" s="1"/>
    </row>
    <row r="233" ht="18.75" customHeight="1">
      <c r="A233" s="1"/>
      <c r="B233" s="1"/>
      <c r="C233" s="1"/>
      <c r="D233" s="228"/>
      <c r="E233" s="228"/>
      <c r="F233" s="228"/>
      <c r="G233" s="1"/>
      <c r="H233" s="1"/>
      <c r="I233" s="1"/>
      <c r="J233" s="1"/>
      <c r="K233" s="1"/>
      <c r="L233" s="1"/>
      <c r="M233" s="1"/>
      <c r="N233" s="1"/>
      <c r="O233" s="1"/>
      <c r="P233" s="1"/>
      <c r="Q233" s="1"/>
      <c r="R233" s="1"/>
      <c r="S233" s="1"/>
      <c r="T233" s="1"/>
      <c r="U233" s="1"/>
      <c r="V233" s="1"/>
      <c r="W233" s="1"/>
      <c r="X233" s="1"/>
      <c r="Y233" s="1"/>
      <c r="Z233" s="1"/>
    </row>
    <row r="234" ht="18.75" customHeight="1">
      <c r="A234" s="1"/>
      <c r="B234" s="1"/>
      <c r="C234" s="1"/>
      <c r="D234" s="228"/>
      <c r="E234" s="228"/>
      <c r="F234" s="228"/>
      <c r="G234" s="1"/>
      <c r="H234" s="1"/>
      <c r="I234" s="1"/>
      <c r="J234" s="1"/>
      <c r="K234" s="1"/>
      <c r="L234" s="1"/>
      <c r="M234" s="1"/>
      <c r="N234" s="1"/>
      <c r="O234" s="1"/>
      <c r="P234" s="1"/>
      <c r="Q234" s="1"/>
      <c r="R234" s="1"/>
      <c r="S234" s="1"/>
      <c r="T234" s="1"/>
      <c r="U234" s="1"/>
      <c r="V234" s="1"/>
      <c r="W234" s="1"/>
      <c r="X234" s="1"/>
      <c r="Y234" s="1"/>
      <c r="Z234" s="1"/>
    </row>
    <row r="235" ht="18.75" customHeight="1">
      <c r="A235" s="1"/>
      <c r="B235" s="1"/>
      <c r="C235" s="1"/>
      <c r="D235" s="228"/>
      <c r="E235" s="228"/>
      <c r="F235" s="228"/>
      <c r="G235" s="1"/>
      <c r="H235" s="1"/>
      <c r="I235" s="1"/>
      <c r="J235" s="1"/>
      <c r="K235" s="1"/>
      <c r="L235" s="1"/>
      <c r="M235" s="1"/>
      <c r="N235" s="1"/>
      <c r="O235" s="1"/>
      <c r="P235" s="1"/>
      <c r="Q235" s="1"/>
      <c r="R235" s="1"/>
      <c r="S235" s="1"/>
      <c r="T235" s="1"/>
      <c r="U235" s="1"/>
      <c r="V235" s="1"/>
      <c r="W235" s="1"/>
      <c r="X235" s="1"/>
      <c r="Y235" s="1"/>
      <c r="Z235" s="1"/>
    </row>
    <row r="236" ht="18.75" customHeight="1">
      <c r="A236" s="1"/>
      <c r="B236" s="1"/>
      <c r="C236" s="1"/>
      <c r="D236" s="228"/>
      <c r="E236" s="228"/>
      <c r="F236" s="228"/>
      <c r="G236" s="1"/>
      <c r="H236" s="1"/>
      <c r="I236" s="1"/>
      <c r="J236" s="1"/>
      <c r="K236" s="1"/>
      <c r="L236" s="1"/>
      <c r="M236" s="1"/>
      <c r="N236" s="1"/>
      <c r="O236" s="1"/>
      <c r="P236" s="1"/>
      <c r="Q236" s="1"/>
      <c r="R236" s="1"/>
      <c r="S236" s="1"/>
      <c r="T236" s="1"/>
      <c r="U236" s="1"/>
      <c r="V236" s="1"/>
      <c r="W236" s="1"/>
      <c r="X236" s="1"/>
      <c r="Y236" s="1"/>
      <c r="Z236" s="1"/>
    </row>
    <row r="237" ht="18.75" customHeight="1">
      <c r="A237" s="1"/>
      <c r="B237" s="1"/>
      <c r="C237" s="1"/>
      <c r="D237" s="228"/>
      <c r="E237" s="228"/>
      <c r="F237" s="228"/>
      <c r="G237" s="1"/>
      <c r="H237" s="1"/>
      <c r="I237" s="1"/>
      <c r="J237" s="1"/>
      <c r="K237" s="1"/>
      <c r="L237" s="1"/>
      <c r="M237" s="1"/>
      <c r="N237" s="1"/>
      <c r="O237" s="1"/>
      <c r="P237" s="1"/>
      <c r="Q237" s="1"/>
      <c r="R237" s="1"/>
      <c r="S237" s="1"/>
      <c r="T237" s="1"/>
      <c r="U237" s="1"/>
      <c r="V237" s="1"/>
      <c r="W237" s="1"/>
      <c r="X237" s="1"/>
      <c r="Y237" s="1"/>
      <c r="Z237" s="1"/>
    </row>
    <row r="238" ht="18.75" customHeight="1">
      <c r="A238" s="1"/>
      <c r="B238" s="1"/>
      <c r="C238" s="1"/>
      <c r="D238" s="228"/>
      <c r="E238" s="228"/>
      <c r="F238" s="228"/>
      <c r="G238" s="1"/>
      <c r="H238" s="1"/>
      <c r="I238" s="1"/>
      <c r="J238" s="1"/>
      <c r="K238" s="1"/>
      <c r="L238" s="1"/>
      <c r="M238" s="1"/>
      <c r="N238" s="1"/>
      <c r="O238" s="1"/>
      <c r="P238" s="1"/>
      <c r="Q238" s="1"/>
      <c r="R238" s="1"/>
      <c r="S238" s="1"/>
      <c r="T238" s="1"/>
      <c r="U238" s="1"/>
      <c r="V238" s="1"/>
      <c r="W238" s="1"/>
      <c r="X238" s="1"/>
      <c r="Y238" s="1"/>
      <c r="Z238" s="1"/>
    </row>
    <row r="239" ht="18.75" customHeight="1">
      <c r="A239" s="1"/>
      <c r="B239" s="1"/>
      <c r="C239" s="1"/>
      <c r="D239" s="228"/>
      <c r="E239" s="228"/>
      <c r="F239" s="228"/>
      <c r="G239" s="1"/>
      <c r="H239" s="1"/>
      <c r="I239" s="1"/>
      <c r="J239" s="1"/>
      <c r="K239" s="1"/>
      <c r="L239" s="1"/>
      <c r="M239" s="1"/>
      <c r="N239" s="1"/>
      <c r="O239" s="1"/>
      <c r="P239" s="1"/>
      <c r="Q239" s="1"/>
      <c r="R239" s="1"/>
      <c r="S239" s="1"/>
      <c r="T239" s="1"/>
      <c r="U239" s="1"/>
      <c r="V239" s="1"/>
      <c r="W239" s="1"/>
      <c r="X239" s="1"/>
      <c r="Y239" s="1"/>
      <c r="Z239" s="1"/>
    </row>
    <row r="240" ht="18.75" customHeight="1">
      <c r="A240" s="1"/>
      <c r="B240" s="1"/>
      <c r="C240" s="1"/>
      <c r="D240" s="228"/>
      <c r="E240" s="228"/>
      <c r="F240" s="228"/>
      <c r="G240" s="1"/>
      <c r="H240" s="1"/>
      <c r="I240" s="1"/>
      <c r="J240" s="1"/>
      <c r="K240" s="1"/>
      <c r="L240" s="1"/>
      <c r="M240" s="1"/>
      <c r="N240" s="1"/>
      <c r="O240" s="1"/>
      <c r="P240" s="1"/>
      <c r="Q240" s="1"/>
      <c r="R240" s="1"/>
      <c r="S240" s="1"/>
      <c r="T240" s="1"/>
      <c r="U240" s="1"/>
      <c r="V240" s="1"/>
      <c r="W240" s="1"/>
      <c r="X240" s="1"/>
      <c r="Y240" s="1"/>
      <c r="Z240" s="1"/>
    </row>
    <row r="241" ht="18.75" customHeight="1">
      <c r="A241" s="1"/>
      <c r="B241" s="1"/>
      <c r="C241" s="1"/>
      <c r="D241" s="228"/>
      <c r="E241" s="228"/>
      <c r="F241" s="228"/>
      <c r="G241" s="1"/>
      <c r="H241" s="1"/>
      <c r="I241" s="1"/>
      <c r="J241" s="1"/>
      <c r="K241" s="1"/>
      <c r="L241" s="1"/>
      <c r="M241" s="1"/>
      <c r="N241" s="1"/>
      <c r="O241" s="1"/>
      <c r="P241" s="1"/>
      <c r="Q241" s="1"/>
      <c r="R241" s="1"/>
      <c r="S241" s="1"/>
      <c r="T241" s="1"/>
      <c r="U241" s="1"/>
      <c r="V241" s="1"/>
      <c r="W241" s="1"/>
      <c r="X241" s="1"/>
      <c r="Y241" s="1"/>
      <c r="Z241" s="1"/>
    </row>
    <row r="242" ht="18.75" customHeight="1">
      <c r="A242" s="1"/>
      <c r="B242" s="1"/>
      <c r="C242" s="1"/>
      <c r="D242" s="228"/>
      <c r="E242" s="228"/>
      <c r="F242" s="228"/>
      <c r="G242" s="1"/>
      <c r="H242" s="1"/>
      <c r="I242" s="1"/>
      <c r="J242" s="1"/>
      <c r="K242" s="1"/>
      <c r="L242" s="1"/>
      <c r="M242" s="1"/>
      <c r="N242" s="1"/>
      <c r="O242" s="1"/>
      <c r="P242" s="1"/>
      <c r="Q242" s="1"/>
      <c r="R242" s="1"/>
      <c r="S242" s="1"/>
      <c r="T242" s="1"/>
      <c r="U242" s="1"/>
      <c r="V242" s="1"/>
      <c r="W242" s="1"/>
      <c r="X242" s="1"/>
      <c r="Y242" s="1"/>
      <c r="Z242" s="1"/>
    </row>
    <row r="243" ht="18.75" customHeight="1">
      <c r="A243" s="1"/>
      <c r="B243" s="1"/>
      <c r="C243" s="1"/>
      <c r="D243" s="228"/>
      <c r="E243" s="228"/>
      <c r="F243" s="228"/>
      <c r="G243" s="1"/>
      <c r="H243" s="1"/>
      <c r="I243" s="1"/>
      <c r="J243" s="1"/>
      <c r="K243" s="1"/>
      <c r="L243" s="1"/>
      <c r="M243" s="1"/>
      <c r="N243" s="1"/>
      <c r="O243" s="1"/>
      <c r="P243" s="1"/>
      <c r="Q243" s="1"/>
      <c r="R243" s="1"/>
      <c r="S243" s="1"/>
      <c r="T243" s="1"/>
      <c r="U243" s="1"/>
      <c r="V243" s="1"/>
      <c r="W243" s="1"/>
      <c r="X243" s="1"/>
      <c r="Y243" s="1"/>
      <c r="Z243" s="1"/>
    </row>
    <row r="244" ht="18.75" customHeight="1">
      <c r="A244" s="1"/>
      <c r="B244" s="1"/>
      <c r="C244" s="1"/>
      <c r="D244" s="228"/>
      <c r="E244" s="228"/>
      <c r="F244" s="228"/>
      <c r="G244" s="1"/>
      <c r="H244" s="1"/>
      <c r="I244" s="1"/>
      <c r="J244" s="1"/>
      <c r="K244" s="1"/>
      <c r="L244" s="1"/>
      <c r="M244" s="1"/>
      <c r="N244" s="1"/>
      <c r="O244" s="1"/>
      <c r="P244" s="1"/>
      <c r="Q244" s="1"/>
      <c r="R244" s="1"/>
      <c r="S244" s="1"/>
      <c r="T244" s="1"/>
      <c r="U244" s="1"/>
      <c r="V244" s="1"/>
      <c r="W244" s="1"/>
      <c r="X244" s="1"/>
      <c r="Y244" s="1"/>
      <c r="Z244" s="1"/>
    </row>
    <row r="245" ht="18.75" customHeight="1">
      <c r="A245" s="1"/>
      <c r="B245" s="1"/>
      <c r="C245" s="1"/>
      <c r="D245" s="228"/>
      <c r="E245" s="228"/>
      <c r="F245" s="228"/>
      <c r="G245" s="1"/>
      <c r="H245" s="1"/>
      <c r="I245" s="1"/>
      <c r="J245" s="1"/>
      <c r="K245" s="1"/>
      <c r="L245" s="1"/>
      <c r="M245" s="1"/>
      <c r="N245" s="1"/>
      <c r="O245" s="1"/>
      <c r="P245" s="1"/>
      <c r="Q245" s="1"/>
      <c r="R245" s="1"/>
      <c r="S245" s="1"/>
      <c r="T245" s="1"/>
      <c r="U245" s="1"/>
      <c r="V245" s="1"/>
      <c r="W245" s="1"/>
      <c r="X245" s="1"/>
      <c r="Y245" s="1"/>
      <c r="Z245" s="1"/>
    </row>
    <row r="246" ht="18.75" customHeight="1">
      <c r="A246" s="1"/>
      <c r="B246" s="1"/>
      <c r="C246" s="1"/>
      <c r="D246" s="228"/>
      <c r="E246" s="228"/>
      <c r="F246" s="228"/>
      <c r="G246" s="1"/>
      <c r="H246" s="1"/>
      <c r="I246" s="1"/>
      <c r="J246" s="1"/>
      <c r="K246" s="1"/>
      <c r="L246" s="1"/>
      <c r="M246" s="1"/>
      <c r="N246" s="1"/>
      <c r="O246" s="1"/>
      <c r="P246" s="1"/>
      <c r="Q246" s="1"/>
      <c r="R246" s="1"/>
      <c r="S246" s="1"/>
      <c r="T246" s="1"/>
      <c r="U246" s="1"/>
      <c r="V246" s="1"/>
      <c r="W246" s="1"/>
      <c r="X246" s="1"/>
      <c r="Y246" s="1"/>
      <c r="Z246" s="1"/>
    </row>
    <row r="247" ht="18.75" customHeight="1">
      <c r="A247" s="1"/>
      <c r="B247" s="1"/>
      <c r="C247" s="1"/>
      <c r="D247" s="228"/>
      <c r="E247" s="228"/>
      <c r="F247" s="228"/>
      <c r="G247" s="1"/>
      <c r="H247" s="1"/>
      <c r="I247" s="1"/>
      <c r="J247" s="1"/>
      <c r="K247" s="1"/>
      <c r="L247" s="1"/>
      <c r="M247" s="1"/>
      <c r="N247" s="1"/>
      <c r="O247" s="1"/>
      <c r="P247" s="1"/>
      <c r="Q247" s="1"/>
      <c r="R247" s="1"/>
      <c r="S247" s="1"/>
      <c r="T247" s="1"/>
      <c r="U247" s="1"/>
      <c r="V247" s="1"/>
      <c r="W247" s="1"/>
      <c r="X247" s="1"/>
      <c r="Y247" s="1"/>
      <c r="Z247" s="1"/>
    </row>
    <row r="248" ht="18.75" customHeight="1">
      <c r="A248" s="1"/>
      <c r="B248" s="1"/>
      <c r="C248" s="1"/>
      <c r="D248" s="228"/>
      <c r="E248" s="228"/>
      <c r="F248" s="228"/>
      <c r="G248" s="1"/>
      <c r="H248" s="1"/>
      <c r="I248" s="1"/>
      <c r="J248" s="1"/>
      <c r="K248" s="1"/>
      <c r="L248" s="1"/>
      <c r="M248" s="1"/>
      <c r="N248" s="1"/>
      <c r="O248" s="1"/>
      <c r="P248" s="1"/>
      <c r="Q248" s="1"/>
      <c r="R248" s="1"/>
      <c r="S248" s="1"/>
      <c r="T248" s="1"/>
      <c r="U248" s="1"/>
      <c r="V248" s="1"/>
      <c r="W248" s="1"/>
      <c r="X248" s="1"/>
      <c r="Y248" s="1"/>
      <c r="Z248" s="1"/>
    </row>
    <row r="249" ht="18.75" customHeight="1">
      <c r="A249" s="1"/>
      <c r="B249" s="1"/>
      <c r="C249" s="1"/>
      <c r="D249" s="228"/>
      <c r="E249" s="228"/>
      <c r="F249" s="228"/>
      <c r="G249" s="1"/>
      <c r="H249" s="1"/>
      <c r="I249" s="1"/>
      <c r="J249" s="1"/>
      <c r="K249" s="1"/>
      <c r="L249" s="1"/>
      <c r="M249" s="1"/>
      <c r="N249" s="1"/>
      <c r="O249" s="1"/>
      <c r="P249" s="1"/>
      <c r="Q249" s="1"/>
      <c r="R249" s="1"/>
      <c r="S249" s="1"/>
      <c r="T249" s="1"/>
      <c r="U249" s="1"/>
      <c r="V249" s="1"/>
      <c r="W249" s="1"/>
      <c r="X249" s="1"/>
      <c r="Y249" s="1"/>
      <c r="Z249" s="1"/>
    </row>
    <row r="250" ht="18.75" customHeight="1">
      <c r="A250" s="1"/>
      <c r="B250" s="1"/>
      <c r="C250" s="1"/>
      <c r="D250" s="228"/>
      <c r="E250" s="228"/>
      <c r="F250" s="228"/>
      <c r="G250" s="1"/>
      <c r="H250" s="1"/>
      <c r="I250" s="1"/>
      <c r="J250" s="1"/>
      <c r="K250" s="1"/>
      <c r="L250" s="1"/>
      <c r="M250" s="1"/>
      <c r="N250" s="1"/>
      <c r="O250" s="1"/>
      <c r="P250" s="1"/>
      <c r="Q250" s="1"/>
      <c r="R250" s="1"/>
      <c r="S250" s="1"/>
      <c r="T250" s="1"/>
      <c r="U250" s="1"/>
      <c r="V250" s="1"/>
      <c r="W250" s="1"/>
      <c r="X250" s="1"/>
      <c r="Y250" s="1"/>
      <c r="Z250" s="1"/>
    </row>
    <row r="251" ht="18.75" customHeight="1">
      <c r="A251" s="1"/>
      <c r="B251" s="1"/>
      <c r="C251" s="1"/>
      <c r="D251" s="228"/>
      <c r="E251" s="228"/>
      <c r="F251" s="228"/>
      <c r="G251" s="1"/>
      <c r="H251" s="1"/>
      <c r="I251" s="1"/>
      <c r="J251" s="1"/>
      <c r="K251" s="1"/>
      <c r="L251" s="1"/>
      <c r="M251" s="1"/>
      <c r="N251" s="1"/>
      <c r="O251" s="1"/>
      <c r="P251" s="1"/>
      <c r="Q251" s="1"/>
      <c r="R251" s="1"/>
      <c r="S251" s="1"/>
      <c r="T251" s="1"/>
      <c r="U251" s="1"/>
      <c r="V251" s="1"/>
      <c r="W251" s="1"/>
      <c r="X251" s="1"/>
      <c r="Y251" s="1"/>
      <c r="Z251" s="1"/>
    </row>
    <row r="252" ht="18.75" customHeight="1">
      <c r="A252" s="1"/>
      <c r="B252" s="1"/>
      <c r="C252" s="1"/>
      <c r="D252" s="228"/>
      <c r="E252" s="228"/>
      <c r="F252" s="228"/>
      <c r="G252" s="1"/>
      <c r="H252" s="1"/>
      <c r="I252" s="1"/>
      <c r="J252" s="1"/>
      <c r="K252" s="1"/>
      <c r="L252" s="1"/>
      <c r="M252" s="1"/>
      <c r="N252" s="1"/>
      <c r="O252" s="1"/>
      <c r="P252" s="1"/>
      <c r="Q252" s="1"/>
      <c r="R252" s="1"/>
      <c r="S252" s="1"/>
      <c r="T252" s="1"/>
      <c r="U252" s="1"/>
      <c r="V252" s="1"/>
      <c r="W252" s="1"/>
      <c r="X252" s="1"/>
      <c r="Y252" s="1"/>
      <c r="Z252" s="1"/>
    </row>
    <row r="253" ht="18.75" customHeight="1">
      <c r="A253" s="1"/>
      <c r="B253" s="1"/>
      <c r="C253" s="1"/>
      <c r="D253" s="228"/>
      <c r="E253" s="228"/>
      <c r="F253" s="228"/>
      <c r="G253" s="1"/>
      <c r="H253" s="1"/>
      <c r="I253" s="1"/>
      <c r="J253" s="1"/>
      <c r="K253" s="1"/>
      <c r="L253" s="1"/>
      <c r="M253" s="1"/>
      <c r="N253" s="1"/>
      <c r="O253" s="1"/>
      <c r="P253" s="1"/>
      <c r="Q253" s="1"/>
      <c r="R253" s="1"/>
      <c r="S253" s="1"/>
      <c r="T253" s="1"/>
      <c r="U253" s="1"/>
      <c r="V253" s="1"/>
      <c r="W253" s="1"/>
      <c r="X253" s="1"/>
      <c r="Y253" s="1"/>
      <c r="Z253" s="1"/>
    </row>
    <row r="254" ht="18.75" customHeight="1">
      <c r="A254" s="1"/>
      <c r="B254" s="1"/>
      <c r="C254" s="1"/>
      <c r="D254" s="228"/>
      <c r="E254" s="228"/>
      <c r="F254" s="228"/>
      <c r="G254" s="1"/>
      <c r="H254" s="1"/>
      <c r="I254" s="1"/>
      <c r="J254" s="1"/>
      <c r="K254" s="1"/>
      <c r="L254" s="1"/>
      <c r="M254" s="1"/>
      <c r="N254" s="1"/>
      <c r="O254" s="1"/>
      <c r="P254" s="1"/>
      <c r="Q254" s="1"/>
      <c r="R254" s="1"/>
      <c r="S254" s="1"/>
      <c r="T254" s="1"/>
      <c r="U254" s="1"/>
      <c r="V254" s="1"/>
      <c r="W254" s="1"/>
      <c r="X254" s="1"/>
      <c r="Y254" s="1"/>
      <c r="Z254" s="1"/>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H3"/>
  </mergeCells>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workbookViewId="0"/>
  </sheetViews>
  <sheetFormatPr customHeight="1" defaultColWidth="12.63" defaultRowHeight="15.0"/>
  <cols>
    <col customWidth="1" min="1" max="1" width="3.5"/>
    <col customWidth="1" min="2" max="2" width="3.0"/>
    <col customWidth="1" min="3" max="3" width="8.0"/>
    <col customWidth="1" min="4" max="4" width="1.63"/>
    <col customWidth="1" min="5" max="5" width="4.5"/>
    <col customWidth="1" min="6" max="6" width="6.88"/>
    <col customWidth="1" min="7" max="7" width="8.25"/>
    <col customWidth="1" min="8" max="8" width="2.38"/>
    <col customWidth="1" min="9" max="10" width="2.13"/>
    <col customWidth="1" min="11" max="11" width="2.0"/>
    <col customWidth="1" min="12" max="12" width="6.25"/>
    <col customWidth="1" min="13" max="13" width="2.75"/>
    <col customWidth="1" min="14" max="14" width="3.25"/>
    <col customWidth="1" min="15" max="15" width="3.0"/>
    <col customWidth="1" min="16" max="16" width="8.0"/>
    <col customWidth="1" min="17" max="17" width="1.63"/>
    <col customWidth="1" min="18" max="18" width="4.5"/>
    <col customWidth="1" min="19" max="19" width="5.88"/>
    <col customWidth="1" min="20" max="20" width="8.25"/>
    <col customWidth="1" min="21" max="21" width="2.38"/>
    <col customWidth="1" min="22" max="23" width="2.13"/>
    <col customWidth="1" min="24" max="24" width="2.0"/>
    <col customWidth="1" min="25" max="25" width="6.88"/>
    <col customWidth="1" min="26" max="26" width="3.88"/>
    <col customWidth="1" min="27" max="27" width="3.63"/>
    <col customWidth="1" min="28" max="28" width="3.0"/>
    <col customWidth="1" min="29" max="29" width="8.0"/>
    <col customWidth="1" min="30" max="30" width="1.63"/>
    <col customWidth="1" min="31" max="31" width="4.5"/>
    <col customWidth="1" min="32" max="32" width="5.0"/>
    <col customWidth="1" min="33" max="33" width="8.25"/>
    <col customWidth="1" min="34" max="34" width="2.38"/>
    <col customWidth="1" min="35" max="36" width="2.13"/>
    <col customWidth="1" min="37" max="37" width="2.0"/>
    <col customWidth="1" min="38" max="38" width="5.5"/>
    <col customWidth="1" min="39" max="39" width="5.0"/>
    <col customWidth="1" min="40" max="40" width="3.5"/>
    <col customWidth="1" min="41" max="41" width="3.0"/>
    <col customWidth="1" min="42" max="42" width="8.0"/>
    <col customWidth="1" min="43" max="43" width="1.63"/>
    <col customWidth="1" min="44" max="44" width="4.5"/>
    <col customWidth="1" min="45" max="45" width="6.13"/>
    <col customWidth="1" min="46" max="46" width="8.25"/>
    <col customWidth="1" min="47" max="47" width="2.38"/>
    <col customWidth="1" min="48" max="49" width="2.13"/>
    <col customWidth="1" min="50" max="50" width="2.0"/>
    <col customWidth="1" min="51" max="51" width="4.5"/>
    <col customWidth="1" min="52" max="52" width="4.63"/>
    <col customWidth="1" min="53" max="53" width="2.0"/>
    <col customWidth="1" min="54" max="54" width="10.13"/>
    <col customWidth="1" min="55" max="62" width="8.0"/>
    <col customWidth="1" min="63" max="63" width="12.0"/>
  </cols>
  <sheetData>
    <row r="2">
      <c r="A2" s="8" t="str">
        <f>BB3</f>
        <v>PK-AZD</v>
      </c>
      <c r="B2" s="9"/>
      <c r="C2" s="9"/>
      <c r="D2" s="9"/>
      <c r="E2" s="9"/>
      <c r="F2" s="13"/>
      <c r="N2" s="367"/>
      <c r="AA2" s="367"/>
      <c r="AN2" s="367"/>
      <c r="BB2" s="603">
        <f>TODAY()</f>
        <v>46278</v>
      </c>
      <c r="BC2" s="604"/>
      <c r="BD2" s="604"/>
      <c r="BE2" s="604"/>
      <c r="BF2" s="604"/>
      <c r="BG2" s="604"/>
      <c r="BH2" s="605" t="s">
        <v>0</v>
      </c>
      <c r="BI2" s="6"/>
      <c r="BJ2" s="604"/>
      <c r="BK2" s="604"/>
    </row>
    <row r="3">
      <c r="A3" s="30" t="s">
        <v>4</v>
      </c>
      <c r="B3" s="32"/>
      <c r="C3" s="32"/>
      <c r="D3" s="32"/>
      <c r="E3" s="32"/>
      <c r="F3" s="32"/>
      <c r="G3" s="32"/>
      <c r="H3" s="32"/>
      <c r="I3" s="32"/>
      <c r="J3" s="32"/>
      <c r="K3" s="32"/>
      <c r="L3" s="32"/>
      <c r="M3" s="35"/>
      <c r="N3" s="30" t="s">
        <v>4</v>
      </c>
      <c r="O3" s="32"/>
      <c r="P3" s="32"/>
      <c r="Q3" s="32"/>
      <c r="R3" s="32"/>
      <c r="S3" s="32"/>
      <c r="T3" s="32"/>
      <c r="U3" s="32"/>
      <c r="V3" s="32"/>
      <c r="W3" s="32"/>
      <c r="X3" s="32"/>
      <c r="Y3" s="32"/>
      <c r="Z3" s="35"/>
      <c r="AA3" s="30" t="s">
        <v>4</v>
      </c>
      <c r="AB3" s="32"/>
      <c r="AC3" s="32"/>
      <c r="AD3" s="32"/>
      <c r="AE3" s="32"/>
      <c r="AF3" s="32"/>
      <c r="AG3" s="32"/>
      <c r="AH3" s="32"/>
      <c r="AI3" s="32"/>
      <c r="AJ3" s="32"/>
      <c r="AK3" s="32"/>
      <c r="AL3" s="32"/>
      <c r="AM3" s="35"/>
      <c r="AN3" s="30" t="s">
        <v>4</v>
      </c>
      <c r="AO3" s="32"/>
      <c r="AP3" s="32"/>
      <c r="AQ3" s="32"/>
      <c r="AR3" s="32"/>
      <c r="AS3" s="32"/>
      <c r="AT3" s="32"/>
      <c r="AU3" s="32"/>
      <c r="AV3" s="32"/>
      <c r="AW3" s="32"/>
      <c r="AX3" s="32"/>
      <c r="AY3" s="32"/>
      <c r="AZ3" s="35"/>
      <c r="BB3" s="609" t="s">
        <v>154</v>
      </c>
      <c r="BC3" s="604"/>
      <c r="BD3" s="604"/>
      <c r="BE3" s="604"/>
      <c r="BF3" s="604"/>
      <c r="BG3" s="604"/>
      <c r="BH3" s="611">
        <f>BE4-BJ3</f>
        <v>0.2430555556</v>
      </c>
      <c r="BI3" s="12"/>
      <c r="BJ3" s="612">
        <v>0.25</v>
      </c>
      <c r="BK3" s="604"/>
    </row>
    <row r="4">
      <c r="A4" s="56"/>
      <c r="B4" s="48" t="s">
        <v>19</v>
      </c>
      <c r="C4" s="49"/>
      <c r="D4" s="49"/>
      <c r="E4" s="49"/>
      <c r="F4" s="49"/>
      <c r="G4" s="51"/>
      <c r="H4" s="51"/>
      <c r="I4" s="51"/>
      <c r="J4" s="54">
        <v>1.0</v>
      </c>
      <c r="K4" s="9"/>
      <c r="L4" s="13"/>
      <c r="M4" s="55"/>
      <c r="N4" s="46"/>
      <c r="O4" s="48" t="s">
        <v>19</v>
      </c>
      <c r="P4" s="49"/>
      <c r="Q4" s="49"/>
      <c r="R4" s="49"/>
      <c r="S4" s="49"/>
      <c r="T4" s="51"/>
      <c r="U4" s="51"/>
      <c r="V4" s="51"/>
      <c r="W4" s="54">
        <v>2.0</v>
      </c>
      <c r="X4" s="9"/>
      <c r="Y4" s="13"/>
      <c r="Z4" s="55"/>
      <c r="AA4" s="56"/>
      <c r="AB4" s="57" t="s">
        <v>19</v>
      </c>
      <c r="AC4" s="49"/>
      <c r="AD4" s="49"/>
      <c r="AE4" s="49"/>
      <c r="AF4" s="49"/>
      <c r="AG4" s="59"/>
      <c r="AH4" s="59"/>
      <c r="AI4" s="59"/>
      <c r="AJ4" s="60">
        <v>3.0</v>
      </c>
      <c r="AK4" s="9"/>
      <c r="AL4" s="13"/>
      <c r="AM4" s="61"/>
      <c r="AN4" s="56"/>
      <c r="AO4" s="57" t="s">
        <v>19</v>
      </c>
      <c r="AP4" s="49"/>
      <c r="AQ4" s="49"/>
      <c r="AR4" s="49"/>
      <c r="AS4" s="49"/>
      <c r="AT4" s="59"/>
      <c r="AU4" s="59"/>
      <c r="AV4" s="59"/>
      <c r="AW4" s="60">
        <v>4.0</v>
      </c>
      <c r="AX4" s="9"/>
      <c r="AY4" s="13"/>
      <c r="AZ4" s="61"/>
      <c r="BB4" s="613" t="s">
        <v>304</v>
      </c>
      <c r="BC4" s="613" t="s">
        <v>13</v>
      </c>
      <c r="BD4" s="613" t="s">
        <v>245</v>
      </c>
      <c r="BE4" s="614">
        <v>0.493055555555556</v>
      </c>
      <c r="BF4" s="614">
        <v>0.645833333333333</v>
      </c>
      <c r="BG4" s="604"/>
      <c r="BH4" s="604"/>
      <c r="BI4" s="604"/>
      <c r="BJ4" s="604"/>
      <c r="BK4" s="604"/>
    </row>
    <row r="5">
      <c r="A5" s="56"/>
      <c r="B5" s="68"/>
      <c r="C5" s="68"/>
      <c r="D5" s="69"/>
      <c r="E5" s="70"/>
      <c r="F5" s="70"/>
      <c r="G5" s="70"/>
      <c r="H5" s="70"/>
      <c r="I5" s="70"/>
      <c r="J5" s="69"/>
      <c r="K5" s="69"/>
      <c r="L5" s="73"/>
      <c r="M5" s="55"/>
      <c r="N5" s="46"/>
      <c r="O5" s="68"/>
      <c r="P5" s="68"/>
      <c r="Q5" s="69"/>
      <c r="R5" s="70"/>
      <c r="S5" s="70"/>
      <c r="T5" s="70"/>
      <c r="U5" s="70"/>
      <c r="V5" s="70"/>
      <c r="W5" s="69"/>
      <c r="X5" s="69"/>
      <c r="Y5" s="73"/>
      <c r="Z5" s="55"/>
      <c r="AA5" s="56"/>
      <c r="AB5" s="76"/>
      <c r="AC5" s="76"/>
      <c r="AD5" s="77"/>
      <c r="AE5" s="79"/>
      <c r="AF5" s="79"/>
      <c r="AG5" s="79"/>
      <c r="AH5" s="79"/>
      <c r="AI5" s="79"/>
      <c r="AJ5" s="77"/>
      <c r="AK5" s="77"/>
      <c r="AL5" s="81"/>
      <c r="AM5" s="61"/>
      <c r="AN5" s="56"/>
      <c r="AO5" s="76"/>
      <c r="AP5" s="76"/>
      <c r="AQ5" s="77"/>
      <c r="AR5" s="79"/>
      <c r="AS5" s="79"/>
      <c r="AT5" s="79"/>
      <c r="AU5" s="79"/>
      <c r="AV5" s="79"/>
      <c r="AW5" s="77"/>
      <c r="AX5" s="77"/>
      <c r="AY5" s="81"/>
      <c r="AZ5" s="61"/>
      <c r="BB5" s="613" t="s">
        <v>305</v>
      </c>
      <c r="BC5" s="613" t="str">
        <f>BD4</f>
        <v>DMK</v>
      </c>
      <c r="BD5" s="613" t="s">
        <v>13</v>
      </c>
      <c r="BE5" s="614">
        <v>0.666666666666667</v>
      </c>
      <c r="BF5" s="614">
        <v>0.8125</v>
      </c>
      <c r="BG5" s="615" t="str">
        <f>BB3</f>
        <v>PK-AZD</v>
      </c>
      <c r="BH5" s="604"/>
      <c r="BI5" s="604"/>
      <c r="BJ5" s="604"/>
      <c r="BK5" s="604"/>
    </row>
    <row r="6" ht="18.0" customHeight="1">
      <c r="A6" s="56"/>
      <c r="B6" s="85" t="s">
        <v>42</v>
      </c>
      <c r="C6" s="87"/>
      <c r="D6" s="88"/>
      <c r="E6" s="91" t="str">
        <f>BB4</f>
        <v>AWQ 258</v>
      </c>
      <c r="F6" s="88"/>
      <c r="G6" s="405" t="s">
        <v>43</v>
      </c>
      <c r="H6" s="91"/>
      <c r="I6" s="87"/>
      <c r="J6" s="87"/>
      <c r="K6" s="87"/>
      <c r="L6" s="88"/>
      <c r="M6" s="55"/>
      <c r="N6" s="46"/>
      <c r="O6" s="85" t="s">
        <v>42</v>
      </c>
      <c r="P6" s="87"/>
      <c r="Q6" s="88"/>
      <c r="R6" s="91" t="str">
        <f>BB5</f>
        <v>AWQ 259</v>
      </c>
      <c r="S6" s="88"/>
      <c r="T6" s="405" t="s">
        <v>43</v>
      </c>
      <c r="U6" s="616"/>
      <c r="V6" s="87"/>
      <c r="W6" s="87"/>
      <c r="X6" s="87"/>
      <c r="Y6" s="88"/>
      <c r="Z6" s="55"/>
      <c r="AA6" s="56"/>
      <c r="AB6" s="97" t="s">
        <v>42</v>
      </c>
      <c r="AC6" s="87"/>
      <c r="AD6" s="88"/>
      <c r="AE6" s="617" t="str">
        <f>BB6</f>
        <v>AWQ 202</v>
      </c>
      <c r="AF6" s="88"/>
      <c r="AG6" s="618" t="s">
        <v>43</v>
      </c>
      <c r="AH6" s="617"/>
      <c r="AI6" s="87"/>
      <c r="AJ6" s="87"/>
      <c r="AK6" s="87"/>
      <c r="AL6" s="88"/>
      <c r="AM6" s="61"/>
      <c r="AN6" s="56"/>
      <c r="AO6" s="97" t="s">
        <v>42</v>
      </c>
      <c r="AP6" s="87"/>
      <c r="AQ6" s="88"/>
      <c r="AR6" s="617" t="str">
        <f>BB7</f>
        <v>AWQ 203</v>
      </c>
      <c r="AS6" s="88"/>
      <c r="AT6" s="618" t="s">
        <v>43</v>
      </c>
      <c r="AU6" s="617"/>
      <c r="AV6" s="87"/>
      <c r="AW6" s="87"/>
      <c r="AX6" s="87"/>
      <c r="AY6" s="88"/>
      <c r="AZ6" s="61"/>
      <c r="BB6" s="619" t="s">
        <v>306</v>
      </c>
      <c r="BC6" s="619" t="s">
        <v>13</v>
      </c>
      <c r="BD6" s="619" t="s">
        <v>14</v>
      </c>
      <c r="BE6" s="620">
        <v>0.479166666666667</v>
      </c>
      <c r="BF6" s="620">
        <v>0.565972222222222</v>
      </c>
      <c r="BG6" s="604"/>
      <c r="BH6" s="621" t="s">
        <v>0</v>
      </c>
      <c r="BI6" s="6"/>
      <c r="BJ6" s="604"/>
      <c r="BK6" s="604"/>
    </row>
    <row r="7" ht="18.0" customHeight="1">
      <c r="A7" s="56"/>
      <c r="B7" s="85" t="s">
        <v>57</v>
      </c>
      <c r="C7" s="87"/>
      <c r="D7" s="88"/>
      <c r="E7" s="107" t="str">
        <f>BB3</f>
        <v>PK-AZD</v>
      </c>
      <c r="F7" s="88"/>
      <c r="G7" s="405" t="s">
        <v>59</v>
      </c>
      <c r="H7" s="109">
        <f>BE4</f>
        <v>0.4930555556</v>
      </c>
      <c r="I7" s="87"/>
      <c r="J7" s="87"/>
      <c r="K7" s="87"/>
      <c r="L7" s="88"/>
      <c r="M7" s="110"/>
      <c r="N7" s="46"/>
      <c r="O7" s="85" t="s">
        <v>57</v>
      </c>
      <c r="P7" s="87"/>
      <c r="Q7" s="88"/>
      <c r="R7" s="622" t="str">
        <f>BG5</f>
        <v>PK-AZD</v>
      </c>
      <c r="S7" s="88"/>
      <c r="T7" s="405" t="s">
        <v>59</v>
      </c>
      <c r="U7" s="623">
        <f>BE5</f>
        <v>0.6666666667</v>
      </c>
      <c r="V7" s="87"/>
      <c r="W7" s="87"/>
      <c r="X7" s="87"/>
      <c r="Y7" s="88"/>
      <c r="Z7" s="110"/>
      <c r="AA7" s="56"/>
      <c r="AB7" s="97" t="s">
        <v>57</v>
      </c>
      <c r="AC7" s="87"/>
      <c r="AD7" s="88"/>
      <c r="AE7" s="624" t="str">
        <f>R7</f>
        <v>PK-AZD</v>
      </c>
      <c r="AF7" s="88"/>
      <c r="AG7" s="618" t="s">
        <v>59</v>
      </c>
      <c r="AH7" s="625">
        <f>BE6</f>
        <v>0.4791666667</v>
      </c>
      <c r="AI7" s="87"/>
      <c r="AJ7" s="87"/>
      <c r="AK7" s="87"/>
      <c r="AL7" s="88"/>
      <c r="AM7" s="116"/>
      <c r="AN7" s="56"/>
      <c r="AO7" s="97" t="s">
        <v>57</v>
      </c>
      <c r="AP7" s="87"/>
      <c r="AQ7" s="88"/>
      <c r="AR7" s="624" t="str">
        <f>AE7</f>
        <v>PK-AZD</v>
      </c>
      <c r="AS7" s="88"/>
      <c r="AT7" s="618" t="s">
        <v>59</v>
      </c>
      <c r="AU7" s="625">
        <f>BE7</f>
        <v>0.5833333333</v>
      </c>
      <c r="AV7" s="87"/>
      <c r="AW7" s="87"/>
      <c r="AX7" s="87"/>
      <c r="AY7" s="88"/>
      <c r="AZ7" s="116"/>
      <c r="BB7" s="619" t="s">
        <v>307</v>
      </c>
      <c r="BC7" s="619" t="str">
        <f>BD6</f>
        <v>KUL</v>
      </c>
      <c r="BD7" s="619" t="s">
        <v>13</v>
      </c>
      <c r="BE7" s="620">
        <v>0.583333333333333</v>
      </c>
      <c r="BF7" s="620">
        <v>0.670138888888889</v>
      </c>
      <c r="BG7" s="604"/>
      <c r="BH7" s="626">
        <f>BE4-BJ7</f>
        <v>0.3680555556</v>
      </c>
      <c r="BI7" s="12"/>
      <c r="BJ7" s="627">
        <v>0.125</v>
      </c>
      <c r="BK7" s="604"/>
    </row>
    <row r="8" ht="18.0" customHeight="1">
      <c r="A8" s="56"/>
      <c r="B8" s="85" t="s">
        <v>65</v>
      </c>
      <c r="C8" s="87"/>
      <c r="D8" s="88"/>
      <c r="E8" s="91" t="str">
        <f>BC4</f>
        <v>CGK</v>
      </c>
      <c r="F8" s="88"/>
      <c r="G8" s="405" t="s">
        <v>67</v>
      </c>
      <c r="H8" s="118">
        <f>BD11</f>
        <v>0</v>
      </c>
      <c r="I8" s="87"/>
      <c r="J8" s="87"/>
      <c r="K8" s="87"/>
      <c r="L8" s="88"/>
      <c r="M8" s="110"/>
      <c r="N8" s="46"/>
      <c r="O8" s="85" t="s">
        <v>65</v>
      </c>
      <c r="P8" s="87"/>
      <c r="Q8" s="88"/>
      <c r="R8" s="91" t="str">
        <f>BC5</f>
        <v>DMK</v>
      </c>
      <c r="S8" s="88"/>
      <c r="T8" s="405" t="s">
        <v>67</v>
      </c>
      <c r="U8" s="628">
        <f>BD12</f>
        <v>0</v>
      </c>
      <c r="V8" s="87"/>
      <c r="W8" s="87"/>
      <c r="X8" s="87"/>
      <c r="Y8" s="88"/>
      <c r="Z8" s="110"/>
      <c r="AA8" s="56"/>
      <c r="AB8" s="97" t="s">
        <v>65</v>
      </c>
      <c r="AC8" s="87"/>
      <c r="AD8" s="88"/>
      <c r="AE8" s="617" t="str">
        <f>BC6</f>
        <v>CGK</v>
      </c>
      <c r="AF8" s="88"/>
      <c r="AG8" s="618" t="s">
        <v>67</v>
      </c>
      <c r="AH8" s="629" t="str">
        <f>BD13</f>
        <v/>
      </c>
      <c r="AI8" s="87"/>
      <c r="AJ8" s="87"/>
      <c r="AK8" s="87"/>
      <c r="AL8" s="88"/>
      <c r="AM8" s="116"/>
      <c r="AN8" s="56"/>
      <c r="AO8" s="97" t="s">
        <v>65</v>
      </c>
      <c r="AP8" s="87"/>
      <c r="AQ8" s="88"/>
      <c r="AR8" s="617" t="str">
        <f>BC7</f>
        <v>KUL</v>
      </c>
      <c r="AS8" s="88"/>
      <c r="AT8" s="618" t="s">
        <v>67</v>
      </c>
      <c r="AU8" s="629" t="str">
        <f>BD14</f>
        <v/>
      </c>
      <c r="AV8" s="87"/>
      <c r="AW8" s="87"/>
      <c r="AX8" s="87"/>
      <c r="AY8" s="88"/>
      <c r="AZ8" s="116"/>
      <c r="BB8" s="604"/>
      <c r="BC8" s="604"/>
      <c r="BD8" s="604"/>
      <c r="BE8" s="604"/>
      <c r="BF8" s="604"/>
      <c r="BG8" s="604"/>
      <c r="BH8" s="604"/>
      <c r="BI8" s="604"/>
      <c r="BJ8" s="604"/>
      <c r="BK8" s="604"/>
    </row>
    <row r="9" ht="18.0" customHeight="1">
      <c r="A9" s="56"/>
      <c r="B9" s="85" t="s">
        <v>71</v>
      </c>
      <c r="C9" s="87"/>
      <c r="D9" s="88"/>
      <c r="E9" s="122">
        <f>BB2-1</f>
        <v>46277</v>
      </c>
      <c r="F9" s="88"/>
      <c r="G9" s="405" t="s">
        <v>72</v>
      </c>
      <c r="H9" s="118" t="str">
        <f>BB11</f>
        <v/>
      </c>
      <c r="I9" s="87"/>
      <c r="J9" s="87"/>
      <c r="K9" s="87"/>
      <c r="L9" s="88"/>
      <c r="M9" s="110"/>
      <c r="N9" s="46"/>
      <c r="O9" s="85" t="s">
        <v>71</v>
      </c>
      <c r="P9" s="87"/>
      <c r="Q9" s="88"/>
      <c r="R9" s="122">
        <f>E9+1</f>
        <v>46278</v>
      </c>
      <c r="S9" s="88"/>
      <c r="T9" s="405" t="s">
        <v>72</v>
      </c>
      <c r="U9" s="628" t="str">
        <f>BB12</f>
        <v/>
      </c>
      <c r="V9" s="87"/>
      <c r="W9" s="87"/>
      <c r="X9" s="87"/>
      <c r="Y9" s="88"/>
      <c r="Z9" s="110"/>
      <c r="AA9" s="56"/>
      <c r="AB9" s="97" t="s">
        <v>71</v>
      </c>
      <c r="AC9" s="87"/>
      <c r="AD9" s="88"/>
      <c r="AE9" s="630">
        <f>R9</f>
        <v>46278</v>
      </c>
      <c r="AF9" s="88"/>
      <c r="AG9" s="618" t="s">
        <v>72</v>
      </c>
      <c r="AH9" s="629" t="str">
        <f>BB13</f>
        <v/>
      </c>
      <c r="AI9" s="87"/>
      <c r="AJ9" s="87"/>
      <c r="AK9" s="87"/>
      <c r="AL9" s="88"/>
      <c r="AM9" s="116"/>
      <c r="AN9" s="56"/>
      <c r="AO9" s="97" t="s">
        <v>71</v>
      </c>
      <c r="AP9" s="87"/>
      <c r="AQ9" s="88"/>
      <c r="AR9" s="630">
        <f>AE9</f>
        <v>46278</v>
      </c>
      <c r="AS9" s="88"/>
      <c r="AT9" s="618" t="s">
        <v>72</v>
      </c>
      <c r="AU9" s="629" t="str">
        <f>BB14</f>
        <v/>
      </c>
      <c r="AV9" s="87"/>
      <c r="AW9" s="87"/>
      <c r="AX9" s="87"/>
      <c r="AY9" s="88"/>
      <c r="AZ9" s="116"/>
      <c r="BB9" s="604"/>
      <c r="BC9" s="604"/>
      <c r="BD9" s="604"/>
      <c r="BE9" s="604"/>
      <c r="BF9" s="604"/>
      <c r="BG9" s="604"/>
      <c r="BH9" s="604"/>
      <c r="BI9" s="604"/>
      <c r="BJ9" s="604"/>
      <c r="BK9" s="604"/>
    </row>
    <row r="10" ht="23.25" customHeight="1">
      <c r="A10" s="56"/>
      <c r="B10" s="136"/>
      <c r="C10" s="136"/>
      <c r="D10" s="137"/>
      <c r="E10" s="137"/>
      <c r="F10" s="138"/>
      <c r="G10" s="138"/>
      <c r="H10" s="139"/>
      <c r="I10" s="138"/>
      <c r="J10" s="138"/>
      <c r="K10" s="138"/>
      <c r="L10" s="138"/>
      <c r="M10" s="142"/>
      <c r="N10" s="46"/>
      <c r="O10" s="136"/>
      <c r="P10" s="136"/>
      <c r="Q10" s="137"/>
      <c r="R10" s="413"/>
      <c r="S10" s="414"/>
      <c r="T10" s="414"/>
      <c r="U10" s="415"/>
      <c r="V10" s="414"/>
      <c r="W10" s="414"/>
      <c r="X10" s="414"/>
      <c r="Y10" s="414"/>
      <c r="Z10" s="142"/>
      <c r="AA10" s="56"/>
      <c r="AB10" s="144"/>
      <c r="AC10" s="144"/>
      <c r="AD10" s="145"/>
      <c r="AE10" s="631"/>
      <c r="AF10" s="632"/>
      <c r="AG10" s="632"/>
      <c r="AH10" s="633"/>
      <c r="AI10" s="632"/>
      <c r="AJ10" s="632"/>
      <c r="AK10" s="632"/>
      <c r="AL10" s="632"/>
      <c r="AM10" s="148"/>
      <c r="AN10" s="56"/>
      <c r="AO10" s="144"/>
      <c r="AP10" s="144"/>
      <c r="AQ10" s="145"/>
      <c r="AR10" s="631"/>
      <c r="AS10" s="632"/>
      <c r="AT10" s="632"/>
      <c r="AU10" s="633"/>
      <c r="AV10" s="632"/>
      <c r="AW10" s="632"/>
      <c r="AX10" s="632"/>
      <c r="AY10" s="632"/>
      <c r="AZ10" s="148"/>
      <c r="BB10" s="634" t="s">
        <v>28</v>
      </c>
      <c r="BC10" s="634" t="s">
        <v>29</v>
      </c>
      <c r="BD10" s="634" t="s">
        <v>147</v>
      </c>
      <c r="BE10" s="634" t="s">
        <v>31</v>
      </c>
      <c r="BF10" s="634" t="s">
        <v>32</v>
      </c>
      <c r="BG10" s="634" t="s">
        <v>79</v>
      </c>
      <c r="BH10" s="634" t="s">
        <v>33</v>
      </c>
      <c r="BI10" s="634" t="s">
        <v>34</v>
      </c>
      <c r="BJ10" s="634" t="s">
        <v>35</v>
      </c>
      <c r="BK10" s="604"/>
    </row>
    <row r="11" ht="18.75" customHeight="1">
      <c r="A11" s="56"/>
      <c r="B11" s="151" t="s">
        <v>81</v>
      </c>
      <c r="C11" s="151"/>
      <c r="D11" s="151"/>
      <c r="E11" s="156"/>
      <c r="F11" s="156"/>
      <c r="G11" s="153">
        <v>66000.0</v>
      </c>
      <c r="H11" s="87"/>
      <c r="I11" s="87"/>
      <c r="J11" s="87"/>
      <c r="K11" s="87"/>
      <c r="L11" s="88"/>
      <c r="M11" s="154"/>
      <c r="N11" s="46"/>
      <c r="O11" s="151" t="s">
        <v>81</v>
      </c>
      <c r="P11" s="151"/>
      <c r="Q11" s="151"/>
      <c r="R11" s="69"/>
      <c r="S11" s="69"/>
      <c r="T11" s="153">
        <v>66000.0</v>
      </c>
      <c r="U11" s="87"/>
      <c r="V11" s="87"/>
      <c r="W11" s="87"/>
      <c r="X11" s="87"/>
      <c r="Y11" s="88"/>
      <c r="Z11" s="154"/>
      <c r="AA11" s="56"/>
      <c r="AB11" s="157" t="s">
        <v>81</v>
      </c>
      <c r="AC11" s="157"/>
      <c r="AD11" s="157"/>
      <c r="AE11" s="77"/>
      <c r="AF11" s="77"/>
      <c r="AG11" s="635">
        <v>66000.0</v>
      </c>
      <c r="AH11" s="87"/>
      <c r="AI11" s="87"/>
      <c r="AJ11" s="87"/>
      <c r="AK11" s="87"/>
      <c r="AL11" s="88"/>
      <c r="AM11" s="161"/>
      <c r="AN11" s="56"/>
      <c r="AO11" s="157" t="s">
        <v>81</v>
      </c>
      <c r="AP11" s="157"/>
      <c r="AQ11" s="157"/>
      <c r="AR11" s="77"/>
      <c r="AS11" s="77"/>
      <c r="AT11" s="635">
        <v>66000.0</v>
      </c>
      <c r="AU11" s="87"/>
      <c r="AV11" s="87"/>
      <c r="AW11" s="87"/>
      <c r="AX11" s="87"/>
      <c r="AY11" s="88"/>
      <c r="AZ11" s="161"/>
      <c r="BB11" s="636"/>
      <c r="BC11" s="636">
        <v>0.0</v>
      </c>
      <c r="BD11" s="636">
        <v>0.0</v>
      </c>
      <c r="BE11" s="636">
        <v>1000.0</v>
      </c>
      <c r="BF11" s="636">
        <f>120+72</f>
        <v>192</v>
      </c>
      <c r="BG11" s="636"/>
      <c r="BH11" s="636" t="s">
        <v>308</v>
      </c>
      <c r="BI11" s="636">
        <v>0.0</v>
      </c>
      <c r="BJ11" s="637">
        <v>0.0</v>
      </c>
      <c r="BK11" s="604"/>
    </row>
    <row r="12" ht="18.75" customHeight="1">
      <c r="A12" s="56"/>
      <c r="B12" s="151" t="s">
        <v>86</v>
      </c>
      <c r="C12" s="151"/>
      <c r="D12" s="151"/>
      <c r="E12" s="156"/>
      <c r="F12" s="156"/>
      <c r="G12" s="172">
        <f>H8</f>
        <v>0</v>
      </c>
      <c r="H12" s="87"/>
      <c r="I12" s="87"/>
      <c r="J12" s="87"/>
      <c r="K12" s="87"/>
      <c r="L12" s="88"/>
      <c r="M12" s="110"/>
      <c r="N12" s="46"/>
      <c r="O12" s="151" t="s">
        <v>86</v>
      </c>
      <c r="P12" s="151"/>
      <c r="Q12" s="151"/>
      <c r="R12" s="69"/>
      <c r="S12" s="69"/>
      <c r="T12" s="172">
        <f>U8</f>
        <v>0</v>
      </c>
      <c r="U12" s="87"/>
      <c r="V12" s="87"/>
      <c r="W12" s="87"/>
      <c r="X12" s="87"/>
      <c r="Y12" s="88"/>
      <c r="Z12" s="110"/>
      <c r="AA12" s="56"/>
      <c r="AB12" s="157" t="s">
        <v>86</v>
      </c>
      <c r="AC12" s="157"/>
      <c r="AD12" s="157"/>
      <c r="AE12" s="77"/>
      <c r="AF12" s="77"/>
      <c r="AG12" s="638" t="str">
        <f>AH8</f>
        <v/>
      </c>
      <c r="AH12" s="87"/>
      <c r="AI12" s="87"/>
      <c r="AJ12" s="87"/>
      <c r="AK12" s="87"/>
      <c r="AL12" s="88"/>
      <c r="AM12" s="116"/>
      <c r="AN12" s="56"/>
      <c r="AO12" s="157" t="s">
        <v>86</v>
      </c>
      <c r="AP12" s="157"/>
      <c r="AQ12" s="157"/>
      <c r="AR12" s="77"/>
      <c r="AS12" s="77"/>
      <c r="AT12" s="638" t="str">
        <f>AU8</f>
        <v/>
      </c>
      <c r="AU12" s="87"/>
      <c r="AV12" s="87"/>
      <c r="AW12" s="87"/>
      <c r="AX12" s="87"/>
      <c r="AY12" s="88"/>
      <c r="AZ12" s="116"/>
      <c r="BB12" s="636"/>
      <c r="BC12" s="636">
        <v>0.0</v>
      </c>
      <c r="BD12" s="636">
        <v>0.0</v>
      </c>
      <c r="BE12" s="636">
        <v>500.0</v>
      </c>
      <c r="BF12" s="636">
        <f>96+72</f>
        <v>168</v>
      </c>
      <c r="BG12" s="636"/>
      <c r="BH12" s="636" t="s">
        <v>38</v>
      </c>
      <c r="BI12" s="639">
        <v>1000.0</v>
      </c>
      <c r="BJ12" s="636">
        <v>162.5</v>
      </c>
      <c r="BK12" s="604"/>
    </row>
    <row r="13" ht="18.75" customHeight="1">
      <c r="A13" s="56"/>
      <c r="B13" s="151" t="s">
        <v>87</v>
      </c>
      <c r="C13" s="151"/>
      <c r="D13" s="151"/>
      <c r="E13" s="156"/>
      <c r="F13" s="183" t="s">
        <v>88</v>
      </c>
      <c r="G13" s="181">
        <f>G11+G12</f>
        <v>66000</v>
      </c>
      <c r="H13" s="87"/>
      <c r="I13" s="87"/>
      <c r="J13" s="87"/>
      <c r="K13" s="87"/>
      <c r="L13" s="88"/>
      <c r="M13" s="110"/>
      <c r="N13" s="46"/>
      <c r="O13" s="151" t="s">
        <v>87</v>
      </c>
      <c r="P13" s="151"/>
      <c r="Q13" s="151"/>
      <c r="R13" s="69"/>
      <c r="S13" s="419" t="s">
        <v>88</v>
      </c>
      <c r="T13" s="181">
        <f>T11+T12</f>
        <v>66000</v>
      </c>
      <c r="U13" s="87"/>
      <c r="V13" s="87"/>
      <c r="W13" s="87"/>
      <c r="X13" s="87"/>
      <c r="Y13" s="88"/>
      <c r="Z13" s="110"/>
      <c r="AA13" s="56"/>
      <c r="AB13" s="157" t="s">
        <v>87</v>
      </c>
      <c r="AC13" s="157"/>
      <c r="AD13" s="157"/>
      <c r="AE13" s="77"/>
      <c r="AF13" s="651" t="s">
        <v>88</v>
      </c>
      <c r="AG13" s="657">
        <f>AG11+AG12</f>
        <v>66000</v>
      </c>
      <c r="AH13" s="87"/>
      <c r="AI13" s="87"/>
      <c r="AJ13" s="87"/>
      <c r="AK13" s="87"/>
      <c r="AL13" s="88"/>
      <c r="AM13" s="116"/>
      <c r="AN13" s="56"/>
      <c r="AO13" s="157" t="s">
        <v>87</v>
      </c>
      <c r="AP13" s="157"/>
      <c r="AQ13" s="157"/>
      <c r="AR13" s="77"/>
      <c r="AS13" s="651" t="s">
        <v>88</v>
      </c>
      <c r="AT13" s="657">
        <f>AT11+AT12</f>
        <v>66000</v>
      </c>
      <c r="AU13" s="87"/>
      <c r="AV13" s="87"/>
      <c r="AW13" s="87"/>
      <c r="AX13" s="87"/>
      <c r="AY13" s="88"/>
      <c r="AZ13" s="116"/>
      <c r="BB13" s="658"/>
      <c r="BC13" s="658"/>
      <c r="BD13" s="658"/>
      <c r="BE13" s="658"/>
      <c r="BF13" s="658"/>
      <c r="BG13" s="658"/>
      <c r="BH13" s="658"/>
      <c r="BI13" s="658"/>
      <c r="BJ13" s="661"/>
      <c r="BK13" s="604"/>
    </row>
    <row r="14" ht="18.75" customHeight="1">
      <c r="A14" s="56"/>
      <c r="B14" s="151"/>
      <c r="C14" s="151"/>
      <c r="D14" s="151"/>
      <c r="E14" s="156"/>
      <c r="F14" s="156"/>
      <c r="G14" s="156"/>
      <c r="H14" s="156"/>
      <c r="I14" s="156"/>
      <c r="J14" s="156"/>
      <c r="K14" s="156"/>
      <c r="L14" s="156"/>
      <c r="M14" s="55"/>
      <c r="N14" s="46"/>
      <c r="O14" s="151"/>
      <c r="P14" s="151"/>
      <c r="Q14" s="151"/>
      <c r="R14" s="69"/>
      <c r="S14" s="69"/>
      <c r="T14" s="69"/>
      <c r="U14" s="69"/>
      <c r="V14" s="69"/>
      <c r="W14" s="69"/>
      <c r="X14" s="69"/>
      <c r="Y14" s="69"/>
      <c r="Z14" s="55"/>
      <c r="AA14" s="56"/>
      <c r="AB14" s="157"/>
      <c r="AC14" s="157"/>
      <c r="AD14" s="157"/>
      <c r="AE14" s="77"/>
      <c r="AF14" s="77"/>
      <c r="AG14" s="77"/>
      <c r="AH14" s="77"/>
      <c r="AI14" s="77"/>
      <c r="AJ14" s="77"/>
      <c r="AK14" s="77"/>
      <c r="AL14" s="77"/>
      <c r="AM14" s="61"/>
      <c r="AN14" s="56"/>
      <c r="AO14" s="157"/>
      <c r="AP14" s="157"/>
      <c r="AQ14" s="157"/>
      <c r="AR14" s="77"/>
      <c r="AS14" s="77"/>
      <c r="AT14" s="77"/>
      <c r="AU14" s="77"/>
      <c r="AV14" s="77"/>
      <c r="AW14" s="77"/>
      <c r="AX14" s="77"/>
      <c r="AY14" s="77"/>
      <c r="AZ14" s="61"/>
      <c r="BB14" s="658"/>
      <c r="BC14" s="658"/>
      <c r="BD14" s="658"/>
      <c r="BE14" s="658"/>
      <c r="BF14" s="658"/>
      <c r="BG14" s="658"/>
      <c r="BH14" s="658"/>
      <c r="BI14" s="670"/>
      <c r="BJ14" s="658"/>
      <c r="BK14" s="604"/>
    </row>
    <row r="15" ht="18.75" customHeight="1">
      <c r="A15" s="56"/>
      <c r="B15" s="195" t="s">
        <v>90</v>
      </c>
      <c r="C15" s="196"/>
      <c r="D15" s="196"/>
      <c r="E15" s="201"/>
      <c r="F15" s="201"/>
      <c r="G15" s="201"/>
      <c r="H15" s="202"/>
      <c r="I15" s="204" t="s">
        <v>91</v>
      </c>
      <c r="J15" s="87"/>
      <c r="K15" s="87"/>
      <c r="L15" s="88"/>
      <c r="M15" s="55"/>
      <c r="N15" s="46"/>
      <c r="O15" s="195" t="s">
        <v>90</v>
      </c>
      <c r="P15" s="196"/>
      <c r="Q15" s="196"/>
      <c r="R15" s="672"/>
      <c r="S15" s="672"/>
      <c r="T15" s="672"/>
      <c r="U15" s="673"/>
      <c r="V15" s="675" t="s">
        <v>91</v>
      </c>
      <c r="W15" s="87"/>
      <c r="X15" s="87"/>
      <c r="Y15" s="88"/>
      <c r="Z15" s="55"/>
      <c r="AA15" s="56"/>
      <c r="AB15" s="205" t="s">
        <v>90</v>
      </c>
      <c r="AC15" s="206"/>
      <c r="AD15" s="206"/>
      <c r="AE15" s="680"/>
      <c r="AF15" s="680"/>
      <c r="AG15" s="680"/>
      <c r="AH15" s="681"/>
      <c r="AI15" s="684" t="s">
        <v>91</v>
      </c>
      <c r="AJ15" s="87"/>
      <c r="AK15" s="87"/>
      <c r="AL15" s="88"/>
      <c r="AM15" s="61"/>
      <c r="AN15" s="56"/>
      <c r="AO15" s="205" t="s">
        <v>90</v>
      </c>
      <c r="AP15" s="206"/>
      <c r="AQ15" s="206"/>
      <c r="AR15" s="680"/>
      <c r="AS15" s="680"/>
      <c r="AT15" s="680"/>
      <c r="AU15" s="681"/>
      <c r="AV15" s="684" t="s">
        <v>91</v>
      </c>
      <c r="AW15" s="87"/>
      <c r="AX15" s="87"/>
      <c r="AY15" s="88"/>
      <c r="AZ15" s="61"/>
      <c r="BB15" s="604"/>
      <c r="BC15" s="604"/>
      <c r="BD15" s="604"/>
      <c r="BE15" s="604"/>
      <c r="BF15" s="604"/>
      <c r="BG15" s="604"/>
      <c r="BH15" s="604"/>
      <c r="BI15" s="604"/>
      <c r="BJ15" s="604"/>
      <c r="BK15" s="604"/>
    </row>
    <row r="16" ht="18.75" customHeight="1">
      <c r="A16" s="56"/>
      <c r="B16" s="211" t="s">
        <v>92</v>
      </c>
      <c r="C16" s="212"/>
      <c r="D16" s="212"/>
      <c r="E16" s="204" t="s">
        <v>93</v>
      </c>
      <c r="F16" s="87"/>
      <c r="G16" s="87"/>
      <c r="H16" s="88"/>
      <c r="I16" s="204" t="s">
        <v>94</v>
      </c>
      <c r="J16" s="87"/>
      <c r="K16" s="87"/>
      <c r="L16" s="88"/>
      <c r="M16" s="55"/>
      <c r="N16" s="46"/>
      <c r="O16" s="211" t="s">
        <v>92</v>
      </c>
      <c r="P16" s="212"/>
      <c r="Q16" s="212"/>
      <c r="R16" s="675" t="s">
        <v>93</v>
      </c>
      <c r="S16" s="87"/>
      <c r="T16" s="87"/>
      <c r="U16" s="88"/>
      <c r="V16" s="675" t="s">
        <v>94</v>
      </c>
      <c r="W16" s="87"/>
      <c r="X16" s="87"/>
      <c r="Y16" s="88"/>
      <c r="Z16" s="55"/>
      <c r="AA16" s="56"/>
      <c r="AB16" s="213" t="s">
        <v>92</v>
      </c>
      <c r="AC16" s="215"/>
      <c r="AD16" s="215"/>
      <c r="AE16" s="684" t="s">
        <v>93</v>
      </c>
      <c r="AF16" s="87"/>
      <c r="AG16" s="87"/>
      <c r="AH16" s="88"/>
      <c r="AI16" s="684" t="s">
        <v>94</v>
      </c>
      <c r="AJ16" s="87"/>
      <c r="AK16" s="87"/>
      <c r="AL16" s="88"/>
      <c r="AM16" s="61"/>
      <c r="AN16" s="56"/>
      <c r="AO16" s="213" t="s">
        <v>92</v>
      </c>
      <c r="AP16" s="215"/>
      <c r="AQ16" s="215"/>
      <c r="AR16" s="684" t="s">
        <v>93</v>
      </c>
      <c r="AS16" s="87"/>
      <c r="AT16" s="87"/>
      <c r="AU16" s="88"/>
      <c r="AV16" s="684" t="s">
        <v>94</v>
      </c>
      <c r="AW16" s="87"/>
      <c r="AX16" s="87"/>
      <c r="AY16" s="88"/>
      <c r="AZ16" s="61"/>
      <c r="BB16" s="604"/>
      <c r="BC16" s="604"/>
      <c r="BD16" s="604"/>
      <c r="BE16" s="604"/>
      <c r="BF16" s="604"/>
      <c r="BG16" s="604"/>
      <c r="BH16" s="604"/>
      <c r="BI16" s="604"/>
      <c r="BJ16" s="604"/>
      <c r="BK16" s="604"/>
    </row>
    <row r="17" ht="18.75" customHeight="1">
      <c r="A17" s="56"/>
      <c r="B17" s="195" t="s">
        <v>87</v>
      </c>
      <c r="C17" s="196"/>
      <c r="D17" s="196"/>
      <c r="E17" s="202"/>
      <c r="F17" s="183" t="s">
        <v>99</v>
      </c>
      <c r="G17" s="219">
        <v>73500.0</v>
      </c>
      <c r="H17" s="87"/>
      <c r="I17" s="87"/>
      <c r="J17" s="87"/>
      <c r="K17" s="87"/>
      <c r="L17" s="88"/>
      <c r="M17" s="55"/>
      <c r="N17" s="46"/>
      <c r="O17" s="195" t="s">
        <v>87</v>
      </c>
      <c r="P17" s="196"/>
      <c r="Q17" s="196"/>
      <c r="R17" s="673"/>
      <c r="S17" s="419" t="s">
        <v>99</v>
      </c>
      <c r="T17" s="219">
        <f>G17</f>
        <v>73500</v>
      </c>
      <c r="U17" s="87"/>
      <c r="V17" s="87"/>
      <c r="W17" s="87"/>
      <c r="X17" s="87"/>
      <c r="Y17" s="88"/>
      <c r="Z17" s="55"/>
      <c r="AA17" s="56"/>
      <c r="AB17" s="205" t="s">
        <v>87</v>
      </c>
      <c r="AC17" s="206"/>
      <c r="AD17" s="206"/>
      <c r="AE17" s="681"/>
      <c r="AF17" s="651" t="s">
        <v>99</v>
      </c>
      <c r="AG17" s="657">
        <v>73500.0</v>
      </c>
      <c r="AH17" s="87"/>
      <c r="AI17" s="87"/>
      <c r="AJ17" s="87"/>
      <c r="AK17" s="87"/>
      <c r="AL17" s="88"/>
      <c r="AM17" s="61"/>
      <c r="AN17" s="56"/>
      <c r="AO17" s="205" t="s">
        <v>87</v>
      </c>
      <c r="AP17" s="206"/>
      <c r="AQ17" s="206"/>
      <c r="AR17" s="681"/>
      <c r="AS17" s="651" t="s">
        <v>99</v>
      </c>
      <c r="AT17" s="657">
        <v>73500.0</v>
      </c>
      <c r="AU17" s="87"/>
      <c r="AV17" s="87"/>
      <c r="AW17" s="87"/>
      <c r="AX17" s="87"/>
      <c r="AY17" s="88"/>
      <c r="AZ17" s="61"/>
      <c r="BB17" s="686" t="s">
        <v>44</v>
      </c>
      <c r="BC17" s="687" t="s">
        <v>374</v>
      </c>
      <c r="BD17" s="604"/>
      <c r="BE17" s="604"/>
      <c r="BF17" s="604"/>
      <c r="BG17" s="604"/>
      <c r="BH17" s="604"/>
      <c r="BI17" s="604"/>
      <c r="BJ17" s="604"/>
      <c r="BK17" s="604"/>
    </row>
    <row r="18" ht="18.75" customHeight="1">
      <c r="A18" s="56"/>
      <c r="B18" s="151"/>
      <c r="C18" s="151"/>
      <c r="D18" s="151"/>
      <c r="E18" s="156"/>
      <c r="F18" s="156"/>
      <c r="G18" s="232"/>
      <c r="H18" s="232"/>
      <c r="I18" s="232"/>
      <c r="J18" s="232"/>
      <c r="K18" s="232"/>
      <c r="L18" s="232"/>
      <c r="M18" s="55"/>
      <c r="N18" s="46"/>
      <c r="O18" s="151"/>
      <c r="P18" s="151"/>
      <c r="Q18" s="151"/>
      <c r="R18" s="69"/>
      <c r="S18" s="69"/>
      <c r="T18" s="232"/>
      <c r="U18" s="232"/>
      <c r="V18" s="232"/>
      <c r="W18" s="232"/>
      <c r="X18" s="232"/>
      <c r="Y18" s="232"/>
      <c r="Z18" s="55"/>
      <c r="AA18" s="56"/>
      <c r="AB18" s="157"/>
      <c r="AC18" s="157"/>
      <c r="AD18" s="157"/>
      <c r="AE18" s="77"/>
      <c r="AF18" s="77"/>
      <c r="AG18" s="688"/>
      <c r="AH18" s="688"/>
      <c r="AI18" s="688"/>
      <c r="AJ18" s="688"/>
      <c r="AK18" s="688"/>
      <c r="AL18" s="688"/>
      <c r="AM18" s="61"/>
      <c r="AN18" s="56"/>
      <c r="AO18" s="157"/>
      <c r="AP18" s="157"/>
      <c r="AQ18" s="157"/>
      <c r="AR18" s="77"/>
      <c r="AS18" s="77"/>
      <c r="AT18" s="688"/>
      <c r="AU18" s="688"/>
      <c r="AV18" s="688"/>
      <c r="AW18" s="688"/>
      <c r="AX18" s="688"/>
      <c r="AY18" s="688"/>
      <c r="AZ18" s="61"/>
      <c r="BB18" s="604"/>
      <c r="BC18" s="604"/>
      <c r="BD18" s="604"/>
      <c r="BE18" s="604"/>
      <c r="BF18" s="604"/>
      <c r="BG18" s="604"/>
      <c r="BH18" s="604"/>
      <c r="BI18" s="604"/>
      <c r="BJ18" s="604"/>
      <c r="BK18" s="604"/>
    </row>
    <row r="19" ht="18.75" customHeight="1">
      <c r="A19" s="56"/>
      <c r="B19" s="195" t="s">
        <v>109</v>
      </c>
      <c r="C19" s="196"/>
      <c r="D19" s="196"/>
      <c r="E19" s="201"/>
      <c r="F19" s="202"/>
      <c r="G19" s="260">
        <f>G13</f>
        <v>66000</v>
      </c>
      <c r="H19" s="87"/>
      <c r="I19" s="87"/>
      <c r="J19" s="87"/>
      <c r="K19" s="87"/>
      <c r="L19" s="88"/>
      <c r="M19" s="110"/>
      <c r="N19" s="46"/>
      <c r="O19" s="195" t="s">
        <v>109</v>
      </c>
      <c r="P19" s="196"/>
      <c r="Q19" s="196"/>
      <c r="R19" s="672"/>
      <c r="S19" s="673"/>
      <c r="T19" s="260">
        <f>T13</f>
        <v>66000</v>
      </c>
      <c r="U19" s="87"/>
      <c r="V19" s="87"/>
      <c r="W19" s="87"/>
      <c r="X19" s="87"/>
      <c r="Y19" s="88"/>
      <c r="Z19" s="110"/>
      <c r="AA19" s="56"/>
      <c r="AB19" s="205" t="s">
        <v>109</v>
      </c>
      <c r="AC19" s="206"/>
      <c r="AD19" s="206"/>
      <c r="AE19" s="680"/>
      <c r="AF19" s="681"/>
      <c r="AG19" s="689">
        <f>AG13</f>
        <v>66000</v>
      </c>
      <c r="AH19" s="87"/>
      <c r="AI19" s="87"/>
      <c r="AJ19" s="87"/>
      <c r="AK19" s="87"/>
      <c r="AL19" s="88"/>
      <c r="AM19" s="116"/>
      <c r="AN19" s="56"/>
      <c r="AO19" s="205" t="s">
        <v>109</v>
      </c>
      <c r="AP19" s="206"/>
      <c r="AQ19" s="206"/>
      <c r="AR19" s="680"/>
      <c r="AS19" s="681"/>
      <c r="AT19" s="689">
        <f>AT13</f>
        <v>66000</v>
      </c>
      <c r="AU19" s="87"/>
      <c r="AV19" s="87"/>
      <c r="AW19" s="87"/>
      <c r="AX19" s="87"/>
      <c r="AY19" s="88"/>
      <c r="AZ19" s="116"/>
      <c r="BB19" s="686" t="s">
        <v>46</v>
      </c>
      <c r="BC19" s="228">
        <v>71137.0</v>
      </c>
      <c r="BD19" s="604"/>
      <c r="BE19" s="604"/>
      <c r="BF19" s="604"/>
      <c r="BG19" s="604"/>
      <c r="BH19" s="604"/>
      <c r="BI19" s="604"/>
      <c r="BJ19" s="604"/>
      <c r="BK19" s="604"/>
    </row>
    <row r="20" ht="18.75" customHeight="1">
      <c r="A20" s="56"/>
      <c r="B20" s="195" t="s">
        <v>113</v>
      </c>
      <c r="C20" s="196"/>
      <c r="D20" s="196"/>
      <c r="E20" s="201"/>
      <c r="F20" s="202"/>
      <c r="G20" s="268" t="str">
        <f>BG11</f>
        <v/>
      </c>
      <c r="H20" s="87"/>
      <c r="I20" s="87"/>
      <c r="J20" s="87"/>
      <c r="K20" s="87"/>
      <c r="L20" s="88"/>
      <c r="M20" s="110"/>
      <c r="N20" s="46"/>
      <c r="O20" s="195" t="s">
        <v>113</v>
      </c>
      <c r="P20" s="196"/>
      <c r="Q20" s="196"/>
      <c r="R20" s="672"/>
      <c r="S20" s="673"/>
      <c r="T20" s="268" t="str">
        <f>BG12</f>
        <v/>
      </c>
      <c r="U20" s="87"/>
      <c r="V20" s="87"/>
      <c r="W20" s="87"/>
      <c r="X20" s="87"/>
      <c r="Y20" s="88"/>
      <c r="Z20" s="110"/>
      <c r="AA20" s="56"/>
      <c r="AB20" s="205" t="s">
        <v>113</v>
      </c>
      <c r="AC20" s="206"/>
      <c r="AD20" s="206"/>
      <c r="AE20" s="680"/>
      <c r="AF20" s="681"/>
      <c r="AG20" s="690" t="str">
        <f>BG13</f>
        <v/>
      </c>
      <c r="AH20" s="87"/>
      <c r="AI20" s="87"/>
      <c r="AJ20" s="87"/>
      <c r="AK20" s="87"/>
      <c r="AL20" s="88"/>
      <c r="AM20" s="116"/>
      <c r="AN20" s="56"/>
      <c r="AO20" s="205" t="s">
        <v>113</v>
      </c>
      <c r="AP20" s="206"/>
      <c r="AQ20" s="206"/>
      <c r="AR20" s="680"/>
      <c r="AS20" s="681"/>
      <c r="AT20" s="690" t="str">
        <f>BG14</f>
        <v/>
      </c>
      <c r="AU20" s="87"/>
      <c r="AV20" s="87"/>
      <c r="AW20" s="87"/>
      <c r="AX20" s="87"/>
      <c r="AY20" s="88"/>
      <c r="AZ20" s="116"/>
      <c r="BB20" s="686" t="s">
        <v>48</v>
      </c>
      <c r="BC20" s="228">
        <v>71141.0</v>
      </c>
      <c r="BD20" s="604"/>
      <c r="BE20" s="604"/>
      <c r="BF20" s="604"/>
      <c r="BG20" s="604"/>
      <c r="BH20" s="604"/>
      <c r="BI20" s="604"/>
      <c r="BJ20" s="604"/>
      <c r="BK20" s="604"/>
    </row>
    <row r="21" ht="18.75" customHeight="1">
      <c r="A21" s="56"/>
      <c r="B21" s="195" t="s">
        <v>116</v>
      </c>
      <c r="C21" s="196"/>
      <c r="D21" s="196"/>
      <c r="E21" s="201"/>
      <c r="F21" s="202"/>
      <c r="G21" s="181">
        <f>G19-G20</f>
        <v>66000</v>
      </c>
      <c r="H21" s="87"/>
      <c r="I21" s="87"/>
      <c r="J21" s="87"/>
      <c r="K21" s="87"/>
      <c r="L21" s="88"/>
      <c r="M21" s="110"/>
      <c r="N21" s="46"/>
      <c r="O21" s="195" t="s">
        <v>116</v>
      </c>
      <c r="P21" s="196"/>
      <c r="Q21" s="196"/>
      <c r="R21" s="672"/>
      <c r="S21" s="673"/>
      <c r="T21" s="181">
        <f>T19-T20</f>
        <v>66000</v>
      </c>
      <c r="U21" s="87"/>
      <c r="V21" s="87"/>
      <c r="W21" s="87"/>
      <c r="X21" s="87"/>
      <c r="Y21" s="88"/>
      <c r="Z21" s="110"/>
      <c r="AA21" s="56"/>
      <c r="AB21" s="205" t="s">
        <v>116</v>
      </c>
      <c r="AC21" s="206"/>
      <c r="AD21" s="206"/>
      <c r="AE21" s="680"/>
      <c r="AF21" s="681"/>
      <c r="AG21" s="657">
        <f>AG19-AG20</f>
        <v>66000</v>
      </c>
      <c r="AH21" s="87"/>
      <c r="AI21" s="87"/>
      <c r="AJ21" s="87"/>
      <c r="AK21" s="87"/>
      <c r="AL21" s="88"/>
      <c r="AM21" s="116"/>
      <c r="AN21" s="56"/>
      <c r="AO21" s="205" t="s">
        <v>116</v>
      </c>
      <c r="AP21" s="206"/>
      <c r="AQ21" s="206"/>
      <c r="AR21" s="680"/>
      <c r="AS21" s="681"/>
      <c r="AT21" s="657">
        <f>AT19-AT20</f>
        <v>66000</v>
      </c>
      <c r="AU21" s="87"/>
      <c r="AV21" s="87"/>
      <c r="AW21" s="87"/>
      <c r="AX21" s="87"/>
      <c r="AY21" s="88"/>
      <c r="AZ21" s="116"/>
      <c r="BB21" s="691" t="s">
        <v>51</v>
      </c>
      <c r="BC21" s="291"/>
      <c r="BD21" s="604"/>
      <c r="BE21" s="604"/>
      <c r="BF21" s="604"/>
      <c r="BG21" s="604"/>
      <c r="BH21" s="604"/>
      <c r="BI21" s="604"/>
      <c r="BJ21" s="604"/>
      <c r="BK21" s="604"/>
    </row>
    <row r="22" ht="18.75" customHeight="1">
      <c r="A22" s="56"/>
      <c r="B22" s="195" t="s">
        <v>120</v>
      </c>
      <c r="C22" s="196"/>
      <c r="D22" s="196"/>
      <c r="E22" s="201"/>
      <c r="F22" s="202"/>
      <c r="G22" s="172">
        <f>BE11</f>
        <v>1000</v>
      </c>
      <c r="H22" s="87"/>
      <c r="I22" s="87"/>
      <c r="J22" s="87"/>
      <c r="K22" s="87"/>
      <c r="L22" s="88"/>
      <c r="M22" s="110"/>
      <c r="N22" s="46"/>
      <c r="O22" s="195" t="s">
        <v>120</v>
      </c>
      <c r="P22" s="196"/>
      <c r="Q22" s="196"/>
      <c r="R22" s="672"/>
      <c r="S22" s="673"/>
      <c r="T22" s="172">
        <f>BE12</f>
        <v>500</v>
      </c>
      <c r="U22" s="87"/>
      <c r="V22" s="87"/>
      <c r="W22" s="87"/>
      <c r="X22" s="87"/>
      <c r="Y22" s="88"/>
      <c r="Z22" s="110"/>
      <c r="AA22" s="56"/>
      <c r="AB22" s="205" t="s">
        <v>120</v>
      </c>
      <c r="AC22" s="206"/>
      <c r="AD22" s="206"/>
      <c r="AE22" s="680"/>
      <c r="AF22" s="681"/>
      <c r="AG22" s="638" t="str">
        <f>BE13</f>
        <v/>
      </c>
      <c r="AH22" s="87"/>
      <c r="AI22" s="87"/>
      <c r="AJ22" s="87"/>
      <c r="AK22" s="87"/>
      <c r="AL22" s="88"/>
      <c r="AM22" s="116"/>
      <c r="AN22" s="56"/>
      <c r="AO22" s="205" t="s">
        <v>120</v>
      </c>
      <c r="AP22" s="206"/>
      <c r="AQ22" s="206"/>
      <c r="AR22" s="680"/>
      <c r="AS22" s="681"/>
      <c r="AT22" s="638" t="str">
        <f>BE14</f>
        <v/>
      </c>
      <c r="AU22" s="87"/>
      <c r="AV22" s="87"/>
      <c r="AW22" s="87"/>
      <c r="AX22" s="87"/>
      <c r="AY22" s="88"/>
      <c r="AZ22" s="116"/>
      <c r="BB22" s="691" t="s">
        <v>52</v>
      </c>
      <c r="BC22" s="291"/>
      <c r="BD22" s="604"/>
      <c r="BE22" s="604"/>
      <c r="BF22" s="604"/>
      <c r="BG22" s="604"/>
      <c r="BH22" s="604"/>
      <c r="BI22" s="604"/>
      <c r="BJ22" s="604"/>
      <c r="BK22" s="604"/>
    </row>
    <row r="23" ht="18.75" customHeight="1">
      <c r="A23" s="56"/>
      <c r="B23" s="195" t="s">
        <v>121</v>
      </c>
      <c r="C23" s="196"/>
      <c r="D23" s="196"/>
      <c r="E23" s="201"/>
      <c r="F23" s="202"/>
      <c r="G23" s="303">
        <f>G21-G22</f>
        <v>65000</v>
      </c>
      <c r="H23" s="87"/>
      <c r="I23" s="87"/>
      <c r="J23" s="87"/>
      <c r="K23" s="87"/>
      <c r="L23" s="88"/>
      <c r="M23" s="110"/>
      <c r="N23" s="46"/>
      <c r="O23" s="195" t="s">
        <v>121</v>
      </c>
      <c r="P23" s="196"/>
      <c r="Q23" s="196"/>
      <c r="R23" s="672"/>
      <c r="S23" s="673"/>
      <c r="T23" s="303">
        <f>T21-T22</f>
        <v>65500</v>
      </c>
      <c r="U23" s="87"/>
      <c r="V23" s="87"/>
      <c r="W23" s="87"/>
      <c r="X23" s="87"/>
      <c r="Y23" s="88"/>
      <c r="Z23" s="110"/>
      <c r="AA23" s="56"/>
      <c r="AB23" s="205" t="s">
        <v>121</v>
      </c>
      <c r="AC23" s="206"/>
      <c r="AD23" s="206"/>
      <c r="AE23" s="680"/>
      <c r="AF23" s="681"/>
      <c r="AG23" s="692">
        <f>AG21-AG22</f>
        <v>66000</v>
      </c>
      <c r="AH23" s="87"/>
      <c r="AI23" s="87"/>
      <c r="AJ23" s="87"/>
      <c r="AK23" s="87"/>
      <c r="AL23" s="88"/>
      <c r="AM23" s="116"/>
      <c r="AN23" s="56"/>
      <c r="AO23" s="205" t="s">
        <v>121</v>
      </c>
      <c r="AP23" s="206"/>
      <c r="AQ23" s="206"/>
      <c r="AR23" s="680"/>
      <c r="AS23" s="681"/>
      <c r="AT23" s="692">
        <f>AT21-AT22</f>
        <v>66000</v>
      </c>
      <c r="AU23" s="87"/>
      <c r="AV23" s="87"/>
      <c r="AW23" s="87"/>
      <c r="AX23" s="87"/>
      <c r="AY23" s="88"/>
      <c r="AZ23" s="116"/>
      <c r="BB23" s="604"/>
      <c r="BC23" s="604"/>
      <c r="BD23" s="604"/>
      <c r="BE23" s="604"/>
      <c r="BF23" s="604"/>
      <c r="BG23" s="604"/>
      <c r="BH23" s="604"/>
      <c r="BI23" s="604"/>
      <c r="BJ23" s="604"/>
      <c r="BK23" s="604"/>
    </row>
    <row r="24" ht="18.75" customHeight="1">
      <c r="A24" s="56"/>
      <c r="B24" s="151"/>
      <c r="C24" s="151"/>
      <c r="D24" s="151"/>
      <c r="E24" s="156"/>
      <c r="F24" s="156"/>
      <c r="G24" s="232"/>
      <c r="H24" s="232"/>
      <c r="I24" s="232"/>
      <c r="J24" s="232"/>
      <c r="K24" s="232"/>
      <c r="L24" s="232"/>
      <c r="M24" s="55"/>
      <c r="N24" s="46"/>
      <c r="O24" s="151"/>
      <c r="P24" s="151"/>
      <c r="Q24" s="151"/>
      <c r="R24" s="69"/>
      <c r="S24" s="69"/>
      <c r="T24" s="232"/>
      <c r="U24" s="232"/>
      <c r="V24" s="232"/>
      <c r="W24" s="232"/>
      <c r="X24" s="232"/>
      <c r="Y24" s="232"/>
      <c r="Z24" s="55"/>
      <c r="AA24" s="56"/>
      <c r="AB24" s="157"/>
      <c r="AC24" s="157"/>
      <c r="AD24" s="157"/>
      <c r="AE24" s="77"/>
      <c r="AF24" s="77"/>
      <c r="AG24" s="688"/>
      <c r="AH24" s="688"/>
      <c r="AI24" s="688"/>
      <c r="AJ24" s="688"/>
      <c r="AK24" s="688"/>
      <c r="AL24" s="688"/>
      <c r="AM24" s="61"/>
      <c r="AN24" s="56"/>
      <c r="AO24" s="157"/>
      <c r="AP24" s="157"/>
      <c r="AQ24" s="157"/>
      <c r="AR24" s="77"/>
      <c r="AS24" s="77"/>
      <c r="AT24" s="688"/>
      <c r="AU24" s="688"/>
      <c r="AV24" s="688"/>
      <c r="AW24" s="688"/>
      <c r="AX24" s="688"/>
      <c r="AY24" s="688"/>
      <c r="AZ24" s="61"/>
      <c r="BB24" s="604"/>
      <c r="BC24" s="604"/>
      <c r="BD24" s="604"/>
      <c r="BE24" s="604"/>
      <c r="BF24" s="604"/>
      <c r="BG24" s="604"/>
      <c r="BH24" s="604"/>
      <c r="BI24" s="604"/>
      <c r="BJ24" s="604"/>
      <c r="BK24" s="604"/>
    </row>
    <row r="25" ht="18.75" customHeight="1">
      <c r="A25" s="56"/>
      <c r="B25" s="195" t="s">
        <v>123</v>
      </c>
      <c r="C25" s="196"/>
      <c r="D25" s="196"/>
      <c r="E25" s="201"/>
      <c r="F25" s="202"/>
      <c r="G25" s="314"/>
      <c r="H25" s="87"/>
      <c r="I25" s="87"/>
      <c r="J25" s="87"/>
      <c r="K25" s="87"/>
      <c r="L25" s="88"/>
      <c r="M25" s="55"/>
      <c r="N25" s="46"/>
      <c r="O25" s="195" t="s">
        <v>123</v>
      </c>
      <c r="P25" s="196"/>
      <c r="Q25" s="196"/>
      <c r="R25" s="672"/>
      <c r="S25" s="673"/>
      <c r="T25" s="314"/>
      <c r="U25" s="87"/>
      <c r="V25" s="87"/>
      <c r="W25" s="87"/>
      <c r="X25" s="87"/>
      <c r="Y25" s="88"/>
      <c r="Z25" s="55"/>
      <c r="AA25" s="56"/>
      <c r="AB25" s="205" t="s">
        <v>123</v>
      </c>
      <c r="AC25" s="206"/>
      <c r="AD25" s="206"/>
      <c r="AE25" s="680"/>
      <c r="AF25" s="681"/>
      <c r="AG25" s="693"/>
      <c r="AH25" s="87"/>
      <c r="AI25" s="87"/>
      <c r="AJ25" s="87"/>
      <c r="AK25" s="87"/>
      <c r="AL25" s="88"/>
      <c r="AM25" s="61"/>
      <c r="AN25" s="56"/>
      <c r="AO25" s="205" t="s">
        <v>123</v>
      </c>
      <c r="AP25" s="206"/>
      <c r="AQ25" s="206"/>
      <c r="AR25" s="680"/>
      <c r="AS25" s="681"/>
      <c r="AT25" s="693"/>
      <c r="AU25" s="87"/>
      <c r="AV25" s="87"/>
      <c r="AW25" s="87"/>
      <c r="AX25" s="87"/>
      <c r="AY25" s="88"/>
      <c r="AZ25" s="61"/>
      <c r="BB25" s="686" t="s">
        <v>54</v>
      </c>
      <c r="BC25" s="686" t="s">
        <v>55</v>
      </c>
      <c r="BD25" s="604"/>
      <c r="BE25" s="604"/>
      <c r="BF25" s="604"/>
      <c r="BG25" s="604"/>
      <c r="BH25" s="604"/>
      <c r="BI25" s="604"/>
      <c r="BJ25" s="604"/>
      <c r="BK25" s="604"/>
    </row>
    <row r="26" ht="18.75" customHeight="1">
      <c r="A26" s="56"/>
      <c r="B26" s="195" t="s">
        <v>124</v>
      </c>
      <c r="C26" s="196"/>
      <c r="D26" s="196"/>
      <c r="E26" s="201"/>
      <c r="F26" s="202"/>
      <c r="G26" s="172">
        <f>BF11</f>
        <v>192</v>
      </c>
      <c r="H26" s="87"/>
      <c r="I26" s="87"/>
      <c r="J26" s="87"/>
      <c r="K26" s="87"/>
      <c r="L26" s="88"/>
      <c r="M26" s="110"/>
      <c r="N26" s="46"/>
      <c r="O26" s="195" t="s">
        <v>124</v>
      </c>
      <c r="P26" s="196"/>
      <c r="Q26" s="196"/>
      <c r="R26" s="672"/>
      <c r="S26" s="673"/>
      <c r="T26" s="172">
        <f>BF12</f>
        <v>168</v>
      </c>
      <c r="U26" s="87"/>
      <c r="V26" s="87"/>
      <c r="W26" s="87"/>
      <c r="X26" s="87"/>
      <c r="Y26" s="88"/>
      <c r="Z26" s="110"/>
      <c r="AA26" s="56"/>
      <c r="AB26" s="205" t="s">
        <v>124</v>
      </c>
      <c r="AC26" s="206"/>
      <c r="AD26" s="206"/>
      <c r="AE26" s="680"/>
      <c r="AF26" s="681"/>
      <c r="AG26" s="638" t="str">
        <f>BF13</f>
        <v/>
      </c>
      <c r="AH26" s="87"/>
      <c r="AI26" s="87"/>
      <c r="AJ26" s="87"/>
      <c r="AK26" s="87"/>
      <c r="AL26" s="88"/>
      <c r="AM26" s="116"/>
      <c r="AN26" s="56"/>
      <c r="AO26" s="205" t="s">
        <v>124</v>
      </c>
      <c r="AP26" s="206"/>
      <c r="AQ26" s="206"/>
      <c r="AR26" s="680"/>
      <c r="AS26" s="681"/>
      <c r="AT26" s="638" t="str">
        <f>BF14</f>
        <v/>
      </c>
      <c r="AU26" s="87"/>
      <c r="AV26" s="87"/>
      <c r="AW26" s="87"/>
      <c r="AX26" s="87"/>
      <c r="AY26" s="88"/>
      <c r="AZ26" s="116"/>
    </row>
    <row r="27" ht="18.75" customHeight="1">
      <c r="A27" s="56"/>
      <c r="B27" s="195" t="s">
        <v>128</v>
      </c>
      <c r="C27" s="196"/>
      <c r="D27" s="196"/>
      <c r="E27" s="201"/>
      <c r="F27" s="202"/>
      <c r="G27" s="314"/>
      <c r="H27" s="87"/>
      <c r="I27" s="87"/>
      <c r="J27" s="87"/>
      <c r="K27" s="87"/>
      <c r="L27" s="88"/>
      <c r="M27" s="55"/>
      <c r="N27" s="46"/>
      <c r="O27" s="195" t="s">
        <v>128</v>
      </c>
      <c r="P27" s="196"/>
      <c r="Q27" s="196"/>
      <c r="R27" s="672"/>
      <c r="S27" s="673"/>
      <c r="T27" s="314"/>
      <c r="U27" s="87"/>
      <c r="V27" s="87"/>
      <c r="W27" s="87"/>
      <c r="X27" s="87"/>
      <c r="Y27" s="88"/>
      <c r="Z27" s="55"/>
      <c r="AA27" s="56"/>
      <c r="AB27" s="205" t="s">
        <v>128</v>
      </c>
      <c r="AC27" s="206"/>
      <c r="AD27" s="206"/>
      <c r="AE27" s="680"/>
      <c r="AF27" s="681"/>
      <c r="AG27" s="693"/>
      <c r="AH27" s="87"/>
      <c r="AI27" s="87"/>
      <c r="AJ27" s="87"/>
      <c r="AK27" s="87"/>
      <c r="AL27" s="88"/>
      <c r="AM27" s="61"/>
      <c r="AN27" s="56"/>
      <c r="AO27" s="205" t="s">
        <v>128</v>
      </c>
      <c r="AP27" s="206"/>
      <c r="AQ27" s="206"/>
      <c r="AR27" s="680"/>
      <c r="AS27" s="681"/>
      <c r="AT27" s="693"/>
      <c r="AU27" s="87"/>
      <c r="AV27" s="87"/>
      <c r="AW27" s="87"/>
      <c r="AX27" s="87"/>
      <c r="AY27" s="88"/>
      <c r="AZ27" s="61"/>
    </row>
    <row r="28" ht="15.75" customHeight="1">
      <c r="A28" s="56"/>
      <c r="B28" s="136"/>
      <c r="C28" s="136"/>
      <c r="D28" s="151"/>
      <c r="E28" s="69"/>
      <c r="F28" s="69"/>
      <c r="G28" s="69"/>
      <c r="H28" s="69"/>
      <c r="I28" s="69"/>
      <c r="J28" s="69"/>
      <c r="K28" s="69"/>
      <c r="L28" s="69"/>
      <c r="M28" s="55"/>
      <c r="N28" s="46"/>
      <c r="O28" s="136"/>
      <c r="P28" s="136"/>
      <c r="Q28" s="151"/>
      <c r="R28" s="151"/>
      <c r="S28" s="151"/>
      <c r="T28" s="151"/>
      <c r="U28" s="151"/>
      <c r="V28" s="151"/>
      <c r="W28" s="151"/>
      <c r="X28" s="151"/>
      <c r="Y28" s="151"/>
      <c r="Z28" s="55"/>
      <c r="AA28" s="56"/>
      <c r="AB28" s="144"/>
      <c r="AC28" s="144"/>
      <c r="AD28" s="157"/>
      <c r="AE28" s="157"/>
      <c r="AF28" s="157"/>
      <c r="AG28" s="157"/>
      <c r="AH28" s="157"/>
      <c r="AI28" s="157"/>
      <c r="AJ28" s="157"/>
      <c r="AK28" s="157"/>
      <c r="AL28" s="157"/>
      <c r="AM28" s="61"/>
      <c r="AN28" s="56"/>
      <c r="AO28" s="144"/>
      <c r="AP28" s="144"/>
      <c r="AQ28" s="157"/>
      <c r="AR28" s="77"/>
      <c r="AS28" s="77"/>
      <c r="AT28" s="77"/>
      <c r="AU28" s="77"/>
      <c r="AV28" s="77"/>
      <c r="AW28" s="77"/>
      <c r="AX28" s="77"/>
      <c r="AY28" s="77"/>
      <c r="AZ28" s="61"/>
    </row>
    <row r="29" ht="15.75" customHeight="1">
      <c r="A29" s="56"/>
      <c r="B29" s="136"/>
      <c r="C29" s="136"/>
      <c r="D29" s="151"/>
      <c r="E29" s="151"/>
      <c r="F29" s="151"/>
      <c r="G29" s="151"/>
      <c r="H29" s="151"/>
      <c r="I29" s="151"/>
      <c r="J29" s="151"/>
      <c r="K29" s="151"/>
      <c r="L29" s="151"/>
      <c r="M29" s="55"/>
      <c r="N29" s="46"/>
      <c r="O29" s="136"/>
      <c r="P29" s="136"/>
      <c r="Q29" s="151"/>
      <c r="R29" s="151"/>
      <c r="S29" s="151"/>
      <c r="T29" s="151"/>
      <c r="U29" s="151"/>
      <c r="V29" s="151"/>
      <c r="W29" s="151"/>
      <c r="X29" s="151"/>
      <c r="Y29" s="151"/>
      <c r="Z29" s="55"/>
      <c r="AA29" s="56"/>
      <c r="AB29" s="144"/>
      <c r="AC29" s="144"/>
      <c r="AD29" s="157"/>
      <c r="AE29" s="157"/>
      <c r="AF29" s="157"/>
      <c r="AG29" s="157"/>
      <c r="AH29" s="157"/>
      <c r="AI29" s="157"/>
      <c r="AJ29" s="157"/>
      <c r="AK29" s="157"/>
      <c r="AL29" s="157"/>
      <c r="AM29" s="61"/>
      <c r="AN29" s="56"/>
      <c r="AO29" s="144"/>
      <c r="AP29" s="144"/>
      <c r="AQ29" s="157"/>
      <c r="AR29" s="157"/>
      <c r="AS29" s="157"/>
      <c r="AT29" s="157"/>
      <c r="AU29" s="157"/>
      <c r="AV29" s="157"/>
      <c r="AW29" s="157"/>
      <c r="AX29" s="157"/>
      <c r="AY29" s="157"/>
      <c r="AZ29" s="61"/>
    </row>
    <row r="30" ht="15.75" customHeight="1">
      <c r="A30" s="56"/>
      <c r="B30" s="136" t="s">
        <v>132</v>
      </c>
      <c r="C30" s="136"/>
      <c r="D30" s="151"/>
      <c r="E30" s="340" t="str">
        <f>BC17</f>
        <v>CAPT. REZA PAHLEVI </v>
      </c>
      <c r="F30" s="49"/>
      <c r="G30" s="49"/>
      <c r="H30" s="49"/>
      <c r="I30" s="49"/>
      <c r="J30" s="49"/>
      <c r="K30" s="49"/>
      <c r="L30" s="49"/>
      <c r="M30" s="55"/>
      <c r="N30" s="46"/>
      <c r="O30" s="136" t="s">
        <v>132</v>
      </c>
      <c r="P30" s="136"/>
      <c r="Q30" s="151"/>
      <c r="R30" s="340" t="str">
        <f>E30</f>
        <v>CAPT. REZA PAHLEVI </v>
      </c>
      <c r="S30" s="49"/>
      <c r="T30" s="49"/>
      <c r="U30" s="49"/>
      <c r="V30" s="49"/>
      <c r="W30" s="49"/>
      <c r="X30" s="49"/>
      <c r="Y30" s="151"/>
      <c r="Z30" s="55"/>
      <c r="AA30" s="56"/>
      <c r="AB30" s="144" t="s">
        <v>132</v>
      </c>
      <c r="AC30" s="144"/>
      <c r="AD30" s="157"/>
      <c r="AE30" s="401" t="str">
        <f>R30</f>
        <v>CAPT. REZA PAHLEVI </v>
      </c>
      <c r="AF30" s="49"/>
      <c r="AG30" s="49"/>
      <c r="AH30" s="49"/>
      <c r="AI30" s="49"/>
      <c r="AJ30" s="49"/>
      <c r="AK30" s="49"/>
      <c r="AL30" s="157"/>
      <c r="AM30" s="61"/>
      <c r="AN30" s="56"/>
      <c r="AO30" s="144" t="s">
        <v>132</v>
      </c>
      <c r="AP30" s="144"/>
      <c r="AQ30" s="157"/>
      <c r="AR30" s="401" t="str">
        <f>AE30</f>
        <v>CAPT. REZA PAHLEVI </v>
      </c>
      <c r="AS30" s="49"/>
      <c r="AT30" s="49"/>
      <c r="AU30" s="49"/>
      <c r="AV30" s="49"/>
      <c r="AW30" s="49"/>
      <c r="AX30" s="49"/>
      <c r="AY30" s="157"/>
      <c r="AZ30" s="61"/>
    </row>
    <row r="31" ht="59.25" customHeight="1">
      <c r="A31" s="56"/>
      <c r="B31" s="136"/>
      <c r="C31" s="136"/>
      <c r="D31" s="345" t="s">
        <v>133</v>
      </c>
      <c r="E31" s="49"/>
      <c r="F31" s="49"/>
      <c r="G31" s="49"/>
      <c r="H31" s="49"/>
      <c r="I31" s="49"/>
      <c r="J31" s="151"/>
      <c r="K31" s="151"/>
      <c r="L31" s="151"/>
      <c r="M31" s="55"/>
      <c r="N31" s="46"/>
      <c r="O31" s="136"/>
      <c r="P31" s="136"/>
      <c r="Q31" s="345" t="s">
        <v>133</v>
      </c>
      <c r="R31" s="49"/>
      <c r="S31" s="49"/>
      <c r="T31" s="49"/>
      <c r="U31" s="49"/>
      <c r="V31" s="49"/>
      <c r="W31" s="151"/>
      <c r="X31" s="151"/>
      <c r="Y31" s="151"/>
      <c r="Z31" s="55"/>
      <c r="AA31" s="56"/>
      <c r="AB31" s="144"/>
      <c r="AC31" s="144"/>
      <c r="AD31" s="346" t="s">
        <v>133</v>
      </c>
      <c r="AE31" s="49"/>
      <c r="AF31" s="49"/>
      <c r="AG31" s="49"/>
      <c r="AH31" s="49"/>
      <c r="AI31" s="49"/>
      <c r="AJ31" s="157"/>
      <c r="AK31" s="157"/>
      <c r="AL31" s="157"/>
      <c r="AM31" s="61"/>
      <c r="AN31" s="56"/>
      <c r="AO31" s="144"/>
      <c r="AP31" s="144"/>
      <c r="AQ31" s="346" t="s">
        <v>133</v>
      </c>
      <c r="AR31" s="49"/>
      <c r="AS31" s="49"/>
      <c r="AT31" s="49"/>
      <c r="AU31" s="49"/>
      <c r="AV31" s="49"/>
      <c r="AW31" s="157"/>
      <c r="AX31" s="157"/>
      <c r="AY31" s="157"/>
      <c r="AZ31" s="61"/>
    </row>
    <row r="32" ht="15.75" customHeight="1">
      <c r="A32" s="56"/>
      <c r="B32" s="136"/>
      <c r="C32" s="136"/>
      <c r="D32" s="151"/>
      <c r="E32" s="151"/>
      <c r="F32" s="151"/>
      <c r="G32" s="151"/>
      <c r="H32" s="151"/>
      <c r="I32" s="151"/>
      <c r="J32" s="151"/>
      <c r="K32" s="151"/>
      <c r="L32" s="151"/>
      <c r="M32" s="55"/>
      <c r="N32" s="46"/>
      <c r="O32" s="136"/>
      <c r="P32" s="136"/>
      <c r="Q32" s="151"/>
      <c r="R32" s="151"/>
      <c r="S32" s="151"/>
      <c r="T32" s="151"/>
      <c r="U32" s="151"/>
      <c r="V32" s="151"/>
      <c r="W32" s="151"/>
      <c r="X32" s="151"/>
      <c r="Y32" s="151"/>
      <c r="Z32" s="55"/>
      <c r="AA32" s="56"/>
      <c r="AB32" s="144"/>
      <c r="AC32" s="144"/>
      <c r="AD32" s="157"/>
      <c r="AE32" s="157"/>
      <c r="AF32" s="157"/>
      <c r="AG32" s="157"/>
      <c r="AH32" s="157"/>
      <c r="AI32" s="157"/>
      <c r="AJ32" s="157"/>
      <c r="AK32" s="157"/>
      <c r="AL32" s="157"/>
      <c r="AM32" s="61"/>
      <c r="AN32" s="56"/>
      <c r="AO32" s="144"/>
      <c r="AP32" s="144"/>
      <c r="AQ32" s="157"/>
      <c r="AR32" s="157"/>
      <c r="AS32" s="157"/>
      <c r="AT32" s="157"/>
      <c r="AU32" s="157"/>
      <c r="AV32" s="157"/>
      <c r="AW32" s="157"/>
      <c r="AX32" s="157"/>
      <c r="AY32" s="157"/>
      <c r="AZ32" s="61"/>
    </row>
    <row r="33" ht="15.75" customHeight="1">
      <c r="A33" s="56"/>
      <c r="B33" s="136"/>
      <c r="C33" s="136"/>
      <c r="D33" s="151"/>
      <c r="E33" s="151"/>
      <c r="F33" s="151"/>
      <c r="G33" s="151"/>
      <c r="H33" s="151"/>
      <c r="I33" s="151"/>
      <c r="J33" s="151"/>
      <c r="K33" s="151"/>
      <c r="L33" s="151"/>
      <c r="M33" s="55"/>
      <c r="N33" s="46"/>
      <c r="O33" s="136"/>
      <c r="P33" s="136"/>
      <c r="Q33" s="151"/>
      <c r="R33" s="151"/>
      <c r="S33" s="151"/>
      <c r="T33" s="151"/>
      <c r="U33" s="151"/>
      <c r="V33" s="151"/>
      <c r="W33" s="151"/>
      <c r="X33" s="151"/>
      <c r="Y33" s="151"/>
      <c r="Z33" s="55"/>
      <c r="AA33" s="56"/>
      <c r="AB33" s="144"/>
      <c r="AC33" s="144"/>
      <c r="AD33" s="157"/>
      <c r="AE33" s="157"/>
      <c r="AF33" s="157"/>
      <c r="AG33" s="157"/>
      <c r="AH33" s="157"/>
      <c r="AI33" s="157"/>
      <c r="AJ33" s="157"/>
      <c r="AK33" s="157"/>
      <c r="AL33" s="157"/>
      <c r="AM33" s="61"/>
      <c r="AN33" s="56"/>
      <c r="AO33" s="144"/>
      <c r="AP33" s="144"/>
      <c r="AQ33" s="157"/>
      <c r="AR33" s="157"/>
      <c r="AS33" s="157"/>
      <c r="AT33" s="157"/>
      <c r="AU33" s="157"/>
      <c r="AV33" s="157"/>
      <c r="AW33" s="157"/>
      <c r="AX33" s="157"/>
      <c r="AY33" s="157"/>
      <c r="AZ33" s="61"/>
    </row>
    <row r="34" ht="15.75" customHeight="1">
      <c r="A34" s="56"/>
      <c r="B34" s="136" t="s">
        <v>135</v>
      </c>
      <c r="C34" s="136"/>
      <c r="D34" s="348">
        <f>BC11</f>
        <v>0</v>
      </c>
      <c r="E34" s="49"/>
      <c r="F34" s="49"/>
      <c r="G34" s="151" t="s">
        <v>136</v>
      </c>
      <c r="H34" s="151"/>
      <c r="I34" s="151"/>
      <c r="J34" s="151"/>
      <c r="K34" s="151"/>
      <c r="L34" s="151"/>
      <c r="M34" s="55"/>
      <c r="N34" s="46"/>
      <c r="O34" s="136" t="s">
        <v>135</v>
      </c>
      <c r="P34" s="136"/>
      <c r="Q34" s="348">
        <f>BC12</f>
        <v>0</v>
      </c>
      <c r="R34" s="49"/>
      <c r="S34" s="49"/>
      <c r="T34" s="151" t="s">
        <v>136</v>
      </c>
      <c r="U34" s="151"/>
      <c r="V34" s="151"/>
      <c r="W34" s="151"/>
      <c r="X34" s="151"/>
      <c r="Y34" s="151"/>
      <c r="Z34" s="55"/>
      <c r="AA34" s="56"/>
      <c r="AB34" s="144" t="s">
        <v>135</v>
      </c>
      <c r="AC34" s="144"/>
      <c r="AD34" s="349" t="str">
        <f>BC13</f>
        <v/>
      </c>
      <c r="AE34" s="49"/>
      <c r="AF34" s="49"/>
      <c r="AG34" s="157" t="s">
        <v>136</v>
      </c>
      <c r="AH34" s="157"/>
      <c r="AI34" s="157"/>
      <c r="AJ34" s="157"/>
      <c r="AK34" s="157"/>
      <c r="AL34" s="157"/>
      <c r="AM34" s="61"/>
      <c r="AN34" s="56"/>
      <c r="AO34" s="144" t="s">
        <v>135</v>
      </c>
      <c r="AP34" s="144"/>
      <c r="AQ34" s="349" t="str">
        <f>BC14</f>
        <v/>
      </c>
      <c r="AR34" s="49"/>
      <c r="AS34" s="49"/>
      <c r="AT34" s="157" t="s">
        <v>136</v>
      </c>
      <c r="AU34" s="157"/>
      <c r="AV34" s="157"/>
      <c r="AW34" s="157"/>
      <c r="AX34" s="157"/>
      <c r="AY34" s="157"/>
      <c r="AZ34" s="61"/>
    </row>
    <row r="35" ht="63.75" customHeight="1">
      <c r="A35" s="354"/>
      <c r="B35" s="355"/>
      <c r="C35" s="355"/>
      <c r="D35" s="356"/>
      <c r="E35" s="356"/>
      <c r="F35" s="356"/>
      <c r="G35" s="356"/>
      <c r="H35" s="356"/>
      <c r="I35" s="356"/>
      <c r="J35" s="356"/>
      <c r="K35" s="356"/>
      <c r="L35" s="356"/>
      <c r="M35" s="357"/>
      <c r="N35" s="354"/>
      <c r="O35" s="355"/>
      <c r="P35" s="355"/>
      <c r="Q35" s="356"/>
      <c r="R35" s="356"/>
      <c r="S35" s="356"/>
      <c r="T35" s="356"/>
      <c r="U35" s="356"/>
      <c r="V35" s="356"/>
      <c r="W35" s="356"/>
      <c r="X35" s="356"/>
      <c r="Y35" s="356"/>
      <c r="Z35" s="357"/>
      <c r="AA35" s="354"/>
      <c r="AB35" s="355"/>
      <c r="AC35" s="355"/>
      <c r="AD35" s="356"/>
      <c r="AE35" s="356"/>
      <c r="AF35" s="356"/>
      <c r="AG35" s="356"/>
      <c r="AH35" s="356"/>
      <c r="AI35" s="356"/>
      <c r="AJ35" s="356"/>
      <c r="AK35" s="356"/>
      <c r="AL35" s="356"/>
      <c r="AM35" s="357"/>
      <c r="AN35" s="354"/>
      <c r="AO35" s="355"/>
      <c r="AP35" s="355"/>
      <c r="AQ35" s="356"/>
      <c r="AR35" s="356"/>
      <c r="AS35" s="356"/>
      <c r="AT35" s="356"/>
      <c r="AU35" s="356"/>
      <c r="AV35" s="356"/>
      <c r="AW35" s="356"/>
      <c r="AX35" s="356"/>
      <c r="AY35" s="356"/>
      <c r="AZ35" s="357"/>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6">
    <mergeCell ref="W4:Y4"/>
    <mergeCell ref="AB4:AF4"/>
    <mergeCell ref="AJ4:AL4"/>
    <mergeCell ref="AO4:AS4"/>
    <mergeCell ref="A2:F2"/>
    <mergeCell ref="N2:S2"/>
    <mergeCell ref="AA2:AF2"/>
    <mergeCell ref="AN2:AS2"/>
    <mergeCell ref="BH2:BI2"/>
    <mergeCell ref="BH3:BI3"/>
    <mergeCell ref="B4:F4"/>
    <mergeCell ref="AW4:AY4"/>
    <mergeCell ref="U6:Y6"/>
    <mergeCell ref="AB6:AD6"/>
    <mergeCell ref="AE6:AF6"/>
    <mergeCell ref="AH6:AL6"/>
    <mergeCell ref="AO6:AQ6"/>
    <mergeCell ref="AR6:AS6"/>
    <mergeCell ref="AU6:AY6"/>
    <mergeCell ref="BH6:BI6"/>
    <mergeCell ref="J4:L4"/>
    <mergeCell ref="O4:S4"/>
    <mergeCell ref="B6:D6"/>
    <mergeCell ref="E6:F6"/>
    <mergeCell ref="H6:L6"/>
    <mergeCell ref="O6:Q6"/>
    <mergeCell ref="R6:S6"/>
    <mergeCell ref="AE7:AF7"/>
    <mergeCell ref="AH7:AL7"/>
    <mergeCell ref="AO7:AQ7"/>
    <mergeCell ref="AR7:AS7"/>
    <mergeCell ref="AU7:AY7"/>
    <mergeCell ref="BH7:BI7"/>
    <mergeCell ref="B7:D7"/>
    <mergeCell ref="E7:F7"/>
    <mergeCell ref="H7:L7"/>
    <mergeCell ref="O7:Q7"/>
    <mergeCell ref="R7:S7"/>
    <mergeCell ref="U7:Y7"/>
    <mergeCell ref="AB7:AD7"/>
    <mergeCell ref="AE8:AF8"/>
    <mergeCell ref="AH8:AL8"/>
    <mergeCell ref="AO8:AQ8"/>
    <mergeCell ref="AR8:AS8"/>
    <mergeCell ref="AU8:AY8"/>
    <mergeCell ref="B8:D8"/>
    <mergeCell ref="E8:F8"/>
    <mergeCell ref="H8:L8"/>
    <mergeCell ref="O8:Q8"/>
    <mergeCell ref="R8:S8"/>
    <mergeCell ref="U8:Y8"/>
    <mergeCell ref="AB8:AD8"/>
    <mergeCell ref="AE9:AF9"/>
    <mergeCell ref="AH9:AL9"/>
    <mergeCell ref="AO9:AQ9"/>
    <mergeCell ref="AR9:AS9"/>
    <mergeCell ref="AU9:AY9"/>
    <mergeCell ref="B9:D9"/>
    <mergeCell ref="E9:F9"/>
    <mergeCell ref="H9:L9"/>
    <mergeCell ref="O9:Q9"/>
    <mergeCell ref="R9:S9"/>
    <mergeCell ref="U9:Y9"/>
    <mergeCell ref="AB9:AD9"/>
    <mergeCell ref="G11:L11"/>
    <mergeCell ref="T11:Y11"/>
    <mergeCell ref="AG11:AL11"/>
    <mergeCell ref="AT11:AY11"/>
    <mergeCell ref="T12:Y12"/>
    <mergeCell ref="AG12:AL12"/>
    <mergeCell ref="AT12:AY12"/>
    <mergeCell ref="AT13:AY13"/>
    <mergeCell ref="AV15:AY15"/>
    <mergeCell ref="G12:L12"/>
    <mergeCell ref="G13:L13"/>
    <mergeCell ref="T13:Y13"/>
    <mergeCell ref="AG13:AL13"/>
    <mergeCell ref="I15:L15"/>
    <mergeCell ref="V15:Y15"/>
    <mergeCell ref="AI15:AL15"/>
    <mergeCell ref="E30:L30"/>
    <mergeCell ref="D31:I31"/>
    <mergeCell ref="D34:F34"/>
    <mergeCell ref="Q34:S34"/>
    <mergeCell ref="G20:L20"/>
    <mergeCell ref="G21:L21"/>
    <mergeCell ref="G22:L22"/>
    <mergeCell ref="G23:L23"/>
    <mergeCell ref="G25:L25"/>
    <mergeCell ref="G26:L26"/>
    <mergeCell ref="G27:L27"/>
    <mergeCell ref="E16:H16"/>
    <mergeCell ref="R16:U16"/>
    <mergeCell ref="V16:Y16"/>
    <mergeCell ref="AE16:AH16"/>
    <mergeCell ref="AI16:AL16"/>
    <mergeCell ref="AR16:AU16"/>
    <mergeCell ref="AV16:AY16"/>
    <mergeCell ref="I16:L16"/>
    <mergeCell ref="G17:L17"/>
    <mergeCell ref="T17:Y17"/>
    <mergeCell ref="AG17:AL17"/>
    <mergeCell ref="G19:L19"/>
    <mergeCell ref="AG19:AL19"/>
    <mergeCell ref="AG20:AL20"/>
    <mergeCell ref="AT26:AY26"/>
    <mergeCell ref="AT27:AY27"/>
    <mergeCell ref="AR30:AX30"/>
    <mergeCell ref="AQ31:AV31"/>
    <mergeCell ref="AQ34:AS34"/>
    <mergeCell ref="AT17:AY17"/>
    <mergeCell ref="AT19:AY19"/>
    <mergeCell ref="AT20:AY20"/>
    <mergeCell ref="AT21:AY21"/>
    <mergeCell ref="AT22:AY22"/>
    <mergeCell ref="AT23:AY23"/>
    <mergeCell ref="AT25:AY25"/>
    <mergeCell ref="T27:Y27"/>
    <mergeCell ref="R30:X30"/>
    <mergeCell ref="Q31:V31"/>
    <mergeCell ref="T19:Y19"/>
    <mergeCell ref="T20:Y20"/>
    <mergeCell ref="T21:Y21"/>
    <mergeCell ref="T22:Y22"/>
    <mergeCell ref="T23:Y23"/>
    <mergeCell ref="T25:Y25"/>
    <mergeCell ref="T26:Y26"/>
    <mergeCell ref="AD31:AI31"/>
    <mergeCell ref="AD34:AF34"/>
    <mergeCell ref="AG21:AL21"/>
    <mergeCell ref="AG22:AL22"/>
    <mergeCell ref="AG23:AL23"/>
    <mergeCell ref="AG25:AL25"/>
    <mergeCell ref="AG26:AL26"/>
    <mergeCell ref="AG27:AL27"/>
    <mergeCell ref="AE30:AK30"/>
  </mergeCells>
  <printOptions/>
  <pageMargins bottom="0.0" footer="0.0" header="0.0" left="0.354166666666667" right="0.0784722222222222" top="0.236111111111111"/>
  <pageSetup paperSize="9" orientation="landscape"/>
  <colBreaks count="1" manualBreakCount="1">
    <brk id="53" man="1"/>
  </colBrea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workbookViewId="0"/>
  </sheetViews>
  <sheetFormatPr customHeight="1" defaultColWidth="12.63" defaultRowHeight="15.0"/>
  <cols>
    <col customWidth="1" min="1" max="1" width="1.88"/>
    <col customWidth="1" min="2" max="2" width="10.38"/>
    <col customWidth="1" min="3" max="3" width="10.13"/>
    <col customWidth="1" min="4" max="4" width="9.0"/>
    <col customWidth="1" min="5" max="5" width="10.5"/>
    <col customWidth="1" min="6" max="6" width="17.13"/>
    <col customWidth="1" min="7" max="7" width="8.25"/>
    <col customWidth="1" min="8" max="8" width="11.5"/>
    <col customWidth="1" min="9" max="9" width="7.0"/>
    <col customWidth="1" min="10" max="10" width="8.75"/>
    <col customWidth="1" min="11" max="12" width="9.5"/>
    <col customWidth="1" min="13" max="13" width="10.25"/>
    <col customWidth="1" min="14" max="14" width="8.38"/>
    <col customWidth="1" min="15" max="15" width="11.13"/>
    <col customWidth="1" min="16" max="16" width="13.13"/>
    <col customWidth="1" min="17" max="17" width="2.5"/>
    <col customWidth="1" min="18" max="18" width="11.13"/>
    <col customWidth="1" min="19" max="19" width="4.63"/>
    <col customWidth="1" min="20" max="20" width="2.75"/>
    <col customWidth="1" min="21" max="26" width="11.5"/>
  </cols>
  <sheetData>
    <row r="1" ht="15.75" customHeight="1">
      <c r="A1" s="4"/>
      <c r="B1" s="4"/>
      <c r="C1" s="4"/>
      <c r="D1" s="4"/>
      <c r="E1" s="4"/>
      <c r="F1" s="4"/>
      <c r="G1" s="4"/>
      <c r="H1" s="4"/>
      <c r="I1" s="4"/>
      <c r="J1" s="4"/>
      <c r="K1" s="4"/>
      <c r="L1" s="4"/>
      <c r="M1" s="4"/>
      <c r="N1" s="4"/>
      <c r="O1" s="4"/>
      <c r="P1" s="4"/>
      <c r="Q1" s="4"/>
      <c r="R1" s="4"/>
      <c r="S1" s="4"/>
      <c r="T1" s="4"/>
      <c r="U1" s="4"/>
      <c r="V1" s="4"/>
      <c r="W1" s="4"/>
      <c r="X1" s="4"/>
      <c r="Y1" s="4"/>
      <c r="Z1" s="4"/>
    </row>
    <row r="2" ht="67.5" customHeight="1">
      <c r="A2" s="4"/>
      <c r="B2" s="10" t="s">
        <v>2</v>
      </c>
      <c r="C2" s="9"/>
      <c r="D2" s="9"/>
      <c r="E2" s="9"/>
      <c r="F2" s="9"/>
      <c r="G2" s="9"/>
      <c r="H2" s="9"/>
      <c r="I2" s="9"/>
      <c r="J2" s="9"/>
      <c r="K2" s="9"/>
      <c r="L2" s="9"/>
      <c r="M2" s="9"/>
      <c r="N2" s="9"/>
      <c r="O2" s="9"/>
      <c r="P2" s="9"/>
      <c r="Q2" s="9"/>
      <c r="R2" s="9"/>
      <c r="S2" s="13"/>
      <c r="T2" s="4" t="s">
        <v>3</v>
      </c>
      <c r="U2" s="4"/>
      <c r="V2" s="4"/>
      <c r="W2" s="4"/>
      <c r="X2" s="4"/>
      <c r="Y2" s="4"/>
      <c r="Z2" s="4"/>
    </row>
    <row r="3" ht="22.5" customHeight="1">
      <c r="A3" s="4"/>
      <c r="B3" s="15"/>
      <c r="C3" s="4"/>
      <c r="D3" s="4"/>
      <c r="E3" s="4"/>
      <c r="F3" s="4"/>
      <c r="G3" s="4"/>
      <c r="H3" s="4"/>
      <c r="I3" s="4"/>
      <c r="J3" s="4"/>
      <c r="K3" s="4"/>
      <c r="L3" s="4"/>
      <c r="M3" s="4"/>
      <c r="N3" s="4"/>
      <c r="O3" s="4"/>
      <c r="P3" s="4"/>
      <c r="Q3" s="4"/>
      <c r="R3" s="4"/>
      <c r="S3" s="19"/>
      <c r="T3" s="4"/>
      <c r="U3" s="4"/>
      <c r="V3" s="4"/>
      <c r="W3" s="4"/>
      <c r="X3" s="4"/>
      <c r="Y3" s="4"/>
      <c r="Z3" s="4"/>
    </row>
    <row r="4" ht="18.75" customHeight="1">
      <c r="A4" s="4"/>
      <c r="B4" s="42" t="s">
        <v>5</v>
      </c>
      <c r="C4" s="155" t="s">
        <v>310</v>
      </c>
      <c r="D4" s="26"/>
      <c r="E4" s="27"/>
      <c r="F4" s="165" t="s">
        <v>7</v>
      </c>
      <c r="G4" s="173" t="s">
        <v>8</v>
      </c>
      <c r="H4" s="642"/>
      <c r="I4" s="165" t="s">
        <v>10</v>
      </c>
      <c r="J4" s="173" t="s">
        <v>312</v>
      </c>
      <c r="K4" s="166"/>
      <c r="L4" s="166"/>
      <c r="M4" s="165" t="s">
        <v>12</v>
      </c>
      <c r="N4" s="173" t="str">
        <f>'258'!BH11</f>
        <v>VTBU</v>
      </c>
      <c r="O4" s="166"/>
      <c r="P4" s="176" t="s">
        <v>17</v>
      </c>
      <c r="Q4" s="166"/>
      <c r="R4" s="173">
        <f>'258'!BC19</f>
        <v>71137</v>
      </c>
      <c r="S4" s="19"/>
      <c r="T4" s="4"/>
      <c r="U4" s="4"/>
      <c r="V4" s="4"/>
      <c r="W4" s="4"/>
      <c r="X4" s="4"/>
      <c r="Y4" s="4"/>
      <c r="Z4" s="4"/>
    </row>
    <row r="5" ht="6.0" customHeight="1">
      <c r="A5" s="4"/>
      <c r="B5" s="42"/>
      <c r="C5" s="45"/>
      <c r="D5" s="45"/>
      <c r="E5" s="45"/>
      <c r="F5" s="166"/>
      <c r="G5" s="274"/>
      <c r="H5" s="166"/>
      <c r="I5" s="166"/>
      <c r="J5" s="274"/>
      <c r="K5" s="166"/>
      <c r="L5" s="166"/>
      <c r="M5" s="165"/>
      <c r="N5" s="274"/>
      <c r="O5" s="166"/>
      <c r="P5" s="176"/>
      <c r="Q5" s="166"/>
      <c r="R5" s="45"/>
      <c r="S5" s="19"/>
      <c r="T5" s="4"/>
      <c r="U5" s="4"/>
      <c r="V5" s="4"/>
      <c r="W5" s="4"/>
      <c r="X5" s="4"/>
      <c r="Y5" s="4"/>
      <c r="Z5" s="4"/>
    </row>
    <row r="6" ht="18.75" customHeight="1">
      <c r="A6" s="4"/>
      <c r="B6" s="42" t="s">
        <v>20</v>
      </c>
      <c r="C6" s="391">
        <f>'258'!BB2</f>
        <v>46278</v>
      </c>
      <c r="D6" s="26"/>
      <c r="E6" s="27"/>
      <c r="F6" s="165" t="s">
        <v>22</v>
      </c>
      <c r="G6" s="173" t="str">
        <f>J4</f>
        <v>VTBD</v>
      </c>
      <c r="H6" s="642"/>
      <c r="I6" s="165" t="s">
        <v>23</v>
      </c>
      <c r="J6" s="173" t="s">
        <v>8</v>
      </c>
      <c r="K6" s="166"/>
      <c r="L6" s="166"/>
      <c r="M6" s="165" t="s">
        <v>12</v>
      </c>
      <c r="N6" s="173" t="str">
        <f>'258'!BH12</f>
        <v>WSSS</v>
      </c>
      <c r="O6" s="166"/>
      <c r="P6" s="176" t="s">
        <v>17</v>
      </c>
      <c r="Q6" s="166"/>
      <c r="R6" s="173">
        <f>'258'!BC20</f>
        <v>71141</v>
      </c>
      <c r="S6" s="19"/>
      <c r="T6" s="4"/>
      <c r="U6" s="4"/>
      <c r="V6" s="4"/>
      <c r="W6" s="4"/>
      <c r="X6" s="4"/>
      <c r="Y6" s="4"/>
      <c r="Z6" s="4"/>
    </row>
    <row r="7" ht="6.0" customHeight="1">
      <c r="A7" s="4"/>
      <c r="B7" s="42"/>
      <c r="C7" s="261"/>
      <c r="D7" s="45"/>
      <c r="E7" s="45"/>
      <c r="F7" s="166"/>
      <c r="G7" s="166"/>
      <c r="H7" s="166"/>
      <c r="I7" s="166"/>
      <c r="J7" s="166"/>
      <c r="K7" s="166"/>
      <c r="L7" s="166"/>
      <c r="M7" s="166"/>
      <c r="N7" s="166"/>
      <c r="O7" s="166"/>
      <c r="P7" s="176"/>
      <c r="Q7" s="166"/>
      <c r="R7" s="33"/>
      <c r="S7" s="19"/>
      <c r="T7" s="4"/>
      <c r="U7" s="4"/>
      <c r="V7" s="4"/>
      <c r="W7" s="4"/>
      <c r="X7" s="4"/>
      <c r="Y7" s="4"/>
      <c r="Z7" s="4"/>
    </row>
    <row r="8" ht="18.75" customHeight="1">
      <c r="A8" s="4"/>
      <c r="B8" s="42" t="s">
        <v>25</v>
      </c>
      <c r="C8" s="185" t="str">
        <f>'258'!BB3</f>
        <v>PK-AZD</v>
      </c>
      <c r="D8" s="392"/>
      <c r="E8" s="45"/>
      <c r="F8" s="188" t="s">
        <v>36</v>
      </c>
      <c r="G8" s="189" t="s">
        <v>8</v>
      </c>
      <c r="H8" s="190"/>
      <c r="I8" s="188" t="s">
        <v>37</v>
      </c>
      <c r="J8" s="189" t="s">
        <v>11</v>
      </c>
      <c r="K8" s="191"/>
      <c r="L8" s="191"/>
      <c r="M8" s="188" t="s">
        <v>12</v>
      </c>
      <c r="N8" s="189"/>
      <c r="O8" s="191"/>
      <c r="P8" s="194" t="s">
        <v>17</v>
      </c>
      <c r="Q8" s="191"/>
      <c r="R8" s="189" t="str">
        <f>'810'!BC21</f>
        <v>#REF!</v>
      </c>
      <c r="S8" s="19"/>
      <c r="T8" s="4"/>
      <c r="U8" s="4"/>
      <c r="V8" s="4"/>
      <c r="W8" s="4"/>
      <c r="X8" s="4"/>
      <c r="Y8" s="4"/>
      <c r="Z8" s="4"/>
    </row>
    <row r="9" ht="5.25" customHeight="1">
      <c r="A9" s="4"/>
      <c r="B9" s="94"/>
      <c r="C9" s="33"/>
      <c r="D9" s="33"/>
      <c r="E9" s="33"/>
      <c r="F9" s="200"/>
      <c r="G9" s="200"/>
      <c r="H9" s="191"/>
      <c r="I9" s="200"/>
      <c r="J9" s="191"/>
      <c r="K9" s="200"/>
      <c r="L9" s="200"/>
      <c r="M9" s="191"/>
      <c r="N9" s="191"/>
      <c r="O9" s="191"/>
      <c r="P9" s="194"/>
      <c r="Q9" s="191"/>
      <c r="R9" s="203"/>
      <c r="S9" s="19"/>
      <c r="T9" s="4"/>
      <c r="U9" s="4"/>
      <c r="V9" s="4"/>
      <c r="W9" s="4"/>
      <c r="X9" s="4"/>
      <c r="Y9" s="4"/>
      <c r="Z9" s="4"/>
    </row>
    <row r="10" ht="15.75" customHeight="1">
      <c r="A10" s="4"/>
      <c r="B10" s="272"/>
      <c r="C10" s="33"/>
      <c r="D10" s="33"/>
      <c r="E10" s="33"/>
      <c r="F10" s="188" t="s">
        <v>47</v>
      </c>
      <c r="G10" s="189" t="str">
        <f>J8</f>
        <v>WMKK</v>
      </c>
      <c r="H10" s="190"/>
      <c r="I10" s="188" t="s">
        <v>50</v>
      </c>
      <c r="J10" s="189" t="s">
        <v>8</v>
      </c>
      <c r="K10" s="191"/>
      <c r="L10" s="191"/>
      <c r="M10" s="188" t="s">
        <v>12</v>
      </c>
      <c r="N10" s="189"/>
      <c r="O10" s="191"/>
      <c r="P10" s="194" t="s">
        <v>17</v>
      </c>
      <c r="Q10" s="191"/>
      <c r="R10" s="189" t="str">
        <f>'810'!BC22</f>
        <v>#REF!</v>
      </c>
      <c r="S10" s="19"/>
      <c r="T10" s="4"/>
      <c r="U10" s="4"/>
      <c r="V10" s="4"/>
      <c r="W10" s="4"/>
      <c r="X10" s="4"/>
      <c r="Y10" s="4"/>
      <c r="Z10" s="4"/>
    </row>
    <row r="11" ht="6.0" customHeight="1">
      <c r="A11" s="4"/>
      <c r="B11" s="272"/>
      <c r="C11" s="33"/>
      <c r="D11" s="33"/>
      <c r="E11" s="33"/>
      <c r="F11" s="33"/>
      <c r="G11" s="33"/>
      <c r="H11" s="33"/>
      <c r="I11" s="33"/>
      <c r="J11" s="33"/>
      <c r="K11" s="33"/>
      <c r="L11" s="33"/>
      <c r="M11" s="33"/>
      <c r="N11" s="33"/>
      <c r="O11" s="33"/>
      <c r="P11" s="33"/>
      <c r="Q11" s="33"/>
      <c r="R11" s="33"/>
      <c r="S11" s="19"/>
      <c r="T11" s="4"/>
      <c r="U11" s="4"/>
      <c r="V11" s="4"/>
      <c r="W11" s="4"/>
      <c r="X11" s="4"/>
      <c r="Y11" s="4"/>
      <c r="Z11" s="4"/>
    </row>
    <row r="12" ht="18.75" customHeight="1">
      <c r="A12" s="4"/>
      <c r="B12" s="272"/>
      <c r="C12" s="33" t="s">
        <v>58</v>
      </c>
      <c r="D12" s="33"/>
      <c r="E12" s="33"/>
      <c r="F12" s="33"/>
      <c r="G12" s="33"/>
      <c r="H12" s="33"/>
      <c r="I12" s="33"/>
      <c r="J12" s="33"/>
      <c r="K12" s="33"/>
      <c r="L12" s="33"/>
      <c r="M12" s="33"/>
      <c r="N12" s="33"/>
      <c r="O12" s="33"/>
      <c r="P12" s="33"/>
      <c r="Q12" s="33"/>
      <c r="R12" s="449"/>
      <c r="S12" s="19"/>
      <c r="T12" s="4"/>
      <c r="U12" s="4"/>
      <c r="V12" s="4"/>
      <c r="W12" s="4"/>
      <c r="X12" s="4"/>
      <c r="Y12" s="4"/>
      <c r="Z12" s="4"/>
    </row>
    <row r="13" ht="79.5" customHeight="1">
      <c r="A13" s="4"/>
      <c r="B13" s="272"/>
      <c r="C13" s="111" t="s">
        <v>8</v>
      </c>
      <c r="D13" s="112" t="str">
        <f>WX!B3</f>
        <v>TAF WIII 060500Z 0606/0712 03010KT 9000 FEW020 
  TEMPO 0606/0609 5000 SHRA FEW018CB BKN020 
  BECMG 0611/0613 19003KT 
  BECMG 0619/0621 5000 HZ 
  BECMG 0700/0702 02010KT 8000 NSW</v>
      </c>
      <c r="E13" s="87"/>
      <c r="F13" s="87"/>
      <c r="G13" s="87"/>
      <c r="H13" s="87"/>
      <c r="I13" s="87"/>
      <c r="J13" s="87"/>
      <c r="K13" s="87"/>
      <c r="L13" s="87"/>
      <c r="M13" s="87"/>
      <c r="N13" s="87"/>
      <c r="O13" s="87"/>
      <c r="P13" s="87"/>
      <c r="Q13" s="87"/>
      <c r="R13" s="88"/>
      <c r="S13" s="113"/>
      <c r="T13" s="4"/>
      <c r="U13" s="4"/>
      <c r="V13" s="4"/>
      <c r="W13" s="4"/>
      <c r="X13" s="4"/>
      <c r="Y13" s="4"/>
      <c r="Z13" s="4"/>
    </row>
    <row r="14" ht="75.75" customHeight="1">
      <c r="A14" s="4"/>
      <c r="B14" s="272"/>
      <c r="C14" s="111" t="s">
        <v>312</v>
      </c>
      <c r="D14" s="112" t="str">
        <f>WX!D8</f>
        <v>TAF VTBD 060500Z 0606/0712 03008KT 9999 FEW020 
  PROB40 
  TEMPO 0608/0612 VRB15KT -TSRA FEW018CB SCT030 BKN100 
  BECMG 0613/0615 10005KT 
  BECMG 0700/0702 03008KT</v>
      </c>
      <c r="E14" s="87"/>
      <c r="F14" s="87"/>
      <c r="G14" s="87"/>
      <c r="H14" s="87"/>
      <c r="I14" s="87"/>
      <c r="J14" s="87"/>
      <c r="K14" s="87"/>
      <c r="L14" s="87"/>
      <c r="M14" s="87"/>
      <c r="N14" s="87"/>
      <c r="O14" s="87"/>
      <c r="P14" s="87"/>
      <c r="Q14" s="87"/>
      <c r="R14" s="88"/>
      <c r="S14" s="113"/>
      <c r="T14" s="4"/>
      <c r="U14" s="4"/>
      <c r="V14" s="4"/>
      <c r="W14" s="4"/>
      <c r="X14" s="4"/>
      <c r="Y14" s="4"/>
      <c r="Z14" s="4"/>
    </row>
    <row r="15" ht="73.5" customHeight="1">
      <c r="A15" s="4"/>
      <c r="B15" s="272"/>
      <c r="C15" s="111" t="s">
        <v>333</v>
      </c>
      <c r="D15" s="112" t="str">
        <f>WX!D10</f>
        <v>TAF VTBS 060500Z 0606/0712 06008KT 9999 FEW020 
  PROB40 
  TEMPO 0608/0612 VRB15KT -TSRA FEW018CB SCT030 BKN100</v>
      </c>
      <c r="E15" s="87"/>
      <c r="F15" s="87"/>
      <c r="G15" s="87"/>
      <c r="H15" s="87"/>
      <c r="I15" s="87"/>
      <c r="J15" s="87"/>
      <c r="K15" s="87"/>
      <c r="L15" s="87"/>
      <c r="M15" s="87"/>
      <c r="N15" s="87"/>
      <c r="O15" s="87"/>
      <c r="P15" s="87"/>
      <c r="Q15" s="87"/>
      <c r="R15" s="88"/>
      <c r="S15" s="113"/>
      <c r="T15" s="4"/>
      <c r="U15" s="4"/>
      <c r="V15" s="4"/>
      <c r="W15" s="4"/>
      <c r="X15" s="4"/>
      <c r="Y15" s="4"/>
      <c r="Z15" s="4"/>
    </row>
    <row r="16" ht="60.75" customHeight="1">
      <c r="A16" s="4"/>
      <c r="B16" s="272"/>
      <c r="C16" s="111" t="s">
        <v>308</v>
      </c>
      <c r="D16" s="112" t="str">
        <f>WX!D9</f>
        <v>TAF VTBU 060500Z 0606/0706 14008KT 8000 FEW020 
  TEMPO 0609/0615 VRB15KT 3000 TSRA FEW018CB SCT035 BKN100 
  BECMG 0615/0616 35004KT</v>
      </c>
      <c r="E16" s="87"/>
      <c r="F16" s="87"/>
      <c r="G16" s="87"/>
      <c r="H16" s="87"/>
      <c r="I16" s="87"/>
      <c r="J16" s="87"/>
      <c r="K16" s="87"/>
      <c r="L16" s="87"/>
      <c r="M16" s="87"/>
      <c r="N16" s="87"/>
      <c r="O16" s="87"/>
      <c r="P16" s="87"/>
      <c r="Q16" s="87"/>
      <c r="R16" s="88"/>
      <c r="S16" s="113"/>
      <c r="T16" s="4"/>
      <c r="U16" s="4"/>
      <c r="V16" s="4"/>
      <c r="W16" s="4"/>
      <c r="X16" s="4"/>
      <c r="Y16" s="4"/>
      <c r="Z16" s="4"/>
    </row>
    <row r="17" ht="63.0" customHeight="1">
      <c r="A17" s="4"/>
      <c r="B17" s="272"/>
      <c r="C17" s="111" t="s">
        <v>38</v>
      </c>
      <c r="D17" s="112" t="str">
        <f>WX!D3</f>
        <v>TAF WSSS 060500Z 0606/0712 21007KT 9999 FEW015 SCT020</v>
      </c>
      <c r="E17" s="87"/>
      <c r="F17" s="87"/>
      <c r="G17" s="87"/>
      <c r="H17" s="87"/>
      <c r="I17" s="87"/>
      <c r="J17" s="87"/>
      <c r="K17" s="87"/>
      <c r="L17" s="87"/>
      <c r="M17" s="87"/>
      <c r="N17" s="87"/>
      <c r="O17" s="87"/>
      <c r="P17" s="87"/>
      <c r="Q17" s="87"/>
      <c r="R17" s="88"/>
      <c r="S17" s="117"/>
      <c r="T17" s="4"/>
      <c r="U17" s="4"/>
      <c r="V17" s="4"/>
      <c r="W17" s="4"/>
      <c r="X17" s="4"/>
      <c r="Y17" s="4"/>
      <c r="Z17" s="4"/>
    </row>
    <row r="18" ht="12.75" customHeight="1">
      <c r="A18" s="4"/>
      <c r="B18" s="272"/>
      <c r="C18" s="111"/>
      <c r="D18" s="112"/>
      <c r="E18" s="87"/>
      <c r="F18" s="87"/>
      <c r="G18" s="87"/>
      <c r="H18" s="87"/>
      <c r="I18" s="87"/>
      <c r="J18" s="87"/>
      <c r="K18" s="87"/>
      <c r="L18" s="87"/>
      <c r="M18" s="87"/>
      <c r="N18" s="87"/>
      <c r="O18" s="87"/>
      <c r="P18" s="87"/>
      <c r="Q18" s="87"/>
      <c r="R18" s="88"/>
      <c r="S18" s="113"/>
      <c r="T18" s="4"/>
      <c r="U18" s="4"/>
      <c r="V18" s="4"/>
      <c r="W18" s="4"/>
      <c r="X18" s="4"/>
      <c r="Y18" s="4"/>
      <c r="Z18" s="4"/>
    </row>
    <row r="19" ht="15.75" customHeight="1">
      <c r="A19" s="4"/>
      <c r="B19" s="272"/>
      <c r="C19" s="33"/>
      <c r="D19" s="33"/>
      <c r="E19" s="33"/>
      <c r="F19" s="33"/>
      <c r="G19" s="33"/>
      <c r="H19" s="33"/>
      <c r="I19" s="33"/>
      <c r="J19" s="33"/>
      <c r="K19" s="33"/>
      <c r="L19" s="33"/>
      <c r="M19" s="33"/>
      <c r="N19" s="33"/>
      <c r="O19" s="33"/>
      <c r="P19" s="33"/>
      <c r="Q19" s="33"/>
      <c r="R19" s="121"/>
      <c r="S19" s="19"/>
      <c r="T19" s="4"/>
      <c r="U19" s="4"/>
      <c r="V19" s="4"/>
      <c r="W19" s="4"/>
      <c r="X19" s="4"/>
      <c r="Y19" s="4"/>
      <c r="Z19" s="4"/>
    </row>
    <row r="20" ht="15.75" customHeight="1">
      <c r="A20" s="4"/>
      <c r="B20" s="272"/>
      <c r="C20" s="123"/>
      <c r="D20" s="123" t="s">
        <v>73</v>
      </c>
      <c r="E20" s="123" t="s">
        <v>74</v>
      </c>
      <c r="F20" s="125" t="s">
        <v>75</v>
      </c>
      <c r="G20" s="126"/>
      <c r="H20" s="126"/>
      <c r="I20" s="126"/>
      <c r="J20" s="127"/>
      <c r="K20" s="123" t="s">
        <v>73</v>
      </c>
      <c r="L20" s="123" t="s">
        <v>73</v>
      </c>
      <c r="M20" s="123" t="s">
        <v>74</v>
      </c>
      <c r="N20" s="125" t="s">
        <v>75</v>
      </c>
      <c r="O20" s="126"/>
      <c r="P20" s="126"/>
      <c r="Q20" s="126"/>
      <c r="R20" s="127"/>
      <c r="S20" s="128"/>
      <c r="T20" s="4"/>
      <c r="U20" s="4"/>
      <c r="V20" s="4"/>
      <c r="W20" s="4"/>
      <c r="X20" s="4"/>
      <c r="Y20" s="4"/>
      <c r="Z20" s="4"/>
    </row>
    <row r="21" ht="15.75" customHeight="1">
      <c r="A21" s="4"/>
      <c r="B21" s="272"/>
      <c r="C21" s="130"/>
      <c r="D21" s="398" t="s">
        <v>76</v>
      </c>
      <c r="E21" s="130"/>
      <c r="F21" s="132"/>
      <c r="G21" s="133"/>
      <c r="H21" s="133"/>
      <c r="I21" s="133"/>
      <c r="J21" s="134"/>
      <c r="K21" s="398" t="s">
        <v>76</v>
      </c>
      <c r="L21" s="398" t="s">
        <v>76</v>
      </c>
      <c r="M21" s="130"/>
      <c r="N21" s="132"/>
      <c r="O21" s="133"/>
      <c r="P21" s="133"/>
      <c r="Q21" s="133"/>
      <c r="R21" s="134"/>
      <c r="S21" s="128"/>
      <c r="T21" s="4"/>
      <c r="U21" s="4"/>
      <c r="V21" s="4"/>
      <c r="W21" s="4"/>
      <c r="X21" s="4"/>
      <c r="Y21" s="4"/>
      <c r="Z21" s="4"/>
    </row>
    <row r="22" ht="69.0" customHeight="1">
      <c r="A22" s="4"/>
      <c r="B22" s="272"/>
      <c r="C22" s="135" t="s">
        <v>7</v>
      </c>
      <c r="D22" s="135" t="str">
        <f>G4</f>
        <v>WIII</v>
      </c>
      <c r="E22" s="140">
        <f>'258'!BE4</f>
        <v>0.4930555556</v>
      </c>
      <c r="F22" s="141" t="s">
        <v>180</v>
      </c>
      <c r="G22" s="87"/>
      <c r="H22" s="87"/>
      <c r="I22" s="87"/>
      <c r="J22" s="88"/>
      <c r="K22" s="250" t="s">
        <v>36</v>
      </c>
      <c r="L22" s="250" t="str">
        <f>G8</f>
        <v>WIII</v>
      </c>
      <c r="M22" s="266">
        <f>'258'!BE6</f>
        <v>0.4791666667</v>
      </c>
      <c r="N22" s="399"/>
      <c r="O22" s="87"/>
      <c r="P22" s="87"/>
      <c r="Q22" s="87"/>
      <c r="R22" s="88"/>
      <c r="S22" s="128"/>
      <c r="T22" s="4"/>
      <c r="U22" s="4"/>
      <c r="V22" s="4"/>
      <c r="W22" s="4"/>
      <c r="X22" s="4"/>
      <c r="Y22" s="4"/>
      <c r="Z22" s="4"/>
    </row>
    <row r="23" ht="69.0" customHeight="1">
      <c r="A23" s="4"/>
      <c r="B23" s="272"/>
      <c r="C23" s="135" t="s">
        <v>10</v>
      </c>
      <c r="D23" s="135" t="str">
        <f>J4</f>
        <v>VTBD</v>
      </c>
      <c r="E23" s="140">
        <f>'258'!BF4</f>
        <v>0.6458333333</v>
      </c>
      <c r="F23" s="141" t="s">
        <v>375</v>
      </c>
      <c r="G23" s="87"/>
      <c r="H23" s="87"/>
      <c r="I23" s="87"/>
      <c r="J23" s="88"/>
      <c r="K23" s="250" t="s">
        <v>37</v>
      </c>
      <c r="L23" s="250" t="str">
        <f>J8</f>
        <v>WMKK</v>
      </c>
      <c r="M23" s="266">
        <f>'258'!BF6</f>
        <v>0.5659722222</v>
      </c>
      <c r="N23" s="257"/>
      <c r="O23" s="87"/>
      <c r="P23" s="87"/>
      <c r="Q23" s="87"/>
      <c r="R23" s="88"/>
      <c r="S23" s="128"/>
      <c r="T23" s="4"/>
      <c r="U23" s="4"/>
      <c r="V23" s="4"/>
      <c r="W23" s="4"/>
      <c r="X23" s="4"/>
      <c r="Y23" s="4"/>
      <c r="Z23" s="4"/>
    </row>
    <row r="24" ht="69.0" customHeight="1">
      <c r="A24" s="4"/>
      <c r="B24" s="272"/>
      <c r="C24" s="135" t="s">
        <v>22</v>
      </c>
      <c r="D24" s="170" t="str">
        <f>G6</f>
        <v>VTBD</v>
      </c>
      <c r="E24" s="140">
        <f>'258'!BE5</f>
        <v>0.6666666667</v>
      </c>
      <c r="F24" s="141" t="s">
        <v>375</v>
      </c>
      <c r="G24" s="87"/>
      <c r="H24" s="87"/>
      <c r="I24" s="87"/>
      <c r="J24" s="88"/>
      <c r="K24" s="250" t="s">
        <v>47</v>
      </c>
      <c r="L24" s="253" t="str">
        <f>G10</f>
        <v>WMKK</v>
      </c>
      <c r="M24" s="266">
        <f>'258'!BE7</f>
        <v>0.5833333333</v>
      </c>
      <c r="N24" s="257"/>
      <c r="O24" s="87"/>
      <c r="P24" s="87"/>
      <c r="Q24" s="87"/>
      <c r="R24" s="88"/>
      <c r="S24" s="128"/>
      <c r="T24" s="4"/>
      <c r="U24" s="4"/>
      <c r="V24" s="4"/>
      <c r="W24" s="4"/>
      <c r="X24" s="4"/>
      <c r="Y24" s="4"/>
      <c r="Z24" s="4"/>
    </row>
    <row r="25" ht="69.0" customHeight="1">
      <c r="A25" s="4"/>
      <c r="B25" s="272"/>
      <c r="C25" s="135" t="s">
        <v>23</v>
      </c>
      <c r="D25" s="135" t="str">
        <f>J6</f>
        <v>WIII</v>
      </c>
      <c r="E25" s="140">
        <f>'258'!BF5</f>
        <v>0.8125</v>
      </c>
      <c r="F25" s="141" t="s">
        <v>180</v>
      </c>
      <c r="G25" s="87"/>
      <c r="H25" s="87"/>
      <c r="I25" s="87"/>
      <c r="J25" s="88"/>
      <c r="K25" s="250" t="s">
        <v>50</v>
      </c>
      <c r="L25" s="250" t="str">
        <f>J10</f>
        <v>WIII</v>
      </c>
      <c r="M25" s="266">
        <f>'258'!BF7</f>
        <v>0.6701388889</v>
      </c>
      <c r="N25" s="399"/>
      <c r="O25" s="87"/>
      <c r="P25" s="87"/>
      <c r="Q25" s="87"/>
      <c r="R25" s="88"/>
      <c r="S25" s="128"/>
      <c r="T25" s="4"/>
      <c r="U25" s="4"/>
      <c r="V25" s="4"/>
      <c r="W25" s="4"/>
      <c r="X25" s="4"/>
      <c r="Y25" s="4"/>
      <c r="Z25" s="4"/>
    </row>
    <row r="26" ht="33.75" customHeight="1">
      <c r="A26" s="4"/>
      <c r="B26" s="272"/>
      <c r="C26" s="284"/>
      <c r="D26" s="284"/>
      <c r="E26" s="285"/>
      <c r="F26" s="284"/>
      <c r="G26" s="284"/>
      <c r="H26" s="284"/>
      <c r="I26" s="284"/>
      <c r="J26" s="284"/>
      <c r="K26" s="284"/>
      <c r="L26" s="284"/>
      <c r="M26" s="284"/>
      <c r="N26" s="284"/>
      <c r="O26" s="284"/>
      <c r="P26" s="284"/>
      <c r="Q26" s="284"/>
      <c r="R26" s="287"/>
      <c r="S26" s="128"/>
      <c r="T26" s="4"/>
      <c r="U26" s="4"/>
      <c r="V26" s="4"/>
      <c r="W26" s="4"/>
      <c r="X26" s="4"/>
      <c r="Y26" s="4"/>
      <c r="Z26" s="4"/>
    </row>
    <row r="27" ht="15.75" customHeight="1">
      <c r="A27" s="4"/>
      <c r="B27" s="272"/>
      <c r="C27" s="123"/>
      <c r="D27" s="406" t="s">
        <v>73</v>
      </c>
      <c r="E27" s="125" t="s">
        <v>119</v>
      </c>
      <c r="F27" s="126"/>
      <c r="G27" s="126"/>
      <c r="H27" s="126"/>
      <c r="I27" s="126"/>
      <c r="J27" s="126"/>
      <c r="K27" s="126"/>
      <c r="L27" s="126"/>
      <c r="M27" s="126"/>
      <c r="N27" s="126"/>
      <c r="O27" s="126"/>
      <c r="P27" s="126"/>
      <c r="Q27" s="126"/>
      <c r="R27" s="127"/>
      <c r="S27" s="128"/>
      <c r="T27" s="4"/>
      <c r="U27" s="4"/>
      <c r="V27" s="4"/>
      <c r="W27" s="4"/>
      <c r="X27" s="4"/>
      <c r="Y27" s="4"/>
      <c r="Z27" s="4"/>
    </row>
    <row r="28" ht="15.75" customHeight="1">
      <c r="A28" s="4"/>
      <c r="B28" s="272"/>
      <c r="C28" s="130"/>
      <c r="D28" s="407" t="s">
        <v>76</v>
      </c>
      <c r="E28" s="132"/>
      <c r="F28" s="133"/>
      <c r="G28" s="133"/>
      <c r="H28" s="133"/>
      <c r="I28" s="133"/>
      <c r="J28" s="133"/>
      <c r="K28" s="133"/>
      <c r="L28" s="133"/>
      <c r="M28" s="133"/>
      <c r="N28" s="133"/>
      <c r="O28" s="133"/>
      <c r="P28" s="133"/>
      <c r="Q28" s="133"/>
      <c r="R28" s="134"/>
      <c r="S28" s="128"/>
      <c r="T28" s="4"/>
      <c r="U28" s="4"/>
      <c r="V28" s="4"/>
      <c r="W28" s="4"/>
      <c r="X28" s="4"/>
      <c r="Y28" s="4"/>
      <c r="Z28" s="4"/>
    </row>
    <row r="29" ht="3.0" customHeight="1">
      <c r="A29" s="4"/>
      <c r="B29" s="272"/>
      <c r="C29" s="304"/>
      <c r="D29" s="304"/>
      <c r="E29" s="306"/>
      <c r="F29" s="308"/>
      <c r="G29" s="308"/>
      <c r="H29" s="308"/>
      <c r="I29" s="308"/>
      <c r="J29" s="308"/>
      <c r="K29" s="308"/>
      <c r="L29" s="308"/>
      <c r="M29" s="308"/>
      <c r="N29" s="308"/>
      <c r="O29" s="308"/>
      <c r="P29" s="308"/>
      <c r="Q29" s="308"/>
      <c r="R29" s="311"/>
      <c r="S29" s="299"/>
      <c r="T29" s="4"/>
      <c r="U29" s="4"/>
      <c r="V29" s="4"/>
      <c r="W29" s="4"/>
      <c r="X29" s="4"/>
      <c r="Y29" s="4"/>
      <c r="Z29" s="4"/>
    </row>
    <row r="30" ht="273.0" customHeight="1">
      <c r="A30" s="4"/>
      <c r="B30" s="272"/>
      <c r="C30" s="312"/>
      <c r="D30" s="302" t="s">
        <v>8</v>
      </c>
      <c r="E30" s="305" t="str">
        <f>NOTAM!B3</f>
        <v>A2668/24 - RWY 06/24 CLSD DUE TO RUBBER DEPOSITE REMOVAL. DAILY 1600-2200, 04 OCT 16:00 2024 UNTIL 11 OCT 22:00 2024. CREATED: 02 SEP 12:03 2024
A2667/24 - RWY 07L/25R CLSD DUE TO RUBBER DEPOSITE REMOVAL. SEP 05 1600-2200 06-07 1500-2200 08 1600-2200 09-10 1500-2200 OCT 04-05 1500-2200 06 1600-2200 07-09 1500-2200 10 1600-2200 11 1500-2200, 05 SEP 16:00 2024 UNTIL 11 OCT 22:00 2024. CREATED: 02 SEP 11:58 2024
A2175/24 - INSET THR LGT ON RWY 07R/25L U/S DUE TO WIP
RMK: ELEVATED THR LGT AVBL. 01 AUG 00:00 2024 UNTIL 31 OCT 23:59 2024. CREATED: 18 JUL 13:14 2024
A2172/24 - RWY CENTRE LINE LGT ON RWY 07R/25L U/S DUE TO WIP. 01 AUG 00:00 2024 UNTIL 31 OCT 23:59 2024. CREATED: 18 JUL 12:50 2024</v>
      </c>
      <c r="F30" s="87"/>
      <c r="G30" s="87"/>
      <c r="H30" s="87"/>
      <c r="I30" s="87"/>
      <c r="J30" s="87"/>
      <c r="K30" s="87"/>
      <c r="L30" s="87"/>
      <c r="M30" s="87"/>
      <c r="N30" s="87"/>
      <c r="O30" s="87"/>
      <c r="P30" s="87"/>
      <c r="Q30" s="87"/>
      <c r="R30" s="88"/>
      <c r="S30" s="299"/>
      <c r="T30" s="4"/>
      <c r="U30" s="4"/>
      <c r="V30" s="4"/>
      <c r="W30" s="4"/>
      <c r="X30" s="4"/>
      <c r="Y30" s="4"/>
      <c r="Z30" s="4"/>
    </row>
    <row r="31" ht="210.0" customHeight="1">
      <c r="A31" s="4"/>
      <c r="B31" s="272"/>
      <c r="C31" s="304"/>
      <c r="D31" s="111" t="s">
        <v>312</v>
      </c>
      <c r="E31" s="305" t="str">
        <f>NOTAM!D8</f>
        <v>A2846/24 - RWY 03R/21L CLSD DUE TO WIP. 02 1500-2200, 04 1500-1600, 05 06 AND 08 1500-2200, 02 OCT 15:00 2024 UNTIL 08 OCT 22:00 2024. CREATED: 02 OCT 08:35 2024
A2846/24 - RWY 03R/21L CLSD DUE TO WIP. 02 1500-2200, 04 1500-1600, 05 06 AND 08 1500-2200, 02 OCT 15:00 2024 UNTIL 08 OCT 22:00 2024. CREATED: 02 OCT 08:35 2024
J6358/24 - TEMPO RESTRICTED AREA ACT WI 0.5NM CENTRE OF 135526.22N1003713.11E
 APPROVAL SHALL BE MADE BEFORE ENTERING, EXCEPT DEP AND ARR ACFT AT
 VTBD PILOT IN COMMAND SHALL STRICTLY COMPLY WITH ATC INSTRUCTION. GND - 3000FT AGL, 30 SEP 06:18 2024 UNTIL 31 DEC 11:00 2024. CREATED: 30 SEP 06:19 2024</v>
      </c>
      <c r="F31" s="87"/>
      <c r="G31" s="87"/>
      <c r="H31" s="87"/>
      <c r="I31" s="87"/>
      <c r="J31" s="87"/>
      <c r="K31" s="87"/>
      <c r="L31" s="87"/>
      <c r="M31" s="87"/>
      <c r="N31" s="87"/>
      <c r="O31" s="87"/>
      <c r="P31" s="87"/>
      <c r="Q31" s="87"/>
      <c r="R31" s="88"/>
      <c r="S31" s="299"/>
      <c r="T31" s="4"/>
      <c r="U31" s="4"/>
      <c r="V31" s="4"/>
      <c r="W31" s="4"/>
      <c r="X31" s="4"/>
      <c r="Y31" s="4"/>
      <c r="Z31" s="4"/>
    </row>
    <row r="32" ht="237.0" customHeight="1">
      <c r="A32" s="4"/>
      <c r="B32" s="272"/>
      <c r="C32" s="304"/>
      <c r="D32" s="307" t="s">
        <v>333</v>
      </c>
      <c r="E32" s="305" t="str">
        <f>NOTAM!D10</f>
        <v>A2891/24 - TXL T18 BTN TWY C AND ACFT STAND NR S101 CLSD DUE TO WIP. 06 OCT 20:00 2024 UNTIL 06 OCT 23:00 2024. CREATED: 04 OCT 09:08 2024
A2884/24 - RWY 01/19 CLSD DUE TO WIP. 06 OCT 19:00 2024 UNTIL 06 OCT 23:30 2024. CREATED: 04 OCT 06:37 2024
A2877/24 - STOP BAR TWY B1 AND TWY B2 U/S. 03 OCT 23:27 2024 UNTIL 18 OCT 23:30 2024. CREATED: 03 OCT 23:29 2024
A2829/24 - STOP BAR TWY B3, TWY B11, TWY E5 AND TWY E15 U/S. 03 OCT 00:00 2024 UNTIL 14 OCT 16:59 2024. CREATED: 01 OCT 05:44 2024
A2085/24 - VISUAL DOCKING GUIDANCE SYSTEM (VDGS) ACFT STAND NR 101-129, 201-203, 301-308, 401-403, 501-525, U/S DUE TO MAINT
RMK: ACFT HAVE TO FLW MARSHALLING SIGNALS STRICTLY. 05 AUG 04:38 2024 UNTIL 02 NOV 06:00 2024. CREATED: 05 AUG 04:40 2024</v>
      </c>
      <c r="F32" s="87"/>
      <c r="G32" s="87"/>
      <c r="H32" s="87"/>
      <c r="I32" s="87"/>
      <c r="J32" s="87"/>
      <c r="K32" s="87"/>
      <c r="L32" s="87"/>
      <c r="M32" s="87"/>
      <c r="N32" s="87"/>
      <c r="O32" s="87"/>
      <c r="P32" s="87"/>
      <c r="Q32" s="87"/>
      <c r="R32" s="88"/>
      <c r="S32" s="299"/>
      <c r="T32" s="4"/>
      <c r="U32" s="4"/>
      <c r="V32" s="4"/>
      <c r="W32" s="4"/>
      <c r="X32" s="4"/>
      <c r="Y32" s="4"/>
      <c r="Z32" s="4"/>
    </row>
    <row r="33" ht="187.5" customHeight="1">
      <c r="A33" s="4"/>
      <c r="B33" s="272"/>
      <c r="C33" s="304"/>
      <c r="D33" s="307" t="s">
        <v>308</v>
      </c>
      <c r="E33" s="305" t="str">
        <f>NOTAM!D9</f>
        <v>A2713/24 - PALS RWY 18 U/S DUE TO MAINT. 23 SEP 03:28 2024 UNTIL 20 DEC 16:59 2024. CREATED: 23 SEP 03:29 2024
A2700/24 - SALS RWY 36 U/S DUE TO MAINT. 21 SEP 03:40 2024 UNTIL 20 DEC 17:00 2024. CREATED: 21 SEP 03:44 2024
A2694/24 - ATIS FREQ 127.2MHZ U/S. 20 SEP 09:15 2024 UNTIL 20 DEC 17:00 2024. CREATED: 20
SEP 09:16 2024</v>
      </c>
      <c r="F33" s="87"/>
      <c r="G33" s="87"/>
      <c r="H33" s="87"/>
      <c r="I33" s="87"/>
      <c r="J33" s="87"/>
      <c r="K33" s="87"/>
      <c r="L33" s="87"/>
      <c r="M33" s="87"/>
      <c r="N33" s="87"/>
      <c r="O33" s="87"/>
      <c r="P33" s="87"/>
      <c r="Q33" s="87"/>
      <c r="R33" s="88"/>
      <c r="S33" s="299"/>
      <c r="T33" s="4"/>
      <c r="U33" s="4"/>
      <c r="V33" s="4"/>
      <c r="W33" s="4"/>
      <c r="X33" s="4"/>
      <c r="Y33" s="4"/>
      <c r="Z33" s="4"/>
    </row>
    <row r="34" ht="321.75" customHeight="1">
      <c r="A34" s="4"/>
      <c r="B34" s="272"/>
      <c r="C34" s="694"/>
      <c r="D34" s="411" t="s">
        <v>38</v>
      </c>
      <c r="E34" s="332" t="str">
        <f>NOTAM!D3</f>
        <v>A3414/24 - TWY S2 CLSD. 30 SEP 16:00 2024 UNTIL 30 NOV 15:59 2024. CREATED: 30 SEP 09:29
2024
A3396/24 - TWY CENTRE LINE LIGHTS AT CHANGI AIRPORT WILL BE TURNED ON
PROGRESSIVELY DUE TESTING IN PROGRESS. PILOTS ARE TO STRICTLY
ADHERE TO VERBAL ATC TAXI INSTRUCTIONS AND STOP BEHIND RED STOPBAR
LIGHTS AT ALL TIMES. SEP 30 0400-0900, OCT 01-31 0400-0900, NOV 01-24 0400-0900,
30 SEP 04:00 2024 UNTIL 24 NOV 09:00 2024. CREATED: 29 SEP 12:04 2024
A3396/24 - TWY CENTRE LINE LIGHTS AT CHANGI AIRPORT WILL BE TURNED ON
PROGRESSIVELY DUE TESTING IN PROGRESS. PILOTS ARE TO STRICTLY
ADHERE TO VERBAL ATC TAXI INSTRUCTIONS AND STOP BEHIND RED STOPBAR
LIGHTS AT ALL TIMES. SEP 30 0400-0900, OCT 01-31 0400-0900, NOV 01-24 0400-0900,
30 SEP 04:00 2024 UNTIL 24 NOV 09:00 2024. CREATED: 29 SEP 12:04 2024
A3084/24 - TWY G AND TWY H BTN TWY G3 AND TWY B CLSD. 05 SEP 09:10 2024 UNTIL 08 OCT 15:59 2024. CREATED: 05 SEP 11:05 2024</v>
      </c>
      <c r="F34" s="333"/>
      <c r="G34" s="333"/>
      <c r="H34" s="333"/>
      <c r="I34" s="333"/>
      <c r="J34" s="333"/>
      <c r="K34" s="333"/>
      <c r="L34" s="333"/>
      <c r="M34" s="333"/>
      <c r="N34" s="333"/>
      <c r="O34" s="333"/>
      <c r="P34" s="333"/>
      <c r="Q34" s="333"/>
      <c r="R34" s="336"/>
      <c r="S34" s="299"/>
      <c r="T34" s="4"/>
      <c r="U34" s="4"/>
      <c r="V34" s="4"/>
      <c r="W34" s="4"/>
      <c r="X34" s="4"/>
      <c r="Y34" s="4"/>
      <c r="Z34" s="4"/>
    </row>
    <row r="35" ht="25.5" customHeight="1">
      <c r="A35" s="4"/>
      <c r="B35" s="272"/>
      <c r="C35" s="347" t="s">
        <v>134</v>
      </c>
      <c r="D35" s="87"/>
      <c r="E35" s="87"/>
      <c r="F35" s="87"/>
      <c r="G35" s="87"/>
      <c r="H35" s="87"/>
      <c r="I35" s="87"/>
      <c r="J35" s="87"/>
      <c r="K35" s="87"/>
      <c r="L35" s="87"/>
      <c r="M35" s="87"/>
      <c r="N35" s="87"/>
      <c r="O35" s="87"/>
      <c r="P35" s="87"/>
      <c r="Q35" s="87"/>
      <c r="R35" s="88"/>
      <c r="S35" s="19"/>
      <c r="T35" s="4"/>
      <c r="U35" s="4"/>
      <c r="V35" s="4"/>
      <c r="W35" s="4"/>
      <c r="X35" s="4"/>
      <c r="Y35" s="4"/>
      <c r="Z35" s="4"/>
    </row>
    <row r="36" ht="15.75" customHeight="1">
      <c r="A36" s="4"/>
      <c r="B36" s="272"/>
      <c r="C36" s="33"/>
      <c r="D36" s="33"/>
      <c r="E36" s="33"/>
      <c r="F36" s="33"/>
      <c r="G36" s="33"/>
      <c r="H36" s="33"/>
      <c r="I36" s="33"/>
      <c r="J36" s="33"/>
      <c r="K36" s="33"/>
      <c r="L36" s="33"/>
      <c r="M36" s="33"/>
      <c r="N36" s="33"/>
      <c r="O36" s="33"/>
      <c r="P36" s="33"/>
      <c r="Q36" s="33"/>
      <c r="R36" s="33"/>
      <c r="S36" s="19"/>
      <c r="T36" s="4"/>
      <c r="U36" s="4"/>
      <c r="V36" s="4"/>
      <c r="W36" s="4"/>
      <c r="X36" s="4"/>
      <c r="Y36" s="4"/>
      <c r="Z36" s="4"/>
    </row>
    <row r="37" ht="15.75" customHeight="1">
      <c r="A37" s="4"/>
      <c r="B37" s="272"/>
      <c r="C37" s="33"/>
      <c r="D37" s="33"/>
      <c r="E37" s="33"/>
      <c r="F37" s="33"/>
      <c r="G37" s="33"/>
      <c r="H37" s="284" t="s">
        <v>125</v>
      </c>
      <c r="I37" s="33"/>
      <c r="J37" s="33"/>
      <c r="K37" s="33"/>
      <c r="L37" s="33"/>
      <c r="M37" s="33"/>
      <c r="N37" s="33"/>
      <c r="O37" s="33"/>
      <c r="P37" s="284" t="s">
        <v>126</v>
      </c>
      <c r="Q37" s="33"/>
      <c r="R37" s="33"/>
      <c r="S37" s="19"/>
      <c r="T37" s="4"/>
      <c r="U37" s="4"/>
      <c r="V37" s="4"/>
      <c r="W37" s="4"/>
      <c r="X37" s="4"/>
      <c r="Y37" s="4"/>
      <c r="Z37" s="4"/>
    </row>
    <row r="38" ht="15.75" customHeight="1">
      <c r="A38" s="4"/>
      <c r="B38" s="272"/>
      <c r="C38" s="33"/>
      <c r="D38" s="33"/>
      <c r="E38" s="33"/>
      <c r="F38" s="33"/>
      <c r="G38" s="33"/>
      <c r="H38" s="284" t="s">
        <v>127</v>
      </c>
      <c r="I38" s="33"/>
      <c r="J38" s="33"/>
      <c r="K38" s="33"/>
      <c r="L38" s="33"/>
      <c r="M38" s="33"/>
      <c r="N38" s="33"/>
      <c r="O38" s="33"/>
      <c r="P38" s="284" t="s">
        <v>127</v>
      </c>
      <c r="Q38" s="33"/>
      <c r="R38" s="33"/>
      <c r="S38" s="19"/>
      <c r="T38" s="4"/>
      <c r="U38" s="4"/>
      <c r="V38" s="4"/>
      <c r="W38" s="4"/>
      <c r="X38" s="4"/>
      <c r="Y38" s="4"/>
      <c r="Z38" s="4"/>
    </row>
    <row r="39" ht="36.0" customHeight="1">
      <c r="A39" s="4"/>
      <c r="B39" s="272"/>
      <c r="C39" s="33"/>
      <c r="D39" s="33"/>
      <c r="E39" s="33"/>
      <c r="F39" s="33"/>
      <c r="G39" s="33"/>
      <c r="H39" s="33"/>
      <c r="I39" s="33"/>
      <c r="J39" s="33"/>
      <c r="K39" s="33"/>
      <c r="L39" s="33"/>
      <c r="M39" s="33"/>
      <c r="N39" s="33"/>
      <c r="O39" s="33"/>
      <c r="P39" s="33"/>
      <c r="Q39" s="33"/>
      <c r="R39" s="33"/>
      <c r="S39" s="19"/>
      <c r="T39" s="4"/>
      <c r="U39" s="4"/>
      <c r="V39" s="4"/>
      <c r="W39" s="4"/>
      <c r="X39" s="4"/>
      <c r="Y39" s="4"/>
      <c r="Z39" s="4"/>
    </row>
    <row r="40" ht="17.25" customHeight="1">
      <c r="A40" s="4"/>
      <c r="B40" s="272"/>
      <c r="C40" s="33"/>
      <c r="D40" s="33"/>
      <c r="E40" s="33"/>
      <c r="F40" s="33"/>
      <c r="G40" s="33"/>
      <c r="H40" s="33"/>
      <c r="I40" s="33"/>
      <c r="J40" s="33"/>
      <c r="K40" s="33"/>
      <c r="L40" s="33"/>
      <c r="M40" s="33"/>
      <c r="N40" s="33"/>
      <c r="O40" s="33"/>
      <c r="P40" s="33"/>
      <c r="Q40" s="33"/>
      <c r="R40" s="33"/>
      <c r="S40" s="19"/>
      <c r="T40" s="4"/>
      <c r="U40" s="4"/>
      <c r="V40" s="4"/>
      <c r="W40" s="4"/>
      <c r="X40" s="4"/>
      <c r="Y40" s="4"/>
      <c r="Z40" s="4"/>
    </row>
    <row r="41" ht="15.75" customHeight="1">
      <c r="A41" s="4"/>
      <c r="B41" s="272"/>
      <c r="C41" s="33"/>
      <c r="D41" s="33"/>
      <c r="E41" s="33"/>
      <c r="F41" s="33"/>
      <c r="G41" s="45" t="s">
        <v>129</v>
      </c>
      <c r="H41" s="45"/>
      <c r="I41" s="33"/>
      <c r="J41" s="33"/>
      <c r="K41" s="33"/>
      <c r="L41" s="33"/>
      <c r="M41" s="33"/>
      <c r="N41" s="33"/>
      <c r="O41" s="323" t="str">
        <f>'258'!BC17</f>
        <v>CAPT. REZA PAHLEVI </v>
      </c>
      <c r="S41" s="19"/>
      <c r="T41" s="4"/>
      <c r="U41" s="4"/>
      <c r="V41" s="4"/>
      <c r="W41" s="4"/>
      <c r="X41" s="4"/>
      <c r="Y41" s="4"/>
      <c r="Z41" s="4"/>
    </row>
    <row r="42" ht="15.75" customHeight="1">
      <c r="A42" s="4"/>
      <c r="B42" s="272"/>
      <c r="C42" s="33"/>
      <c r="D42" s="33"/>
      <c r="E42" s="33"/>
      <c r="F42" s="33"/>
      <c r="G42" s="284" t="s">
        <v>130</v>
      </c>
      <c r="J42" s="33"/>
      <c r="K42" s="33"/>
      <c r="L42" s="33"/>
      <c r="M42" s="33"/>
      <c r="N42" s="33"/>
      <c r="O42" s="33"/>
      <c r="P42" s="33" t="s">
        <v>131</v>
      </c>
      <c r="Q42" s="33"/>
      <c r="R42" s="33"/>
      <c r="S42" s="19"/>
      <c r="T42" s="4"/>
      <c r="U42" s="4"/>
      <c r="V42" s="4"/>
      <c r="W42" s="4"/>
      <c r="X42" s="4"/>
      <c r="Y42" s="4"/>
      <c r="Z42" s="4"/>
    </row>
    <row r="43" ht="15.75" customHeight="1">
      <c r="A43" s="4"/>
      <c r="B43" s="329"/>
      <c r="C43" s="330"/>
      <c r="D43" s="330"/>
      <c r="E43" s="330"/>
      <c r="F43" s="330"/>
      <c r="G43" s="330"/>
      <c r="H43" s="330"/>
      <c r="I43" s="330"/>
      <c r="J43" s="330"/>
      <c r="K43" s="330"/>
      <c r="L43" s="330"/>
      <c r="M43" s="330"/>
      <c r="N43" s="330"/>
      <c r="O43" s="330"/>
      <c r="P43" s="330"/>
      <c r="Q43" s="330"/>
      <c r="R43" s="330"/>
      <c r="S43" s="335"/>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2">
    <mergeCell ref="B2:S2"/>
    <mergeCell ref="C4:E4"/>
    <mergeCell ref="C6:E6"/>
    <mergeCell ref="D13:R13"/>
    <mergeCell ref="D14:R14"/>
    <mergeCell ref="D15:R15"/>
    <mergeCell ref="D16:R16"/>
    <mergeCell ref="N20:R21"/>
    <mergeCell ref="N22:R22"/>
    <mergeCell ref="O41:R41"/>
    <mergeCell ref="D17:R17"/>
    <mergeCell ref="D18:R18"/>
    <mergeCell ref="C20:C21"/>
    <mergeCell ref="E20:E21"/>
    <mergeCell ref="F20:J21"/>
    <mergeCell ref="M20:M21"/>
    <mergeCell ref="F22:J22"/>
    <mergeCell ref="E27:R28"/>
    <mergeCell ref="E30:R30"/>
    <mergeCell ref="E31:R31"/>
    <mergeCell ref="E32:R32"/>
    <mergeCell ref="E33:R33"/>
    <mergeCell ref="E34:R34"/>
    <mergeCell ref="C35:R35"/>
    <mergeCell ref="G42:I42"/>
    <mergeCell ref="F23:J23"/>
    <mergeCell ref="N23:R23"/>
    <mergeCell ref="F24:J24"/>
    <mergeCell ref="N24:R24"/>
    <mergeCell ref="F25:J25"/>
    <mergeCell ref="N25:R25"/>
    <mergeCell ref="C27:C28"/>
  </mergeCells>
  <printOptions horizontalCentered="1" verticalCentered="1"/>
  <pageMargins bottom="0.156944444444444" footer="0.0" header="0.0" left="0.159722222222222" right="0.119444444444444" top="0.159722222222222"/>
  <pageSetup paperSize="9" orientation="portrait"/>
  <rowBreaks count="1" manualBreakCount="1">
    <brk id="31" man="1"/>
  </rowBreak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sheetViews>
  <sheetFormatPr customHeight="1" defaultColWidth="12.63" defaultRowHeight="15.0"/>
  <cols>
    <col customWidth="1" min="1" max="1" width="9.75"/>
    <col customWidth="1" min="2" max="2" width="83.0"/>
    <col customWidth="1" min="3" max="3" width="9.75"/>
    <col customWidth="1" min="4" max="4" width="85.13"/>
    <col customWidth="1" min="5" max="21" width="8.88"/>
  </cols>
  <sheetData>
    <row r="1" ht="15.75" customHeight="1">
      <c r="A1" s="640"/>
      <c r="B1" s="640" t="s">
        <v>309</v>
      </c>
      <c r="C1" s="641"/>
      <c r="D1" s="640" t="s">
        <v>311</v>
      </c>
      <c r="E1" s="4"/>
      <c r="F1" s="4"/>
      <c r="G1" s="4"/>
      <c r="H1" s="4"/>
      <c r="I1" s="4"/>
      <c r="J1" s="4"/>
      <c r="K1" s="4"/>
      <c r="L1" s="4"/>
      <c r="M1" s="4"/>
      <c r="N1" s="4"/>
      <c r="O1" s="4"/>
      <c r="P1" s="4"/>
      <c r="Q1" s="4"/>
      <c r="R1" s="4"/>
      <c r="S1" s="4"/>
      <c r="T1" s="4"/>
      <c r="U1" s="4"/>
    </row>
    <row r="2" ht="15.75" customHeight="1">
      <c r="A2" s="4"/>
      <c r="B2" s="4"/>
      <c r="C2" s="4"/>
      <c r="D2" s="4"/>
      <c r="E2" s="4"/>
      <c r="F2" s="4"/>
      <c r="G2" s="4"/>
      <c r="H2" s="4"/>
      <c r="I2" s="4"/>
      <c r="J2" s="4"/>
      <c r="K2" s="4"/>
      <c r="L2" s="4"/>
      <c r="M2" s="4"/>
      <c r="N2" s="4"/>
      <c r="O2" s="4"/>
      <c r="P2" s="4"/>
      <c r="Q2" s="4"/>
      <c r="R2" s="4"/>
      <c r="S2" s="4"/>
      <c r="T2" s="4"/>
      <c r="U2" s="4"/>
    </row>
    <row r="3" ht="96.75" customHeight="1">
      <c r="A3" s="613" t="s">
        <v>8</v>
      </c>
      <c r="B3" s="643" t="s">
        <v>313</v>
      </c>
      <c r="C3" s="644" t="s">
        <v>38</v>
      </c>
      <c r="D3" s="643" t="s">
        <v>314</v>
      </c>
      <c r="E3" s="4"/>
      <c r="F3" s="4"/>
      <c r="G3" s="4"/>
      <c r="H3" s="4"/>
      <c r="I3" s="4"/>
      <c r="J3" s="4"/>
      <c r="K3" s="4"/>
      <c r="L3" s="4"/>
      <c r="M3" s="4"/>
      <c r="N3" s="4"/>
      <c r="O3" s="4"/>
      <c r="P3" s="4"/>
      <c r="Q3" s="4"/>
      <c r="R3" s="4"/>
      <c r="S3" s="4"/>
      <c r="T3" s="4"/>
      <c r="U3" s="4"/>
    </row>
    <row r="4" ht="96.75" customHeight="1">
      <c r="A4" s="645" t="s">
        <v>315</v>
      </c>
      <c r="B4" s="646"/>
      <c r="C4" s="644" t="s">
        <v>11</v>
      </c>
      <c r="D4" s="643" t="s">
        <v>316</v>
      </c>
      <c r="E4" s="4"/>
      <c r="F4" s="4"/>
      <c r="G4" s="4"/>
      <c r="H4" s="4"/>
      <c r="I4" s="4"/>
      <c r="J4" s="4"/>
      <c r="K4" s="4"/>
      <c r="L4" s="4"/>
      <c r="M4" s="4"/>
      <c r="N4" s="4"/>
      <c r="O4" s="4"/>
      <c r="P4" s="4"/>
      <c r="Q4" s="4"/>
      <c r="R4" s="4"/>
      <c r="S4" s="4"/>
      <c r="T4" s="4"/>
      <c r="U4" s="4"/>
    </row>
    <row r="5" ht="96.75" customHeight="1">
      <c r="A5" s="613" t="s">
        <v>69</v>
      </c>
      <c r="B5" s="643" t="s">
        <v>318</v>
      </c>
      <c r="C5" s="644" t="s">
        <v>319</v>
      </c>
      <c r="D5" s="643" t="s">
        <v>320</v>
      </c>
      <c r="E5" s="4"/>
      <c r="F5" s="4"/>
      <c r="G5" s="4"/>
      <c r="H5" s="4"/>
      <c r="I5" s="4"/>
      <c r="J5" s="4"/>
      <c r="K5" s="4"/>
      <c r="L5" s="4"/>
      <c r="M5" s="4"/>
      <c r="N5" s="4"/>
      <c r="O5" s="4"/>
      <c r="P5" s="4"/>
      <c r="Q5" s="4"/>
      <c r="R5" s="4"/>
      <c r="S5" s="4"/>
      <c r="T5" s="4"/>
      <c r="U5" s="4"/>
    </row>
    <row r="6" ht="96.75" customHeight="1">
      <c r="A6" s="613" t="s">
        <v>321</v>
      </c>
      <c r="B6" s="643" t="s">
        <v>322</v>
      </c>
      <c r="C6" s="644" t="s">
        <v>64</v>
      </c>
      <c r="D6" s="643" t="s">
        <v>323</v>
      </c>
      <c r="E6" s="4"/>
      <c r="F6" s="4"/>
      <c r="G6" s="4"/>
      <c r="H6" s="4"/>
      <c r="I6" s="4"/>
      <c r="J6" s="4"/>
      <c r="K6" s="4"/>
      <c r="L6" s="4"/>
      <c r="M6" s="4"/>
      <c r="N6" s="4"/>
      <c r="O6" s="4"/>
      <c r="P6" s="4"/>
      <c r="Q6" s="4"/>
      <c r="R6" s="4"/>
      <c r="S6" s="4"/>
      <c r="T6" s="4"/>
      <c r="U6" s="4"/>
    </row>
    <row r="7" ht="96.75" customHeight="1">
      <c r="A7" s="613" t="s">
        <v>169</v>
      </c>
      <c r="B7" s="643" t="s">
        <v>325</v>
      </c>
      <c r="C7" s="644" t="s">
        <v>39</v>
      </c>
      <c r="D7" s="643" t="s">
        <v>326</v>
      </c>
      <c r="E7" s="4"/>
      <c r="F7" s="4"/>
      <c r="G7" s="4"/>
      <c r="H7" s="4"/>
      <c r="I7" s="4"/>
      <c r="J7" s="4"/>
      <c r="K7" s="4"/>
      <c r="L7" s="4"/>
      <c r="M7" s="4"/>
      <c r="N7" s="4"/>
      <c r="O7" s="4"/>
      <c r="P7" s="4"/>
      <c r="Q7" s="4"/>
      <c r="R7" s="4"/>
      <c r="S7" s="4"/>
      <c r="T7" s="4"/>
      <c r="U7" s="4"/>
    </row>
    <row r="8" ht="96.75" customHeight="1">
      <c r="A8" s="613" t="s">
        <v>152</v>
      </c>
      <c r="B8" s="643" t="s">
        <v>327</v>
      </c>
      <c r="C8" s="644" t="s">
        <v>312</v>
      </c>
      <c r="D8" s="643" t="s">
        <v>328</v>
      </c>
      <c r="E8" s="4"/>
      <c r="F8" s="4"/>
      <c r="G8" s="4"/>
      <c r="H8" s="4"/>
      <c r="I8" s="4"/>
      <c r="J8" s="4"/>
      <c r="K8" s="4"/>
      <c r="L8" s="4"/>
      <c r="M8" s="4"/>
      <c r="N8" s="4"/>
      <c r="O8" s="4"/>
      <c r="P8" s="4"/>
      <c r="Q8" s="4"/>
      <c r="R8" s="4"/>
      <c r="S8" s="4"/>
      <c r="T8" s="4"/>
      <c r="U8" s="4"/>
    </row>
    <row r="9" ht="96.75" customHeight="1">
      <c r="A9" s="613" t="s">
        <v>148</v>
      </c>
      <c r="B9" s="643" t="s">
        <v>329</v>
      </c>
      <c r="C9" s="644" t="s">
        <v>308</v>
      </c>
      <c r="D9" s="652" t="s">
        <v>330</v>
      </c>
      <c r="E9" s="4"/>
      <c r="F9" s="4"/>
      <c r="G9" s="4"/>
      <c r="H9" s="4"/>
      <c r="I9" s="4"/>
      <c r="J9" s="4"/>
      <c r="K9" s="4"/>
      <c r="L9" s="4"/>
      <c r="M9" s="4"/>
      <c r="N9" s="4"/>
      <c r="O9" s="4"/>
      <c r="P9" s="4"/>
      <c r="Q9" s="4"/>
      <c r="R9" s="4"/>
      <c r="S9" s="4"/>
      <c r="T9" s="4"/>
      <c r="U9" s="4"/>
    </row>
    <row r="10" ht="96.75" customHeight="1">
      <c r="A10" s="645" t="s">
        <v>332</v>
      </c>
      <c r="B10" s="655" t="s">
        <v>332</v>
      </c>
      <c r="C10" s="644" t="s">
        <v>333</v>
      </c>
      <c r="D10" s="652" t="s">
        <v>334</v>
      </c>
      <c r="E10" s="4"/>
      <c r="F10" s="4"/>
      <c r="G10" s="4"/>
      <c r="H10" s="4"/>
      <c r="I10" s="4"/>
      <c r="J10" s="4"/>
      <c r="K10" s="4"/>
      <c r="L10" s="4"/>
      <c r="M10" s="4"/>
      <c r="N10" s="4"/>
      <c r="O10" s="4"/>
      <c r="P10" s="4"/>
      <c r="Q10" s="4"/>
      <c r="R10" s="4"/>
      <c r="S10" s="4"/>
      <c r="T10" s="4"/>
      <c r="U10" s="4"/>
    </row>
    <row r="11" ht="108.75" customHeight="1">
      <c r="A11" s="613" t="s">
        <v>336</v>
      </c>
      <c r="B11" s="643"/>
      <c r="C11" s="644" t="s">
        <v>337</v>
      </c>
      <c r="D11" s="643"/>
      <c r="E11" s="4"/>
      <c r="F11" s="4"/>
      <c r="G11" s="4"/>
      <c r="H11" s="4"/>
      <c r="I11" s="4"/>
      <c r="J11" s="4"/>
      <c r="K11" s="4"/>
      <c r="L11" s="4"/>
      <c r="M11" s="4"/>
      <c r="N11" s="4"/>
      <c r="O11" s="4"/>
      <c r="P11" s="4"/>
      <c r="Q11" s="4"/>
      <c r="R11" s="4"/>
      <c r="S11" s="4"/>
      <c r="T11" s="4"/>
      <c r="U11" s="4"/>
    </row>
    <row r="12" ht="96.75" customHeight="1">
      <c r="A12" s="645" t="s">
        <v>338</v>
      </c>
      <c r="B12" s="655" t="s">
        <v>338</v>
      </c>
      <c r="C12" s="644" t="s">
        <v>85</v>
      </c>
      <c r="D12" s="643"/>
      <c r="E12" s="4"/>
      <c r="F12" s="4"/>
      <c r="G12" s="4"/>
      <c r="H12" s="4"/>
      <c r="I12" s="4"/>
      <c r="J12" s="4"/>
      <c r="K12" s="4"/>
      <c r="L12" s="4"/>
      <c r="M12" s="4"/>
      <c r="N12" s="4"/>
      <c r="O12" s="4"/>
      <c r="P12" s="4"/>
      <c r="Q12" s="4"/>
      <c r="R12" s="4"/>
      <c r="S12" s="4"/>
      <c r="T12" s="4"/>
      <c r="U12" s="4"/>
    </row>
    <row r="13" ht="136.5" customHeight="1">
      <c r="A13" s="613" t="s">
        <v>164</v>
      </c>
      <c r="B13" s="643"/>
      <c r="C13" s="644" t="s">
        <v>84</v>
      </c>
      <c r="D13" s="643" t="s">
        <v>341</v>
      </c>
      <c r="E13" s="4"/>
      <c r="F13" s="4"/>
      <c r="G13" s="4"/>
      <c r="H13" s="4"/>
      <c r="I13" s="4"/>
      <c r="J13" s="4"/>
      <c r="K13" s="4"/>
      <c r="L13" s="4"/>
      <c r="M13" s="4"/>
      <c r="N13" s="4"/>
      <c r="O13" s="4"/>
      <c r="P13" s="4"/>
      <c r="Q13" s="4"/>
      <c r="R13" s="4"/>
      <c r="S13" s="4"/>
      <c r="T13" s="4"/>
      <c r="U13" s="4"/>
    </row>
    <row r="14" ht="96.75" customHeight="1">
      <c r="A14" s="613" t="s">
        <v>344</v>
      </c>
      <c r="B14" s="643"/>
      <c r="C14" s="644" t="s">
        <v>345</v>
      </c>
      <c r="D14" s="643" t="s">
        <v>345</v>
      </c>
      <c r="E14" s="4"/>
      <c r="F14" s="4"/>
      <c r="G14" s="4"/>
      <c r="H14" s="4"/>
      <c r="I14" s="4"/>
      <c r="J14" s="4"/>
      <c r="K14" s="4"/>
      <c r="L14" s="4"/>
      <c r="M14" s="4"/>
      <c r="N14" s="4"/>
      <c r="O14" s="4"/>
      <c r="P14" s="4"/>
      <c r="Q14" s="4"/>
      <c r="R14" s="4"/>
      <c r="S14" s="4"/>
      <c r="T14" s="4"/>
      <c r="U14" s="4"/>
    </row>
    <row r="15" ht="69.75" customHeight="1">
      <c r="A15" s="645" t="s">
        <v>347</v>
      </c>
      <c r="B15" s="655" t="s">
        <v>347</v>
      </c>
      <c r="C15" s="644" t="s">
        <v>349</v>
      </c>
      <c r="D15" s="643" t="s">
        <v>349</v>
      </c>
      <c r="E15" s="4"/>
      <c r="F15" s="4"/>
      <c r="G15" s="4"/>
      <c r="H15" s="4"/>
      <c r="I15" s="4"/>
      <c r="J15" s="4"/>
      <c r="K15" s="4"/>
      <c r="L15" s="4"/>
      <c r="M15" s="4"/>
      <c r="N15" s="4"/>
      <c r="O15" s="4"/>
      <c r="P15" s="4"/>
      <c r="Q15" s="4"/>
      <c r="R15" s="4"/>
      <c r="S15" s="4"/>
      <c r="T15" s="4"/>
      <c r="U15" s="4"/>
    </row>
    <row r="16" ht="85.5" customHeight="1">
      <c r="A16" s="659" t="s">
        <v>350</v>
      </c>
      <c r="B16" s="660" t="s">
        <v>350</v>
      </c>
      <c r="C16" s="662" t="s">
        <v>353</v>
      </c>
      <c r="D16" s="663"/>
      <c r="E16" s="4"/>
      <c r="F16" s="4"/>
      <c r="G16" s="4"/>
      <c r="H16" s="4"/>
      <c r="I16" s="4"/>
      <c r="J16" s="4"/>
      <c r="K16" s="4"/>
      <c r="L16" s="4"/>
      <c r="M16" s="4"/>
      <c r="N16" s="4"/>
      <c r="O16" s="4"/>
      <c r="P16" s="4"/>
      <c r="Q16" s="4"/>
      <c r="R16" s="4"/>
      <c r="S16" s="4"/>
      <c r="T16" s="4"/>
      <c r="U16" s="4"/>
    </row>
    <row r="17" ht="69.75" customHeight="1">
      <c r="A17" s="613" t="s">
        <v>122</v>
      </c>
      <c r="B17" s="643" t="s">
        <v>358</v>
      </c>
      <c r="C17" s="664" t="s">
        <v>359</v>
      </c>
      <c r="D17" s="295" t="s">
        <v>359</v>
      </c>
      <c r="E17" s="4"/>
      <c r="F17" s="4"/>
      <c r="G17" s="4"/>
      <c r="H17" s="4"/>
      <c r="I17" s="4"/>
      <c r="J17" s="4"/>
      <c r="K17" s="4"/>
      <c r="L17" s="4"/>
      <c r="M17" s="4"/>
      <c r="N17" s="4"/>
      <c r="O17" s="4"/>
      <c r="P17" s="4"/>
      <c r="Q17" s="4"/>
      <c r="R17" s="4"/>
      <c r="S17" s="4"/>
      <c r="T17" s="4"/>
      <c r="U17" s="4"/>
    </row>
    <row r="18" ht="96.75" customHeight="1">
      <c r="A18" s="613" t="s">
        <v>362</v>
      </c>
      <c r="B18" s="666" t="s">
        <v>363</v>
      </c>
      <c r="C18" s="667"/>
      <c r="D18" s="643"/>
      <c r="E18" s="4"/>
      <c r="F18" s="4"/>
      <c r="G18" s="4"/>
      <c r="H18" s="4"/>
      <c r="I18" s="4"/>
      <c r="J18" s="4"/>
      <c r="K18" s="4"/>
      <c r="L18" s="4"/>
      <c r="M18" s="4"/>
      <c r="N18" s="4"/>
      <c r="O18" s="4"/>
      <c r="P18" s="4"/>
      <c r="Q18" s="4"/>
      <c r="R18" s="4"/>
      <c r="S18" s="4"/>
      <c r="T18" s="4"/>
      <c r="U18" s="4"/>
    </row>
    <row r="19" ht="63.75" customHeight="1">
      <c r="A19" s="529"/>
      <c r="B19" s="668"/>
      <c r="C19" s="669"/>
      <c r="D19" s="668"/>
      <c r="E19" s="4"/>
      <c r="F19" s="4"/>
      <c r="G19" s="4"/>
      <c r="H19" s="4"/>
      <c r="I19" s="4"/>
      <c r="J19" s="4"/>
      <c r="K19" s="4"/>
      <c r="L19" s="4"/>
      <c r="M19" s="4"/>
      <c r="N19" s="4"/>
      <c r="O19" s="4"/>
      <c r="P19" s="4"/>
      <c r="Q19" s="4"/>
      <c r="R19" s="4"/>
      <c r="S19" s="4"/>
      <c r="T19" s="4"/>
      <c r="U19" s="4"/>
    </row>
    <row r="20" ht="96.75" customHeight="1">
      <c r="A20" s="529"/>
      <c r="B20" s="668"/>
      <c r="C20" s="669"/>
      <c r="D20" s="668"/>
      <c r="E20" s="4"/>
      <c r="F20" s="4"/>
      <c r="G20" s="4"/>
      <c r="H20" s="4"/>
      <c r="I20" s="4"/>
      <c r="J20" s="4"/>
      <c r="K20" s="4"/>
      <c r="L20" s="4"/>
      <c r="M20" s="4"/>
      <c r="N20" s="4"/>
      <c r="O20" s="4"/>
      <c r="P20" s="4"/>
      <c r="Q20" s="4"/>
      <c r="R20" s="4"/>
      <c r="S20" s="4"/>
      <c r="T20" s="4"/>
      <c r="U20" s="4"/>
    </row>
    <row r="21" ht="63.0" customHeight="1">
      <c r="A21" s="529"/>
      <c r="B21" s="668"/>
      <c r="C21" s="669"/>
      <c r="D21" s="668"/>
      <c r="E21" s="4"/>
      <c r="F21" s="4"/>
      <c r="G21" s="4"/>
      <c r="H21" s="4"/>
      <c r="I21" s="4"/>
      <c r="J21" s="4"/>
      <c r="K21" s="4"/>
      <c r="L21" s="4"/>
      <c r="M21" s="4"/>
      <c r="N21" s="4"/>
      <c r="O21" s="4"/>
      <c r="P21" s="4"/>
      <c r="Q21" s="4"/>
      <c r="R21" s="4"/>
      <c r="S21" s="4"/>
      <c r="T21" s="4"/>
      <c r="U21" s="4"/>
    </row>
    <row r="22" ht="39.0" customHeight="1">
      <c r="A22" s="529"/>
      <c r="B22" s="668"/>
      <c r="C22" s="669"/>
      <c r="D22" s="668"/>
      <c r="E22" s="4"/>
      <c r="F22" s="4"/>
      <c r="G22" s="4"/>
      <c r="H22" s="4"/>
      <c r="I22" s="4"/>
      <c r="J22" s="4"/>
      <c r="K22" s="4"/>
      <c r="L22" s="4"/>
      <c r="M22" s="4"/>
      <c r="N22" s="4"/>
      <c r="O22" s="4"/>
      <c r="P22" s="4"/>
      <c r="Q22" s="4"/>
      <c r="R22" s="4"/>
      <c r="S22" s="4"/>
      <c r="T22" s="4"/>
      <c r="U22" s="4"/>
    </row>
    <row r="23" ht="63.0" customHeight="1">
      <c r="A23" s="529"/>
      <c r="B23" s="668"/>
      <c r="C23" s="669"/>
      <c r="D23" s="668"/>
      <c r="E23" s="4"/>
      <c r="F23" s="4"/>
      <c r="G23" s="4"/>
      <c r="H23" s="4"/>
      <c r="I23" s="4"/>
      <c r="J23" s="4"/>
      <c r="K23" s="4"/>
      <c r="L23" s="4"/>
      <c r="M23" s="4"/>
      <c r="N23" s="4"/>
      <c r="O23" s="4"/>
      <c r="P23" s="4"/>
      <c r="Q23" s="4"/>
      <c r="R23" s="4"/>
      <c r="S23" s="4"/>
      <c r="T23" s="4"/>
      <c r="U23" s="4"/>
    </row>
    <row r="24" ht="48.0" customHeight="1">
      <c r="A24" s="529"/>
      <c r="B24" s="668"/>
      <c r="C24" s="669"/>
      <c r="D24" s="668"/>
      <c r="E24" s="4"/>
      <c r="F24" s="4"/>
      <c r="G24" s="4"/>
      <c r="H24" s="4"/>
      <c r="I24" s="4"/>
      <c r="J24" s="4"/>
      <c r="K24" s="4"/>
      <c r="L24" s="4"/>
      <c r="M24" s="4"/>
      <c r="N24" s="4"/>
      <c r="O24" s="4"/>
      <c r="P24" s="4"/>
      <c r="Q24" s="4"/>
      <c r="R24" s="4"/>
      <c r="S24" s="4"/>
      <c r="T24" s="4"/>
      <c r="U24" s="4"/>
    </row>
    <row r="25" ht="104.25" customHeight="1">
      <c r="A25" s="529"/>
      <c r="B25" s="668"/>
      <c r="C25" s="669"/>
      <c r="D25" s="668"/>
      <c r="E25" s="4"/>
      <c r="F25" s="4"/>
      <c r="G25" s="4"/>
      <c r="H25" s="4"/>
      <c r="I25" s="4"/>
      <c r="J25" s="4"/>
      <c r="K25" s="4"/>
      <c r="L25" s="4"/>
      <c r="M25" s="4"/>
      <c r="N25" s="4"/>
      <c r="O25" s="4"/>
      <c r="P25" s="4"/>
      <c r="Q25" s="4"/>
      <c r="R25" s="4"/>
      <c r="S25" s="4"/>
      <c r="T25" s="4"/>
      <c r="U25" s="4"/>
    </row>
    <row r="26" ht="15.75" customHeight="1">
      <c r="A26" s="4"/>
      <c r="B26" s="668"/>
      <c r="C26" s="4"/>
      <c r="D26" s="668"/>
      <c r="E26" s="4"/>
      <c r="F26" s="4"/>
      <c r="G26" s="4"/>
      <c r="H26" s="4"/>
      <c r="I26" s="4"/>
      <c r="J26" s="4"/>
      <c r="K26" s="4"/>
      <c r="L26" s="4"/>
      <c r="M26" s="4"/>
      <c r="N26" s="4"/>
      <c r="O26" s="4"/>
      <c r="P26" s="4"/>
      <c r="Q26" s="4"/>
      <c r="R26" s="4"/>
      <c r="S26" s="4"/>
      <c r="T26" s="4"/>
      <c r="U26" s="4"/>
    </row>
    <row r="27" ht="15.75" customHeight="1">
      <c r="A27" s="4"/>
      <c r="B27" s="668"/>
      <c r="C27" s="4"/>
      <c r="D27" s="668"/>
      <c r="E27" s="4"/>
      <c r="F27" s="4"/>
      <c r="G27" s="4"/>
      <c r="H27" s="4"/>
      <c r="I27" s="4"/>
      <c r="J27" s="4"/>
      <c r="K27" s="4"/>
      <c r="L27" s="4"/>
      <c r="M27" s="4"/>
      <c r="N27" s="4"/>
      <c r="O27" s="4"/>
      <c r="P27" s="4"/>
      <c r="Q27" s="4"/>
      <c r="R27" s="4"/>
      <c r="S27" s="4"/>
      <c r="T27" s="4"/>
      <c r="U27" s="4"/>
    </row>
    <row r="28" ht="15.75" customHeight="1">
      <c r="A28" s="4"/>
      <c r="B28" s="668"/>
      <c r="C28" s="4"/>
      <c r="D28" s="4"/>
      <c r="E28" s="4"/>
      <c r="F28" s="4"/>
      <c r="G28" s="4"/>
      <c r="H28" s="4"/>
      <c r="I28" s="4"/>
      <c r="J28" s="4"/>
      <c r="K28" s="4"/>
      <c r="L28" s="4"/>
      <c r="M28" s="4"/>
      <c r="N28" s="4"/>
      <c r="O28" s="4"/>
      <c r="P28" s="4"/>
      <c r="Q28" s="4"/>
      <c r="R28" s="4"/>
      <c r="S28" s="4"/>
      <c r="T28" s="4"/>
      <c r="U28" s="4"/>
    </row>
    <row r="29" ht="15.75" customHeight="1">
      <c r="A29" s="4"/>
      <c r="B29" s="668"/>
      <c r="C29" s="4"/>
      <c r="D29" s="4"/>
      <c r="E29" s="4"/>
      <c r="F29" s="4"/>
      <c r="G29" s="4"/>
      <c r="H29" s="4"/>
      <c r="I29" s="4"/>
      <c r="J29" s="4"/>
      <c r="K29" s="4"/>
      <c r="L29" s="4"/>
      <c r="M29" s="4"/>
      <c r="N29" s="4"/>
      <c r="O29" s="4"/>
      <c r="P29" s="4"/>
      <c r="Q29" s="4"/>
      <c r="R29" s="4"/>
      <c r="S29" s="4"/>
      <c r="T29" s="4"/>
      <c r="U29" s="4"/>
    </row>
    <row r="30" ht="15.75" customHeight="1">
      <c r="A30" s="4"/>
      <c r="B30" s="4"/>
      <c r="C30" s="4"/>
      <c r="D30" s="4"/>
      <c r="E30" s="4"/>
      <c r="F30" s="4"/>
      <c r="G30" s="4"/>
      <c r="H30" s="4"/>
      <c r="I30" s="4"/>
      <c r="J30" s="4"/>
      <c r="K30" s="4"/>
      <c r="L30" s="4"/>
      <c r="M30" s="4"/>
      <c r="N30" s="4"/>
      <c r="O30" s="4"/>
      <c r="P30" s="4"/>
      <c r="Q30" s="4"/>
      <c r="R30" s="4"/>
      <c r="S30" s="4"/>
      <c r="T30" s="4"/>
      <c r="U30" s="4"/>
    </row>
    <row r="31" ht="15.75" customHeight="1">
      <c r="A31" s="4"/>
      <c r="B31" s="4"/>
      <c r="C31" s="4"/>
      <c r="D31" s="4"/>
      <c r="E31" s="4"/>
      <c r="F31" s="4"/>
      <c r="G31" s="4"/>
      <c r="H31" s="4"/>
      <c r="I31" s="4"/>
      <c r="J31" s="4"/>
      <c r="K31" s="4"/>
      <c r="L31" s="4"/>
      <c r="M31" s="4"/>
      <c r="N31" s="4"/>
      <c r="O31" s="4"/>
      <c r="P31" s="4"/>
      <c r="Q31" s="4"/>
      <c r="R31" s="4"/>
      <c r="S31" s="4"/>
      <c r="T31" s="4"/>
      <c r="U31" s="4"/>
    </row>
    <row r="32" ht="15.75" customHeight="1">
      <c r="A32" s="4"/>
      <c r="B32" s="4"/>
      <c r="C32" s="4"/>
      <c r="D32" s="4"/>
      <c r="E32" s="4"/>
      <c r="F32" s="4"/>
      <c r="G32" s="4"/>
      <c r="H32" s="4"/>
      <c r="I32" s="4"/>
      <c r="J32" s="4"/>
      <c r="K32" s="4"/>
      <c r="L32" s="4"/>
      <c r="M32" s="4"/>
      <c r="N32" s="4"/>
      <c r="O32" s="4"/>
      <c r="P32" s="4"/>
      <c r="Q32" s="4"/>
      <c r="R32" s="4"/>
      <c r="S32" s="4"/>
      <c r="T32" s="4"/>
      <c r="U32" s="4"/>
    </row>
    <row r="33" ht="15.75" customHeight="1">
      <c r="A33" s="4"/>
      <c r="B33" s="4"/>
      <c r="C33" s="4"/>
      <c r="D33" s="4"/>
      <c r="E33" s="4"/>
      <c r="F33" s="4"/>
      <c r="G33" s="4"/>
      <c r="H33" s="4"/>
      <c r="I33" s="4"/>
      <c r="J33" s="4"/>
      <c r="K33" s="4"/>
      <c r="L33" s="4"/>
      <c r="M33" s="4"/>
      <c r="N33" s="4"/>
      <c r="O33" s="4"/>
      <c r="P33" s="4"/>
      <c r="Q33" s="4"/>
      <c r="R33" s="4"/>
      <c r="S33" s="4"/>
      <c r="T33" s="4"/>
      <c r="U33" s="4"/>
    </row>
    <row r="34" ht="15.75" customHeight="1">
      <c r="A34" s="4"/>
      <c r="B34" s="4"/>
      <c r="C34" s="4"/>
      <c r="D34" s="4"/>
      <c r="E34" s="4"/>
      <c r="F34" s="4"/>
      <c r="G34" s="4"/>
      <c r="H34" s="4"/>
      <c r="I34" s="4"/>
      <c r="J34" s="4"/>
      <c r="K34" s="4"/>
      <c r="L34" s="4"/>
      <c r="M34" s="4"/>
      <c r="N34" s="4"/>
      <c r="O34" s="4"/>
      <c r="P34" s="4"/>
      <c r="Q34" s="4"/>
      <c r="R34" s="4"/>
      <c r="S34" s="4"/>
      <c r="T34" s="4"/>
      <c r="U34" s="4"/>
    </row>
    <row r="35" ht="15.75" customHeight="1">
      <c r="A35" s="4"/>
      <c r="B35" s="4"/>
      <c r="C35" s="4"/>
      <c r="D35" s="4"/>
      <c r="E35" s="4"/>
      <c r="F35" s="4"/>
      <c r="G35" s="4"/>
      <c r="H35" s="4"/>
      <c r="I35" s="4"/>
      <c r="J35" s="4"/>
      <c r="K35" s="4"/>
      <c r="L35" s="4"/>
      <c r="M35" s="4"/>
      <c r="N35" s="4"/>
      <c r="O35" s="4"/>
      <c r="P35" s="4"/>
      <c r="Q35" s="4"/>
      <c r="R35" s="4"/>
      <c r="S35" s="4"/>
      <c r="T35" s="4"/>
      <c r="U35" s="4"/>
    </row>
    <row r="36" ht="15.75" customHeight="1">
      <c r="A36" s="4"/>
      <c r="B36" s="4"/>
      <c r="C36" s="4"/>
      <c r="D36" s="4"/>
      <c r="E36" s="4"/>
      <c r="F36" s="4"/>
      <c r="G36" s="4"/>
      <c r="H36" s="4"/>
      <c r="I36" s="4"/>
      <c r="J36" s="4"/>
      <c r="K36" s="4"/>
      <c r="L36" s="4"/>
      <c r="M36" s="4"/>
      <c r="N36" s="4"/>
      <c r="O36" s="4"/>
      <c r="P36" s="4"/>
      <c r="Q36" s="4"/>
      <c r="R36" s="4"/>
      <c r="S36" s="4"/>
      <c r="T36" s="4"/>
      <c r="U36" s="4"/>
    </row>
    <row r="37" ht="15.75" customHeight="1">
      <c r="A37" s="4"/>
      <c r="B37" s="4"/>
      <c r="C37" s="4"/>
      <c r="D37" s="4"/>
      <c r="E37" s="4"/>
      <c r="F37" s="4"/>
      <c r="G37" s="4"/>
      <c r="H37" s="4"/>
      <c r="I37" s="4"/>
      <c r="J37" s="4"/>
      <c r="K37" s="4"/>
      <c r="L37" s="4"/>
      <c r="M37" s="4"/>
      <c r="N37" s="4"/>
      <c r="O37" s="4"/>
      <c r="P37" s="4"/>
      <c r="Q37" s="4"/>
      <c r="R37" s="4"/>
      <c r="S37" s="4"/>
      <c r="T37" s="4"/>
      <c r="U37" s="4"/>
    </row>
    <row r="38" ht="15.75" customHeight="1">
      <c r="A38" s="4"/>
      <c r="B38" s="4"/>
      <c r="C38" s="4"/>
      <c r="D38" s="4"/>
      <c r="E38" s="4"/>
      <c r="F38" s="4"/>
      <c r="G38" s="4"/>
      <c r="H38" s="4"/>
      <c r="I38" s="4"/>
      <c r="J38" s="4"/>
      <c r="K38" s="4"/>
      <c r="L38" s="4"/>
      <c r="M38" s="4"/>
      <c r="N38" s="4"/>
      <c r="O38" s="4"/>
      <c r="P38" s="4"/>
      <c r="Q38" s="4"/>
      <c r="R38" s="4"/>
      <c r="S38" s="4"/>
      <c r="T38" s="4"/>
      <c r="U38" s="4"/>
    </row>
    <row r="39" ht="15.75" customHeight="1">
      <c r="A39" s="4"/>
      <c r="B39" s="4"/>
      <c r="C39" s="4"/>
      <c r="D39" s="4"/>
      <c r="E39" s="4"/>
      <c r="F39" s="4"/>
      <c r="G39" s="4"/>
      <c r="H39" s="4"/>
      <c r="I39" s="4"/>
      <c r="J39" s="4"/>
      <c r="K39" s="4"/>
      <c r="L39" s="4"/>
      <c r="M39" s="4"/>
      <c r="N39" s="4"/>
      <c r="O39" s="4"/>
      <c r="P39" s="4"/>
      <c r="Q39" s="4"/>
      <c r="R39" s="4"/>
      <c r="S39" s="4"/>
      <c r="T39" s="4"/>
      <c r="U39" s="4"/>
    </row>
    <row r="40" ht="15.75" customHeight="1">
      <c r="A40" s="4"/>
      <c r="B40" s="4"/>
      <c r="C40" s="4"/>
      <c r="D40" s="4"/>
      <c r="E40" s="4"/>
      <c r="F40" s="4"/>
      <c r="G40" s="4"/>
      <c r="H40" s="4"/>
      <c r="I40" s="4"/>
      <c r="J40" s="4"/>
      <c r="K40" s="4"/>
      <c r="L40" s="4"/>
      <c r="M40" s="4"/>
      <c r="N40" s="4"/>
      <c r="O40" s="4"/>
      <c r="P40" s="4"/>
      <c r="Q40" s="4"/>
      <c r="R40" s="4"/>
      <c r="S40" s="4"/>
      <c r="T40" s="4"/>
      <c r="U40" s="4"/>
    </row>
    <row r="41" ht="15.75" customHeight="1">
      <c r="A41" s="4"/>
      <c r="B41" s="4"/>
      <c r="C41" s="4"/>
      <c r="D41" s="4"/>
      <c r="E41" s="4"/>
      <c r="F41" s="4"/>
      <c r="G41" s="4"/>
      <c r="H41" s="4"/>
      <c r="I41" s="4"/>
      <c r="J41" s="4"/>
      <c r="K41" s="4"/>
      <c r="L41" s="4"/>
      <c r="M41" s="4"/>
      <c r="N41" s="4"/>
      <c r="O41" s="4"/>
      <c r="P41" s="4"/>
      <c r="Q41" s="4"/>
      <c r="R41" s="4"/>
      <c r="S41" s="4"/>
      <c r="T41" s="4"/>
      <c r="U41" s="4"/>
    </row>
    <row r="42" ht="15.75" customHeight="1">
      <c r="A42" s="4"/>
      <c r="B42" s="4"/>
      <c r="C42" s="4"/>
      <c r="D42" s="4"/>
      <c r="E42" s="4"/>
      <c r="F42" s="4"/>
      <c r="G42" s="4"/>
      <c r="H42" s="4"/>
      <c r="I42" s="4"/>
      <c r="J42" s="4"/>
      <c r="K42" s="4"/>
      <c r="L42" s="4"/>
      <c r="M42" s="4"/>
      <c r="N42" s="4"/>
      <c r="O42" s="4"/>
      <c r="P42" s="4"/>
      <c r="Q42" s="4"/>
      <c r="R42" s="4"/>
      <c r="S42" s="4"/>
      <c r="T42" s="4"/>
      <c r="U42" s="4"/>
    </row>
    <row r="43" ht="15.75" customHeight="1">
      <c r="A43" s="4"/>
      <c r="B43" s="4"/>
      <c r="C43" s="4"/>
      <c r="D43" s="4"/>
      <c r="E43" s="4"/>
      <c r="F43" s="4"/>
      <c r="G43" s="4"/>
      <c r="H43" s="4"/>
      <c r="I43" s="4"/>
      <c r="J43" s="4"/>
      <c r="K43" s="4"/>
      <c r="L43" s="4"/>
      <c r="M43" s="4"/>
      <c r="N43" s="4"/>
      <c r="O43" s="4"/>
      <c r="P43" s="4"/>
      <c r="Q43" s="4"/>
      <c r="R43" s="4"/>
      <c r="S43" s="4"/>
      <c r="T43" s="4"/>
      <c r="U43" s="4"/>
    </row>
    <row r="44" ht="15.75" customHeight="1">
      <c r="A44" s="4"/>
      <c r="B44" s="4"/>
      <c r="C44" s="4"/>
      <c r="D44" s="4"/>
      <c r="E44" s="4"/>
      <c r="F44" s="4"/>
      <c r="G44" s="4"/>
      <c r="H44" s="4"/>
      <c r="I44" s="4"/>
      <c r="J44" s="4"/>
      <c r="K44" s="4"/>
      <c r="L44" s="4"/>
      <c r="M44" s="4"/>
      <c r="N44" s="4"/>
      <c r="O44" s="4"/>
      <c r="P44" s="4"/>
      <c r="Q44" s="4"/>
      <c r="R44" s="4"/>
      <c r="S44" s="4"/>
      <c r="T44" s="4"/>
      <c r="U44" s="4"/>
    </row>
    <row r="45" ht="15.75" customHeight="1">
      <c r="A45" s="4"/>
      <c r="B45" s="4"/>
      <c r="C45" s="4"/>
      <c r="D45" s="4"/>
      <c r="E45" s="4"/>
      <c r="F45" s="4"/>
      <c r="G45" s="4"/>
      <c r="H45" s="4"/>
      <c r="I45" s="4"/>
      <c r="J45" s="4"/>
      <c r="K45" s="4"/>
      <c r="L45" s="4"/>
      <c r="M45" s="4"/>
      <c r="N45" s="4"/>
      <c r="O45" s="4"/>
      <c r="P45" s="4"/>
      <c r="Q45" s="4"/>
      <c r="R45" s="4"/>
      <c r="S45" s="4"/>
      <c r="T45" s="4"/>
      <c r="U45" s="4"/>
    </row>
    <row r="46" ht="15.75" customHeight="1">
      <c r="A46" s="4"/>
      <c r="B46" s="4"/>
      <c r="C46" s="4"/>
      <c r="D46" s="4"/>
      <c r="E46" s="4"/>
      <c r="F46" s="4"/>
      <c r="G46" s="4"/>
      <c r="H46" s="4"/>
      <c r="I46" s="4"/>
      <c r="J46" s="4"/>
      <c r="K46" s="4"/>
      <c r="L46" s="4"/>
      <c r="M46" s="4"/>
      <c r="N46" s="4"/>
      <c r="O46" s="4"/>
      <c r="P46" s="4"/>
      <c r="Q46" s="4"/>
      <c r="R46" s="4"/>
      <c r="S46" s="4"/>
      <c r="T46" s="4"/>
      <c r="U46" s="4"/>
    </row>
    <row r="47" ht="15.75" customHeight="1">
      <c r="A47" s="4"/>
      <c r="B47" s="4"/>
      <c r="C47" s="4"/>
      <c r="D47" s="4"/>
      <c r="E47" s="4"/>
      <c r="F47" s="4"/>
      <c r="G47" s="4"/>
      <c r="H47" s="4"/>
      <c r="I47" s="4"/>
      <c r="J47" s="4"/>
      <c r="K47" s="4"/>
      <c r="L47" s="4"/>
      <c r="M47" s="4"/>
      <c r="N47" s="4"/>
      <c r="O47" s="4"/>
      <c r="P47" s="4"/>
      <c r="Q47" s="4"/>
      <c r="R47" s="4"/>
      <c r="S47" s="4"/>
      <c r="T47" s="4"/>
      <c r="U47" s="4"/>
    </row>
    <row r="48" ht="15.75" customHeight="1">
      <c r="A48" s="4"/>
      <c r="B48" s="4"/>
      <c r="C48" s="4"/>
      <c r="D48" s="4"/>
      <c r="E48" s="4"/>
      <c r="F48" s="4"/>
      <c r="G48" s="4"/>
      <c r="H48" s="4"/>
      <c r="I48" s="4"/>
      <c r="J48" s="4"/>
      <c r="K48" s="4"/>
      <c r="L48" s="4"/>
      <c r="M48" s="4"/>
      <c r="N48" s="4"/>
      <c r="O48" s="4"/>
      <c r="P48" s="4"/>
      <c r="Q48" s="4"/>
      <c r="R48" s="4"/>
      <c r="S48" s="4"/>
      <c r="T48" s="4"/>
      <c r="U48" s="4"/>
    </row>
    <row r="49" ht="15.75" customHeight="1">
      <c r="A49" s="4"/>
      <c r="B49" s="4"/>
      <c r="C49" s="4"/>
      <c r="D49" s="4"/>
      <c r="E49" s="4"/>
      <c r="F49" s="4"/>
      <c r="G49" s="4"/>
      <c r="H49" s="4"/>
      <c r="I49" s="4"/>
      <c r="J49" s="4"/>
      <c r="K49" s="4"/>
      <c r="L49" s="4"/>
      <c r="M49" s="4"/>
      <c r="N49" s="4"/>
      <c r="O49" s="4"/>
      <c r="P49" s="4"/>
      <c r="Q49" s="4"/>
      <c r="R49" s="4"/>
      <c r="S49" s="4"/>
      <c r="T49" s="4"/>
      <c r="U49" s="4"/>
    </row>
    <row r="50" ht="15.75" customHeight="1">
      <c r="A50" s="4"/>
      <c r="B50" s="4"/>
      <c r="C50" s="4"/>
      <c r="D50" s="4"/>
      <c r="E50" s="4"/>
      <c r="F50" s="4"/>
      <c r="G50" s="4"/>
      <c r="H50" s="4"/>
      <c r="I50" s="4"/>
      <c r="J50" s="4"/>
      <c r="K50" s="4"/>
      <c r="L50" s="4"/>
      <c r="M50" s="4"/>
      <c r="N50" s="4"/>
      <c r="O50" s="4"/>
      <c r="P50" s="4"/>
      <c r="Q50" s="4"/>
      <c r="R50" s="4"/>
      <c r="S50" s="4"/>
      <c r="T50" s="4"/>
      <c r="U50" s="4"/>
    </row>
    <row r="51" ht="15.75" customHeight="1">
      <c r="A51" s="4"/>
      <c r="B51" s="4"/>
      <c r="C51" s="4"/>
      <c r="D51" s="4"/>
      <c r="E51" s="4"/>
      <c r="F51" s="4"/>
      <c r="G51" s="4"/>
      <c r="H51" s="4"/>
      <c r="I51" s="4"/>
      <c r="J51" s="4"/>
      <c r="K51" s="4"/>
      <c r="L51" s="4"/>
      <c r="M51" s="4"/>
      <c r="N51" s="4"/>
      <c r="O51" s="4"/>
      <c r="P51" s="4"/>
      <c r="Q51" s="4"/>
      <c r="R51" s="4"/>
      <c r="S51" s="4"/>
      <c r="T51" s="4"/>
      <c r="U51" s="4"/>
    </row>
    <row r="52" ht="15.75" customHeight="1">
      <c r="A52" s="4"/>
      <c r="B52" s="4"/>
      <c r="C52" s="4"/>
      <c r="D52" s="4"/>
      <c r="E52" s="4"/>
      <c r="F52" s="4"/>
      <c r="G52" s="4"/>
      <c r="H52" s="4"/>
      <c r="I52" s="4"/>
      <c r="J52" s="4"/>
      <c r="K52" s="4"/>
      <c r="L52" s="4"/>
      <c r="M52" s="4"/>
      <c r="N52" s="4"/>
      <c r="O52" s="4"/>
      <c r="P52" s="4"/>
      <c r="Q52" s="4"/>
      <c r="R52" s="4"/>
      <c r="S52" s="4"/>
      <c r="T52" s="4"/>
      <c r="U52" s="4"/>
    </row>
    <row r="53" ht="15.75" customHeight="1">
      <c r="A53" s="4"/>
      <c r="B53" s="4"/>
      <c r="C53" s="4"/>
      <c r="D53" s="4"/>
      <c r="E53" s="4"/>
      <c r="F53" s="4"/>
      <c r="G53" s="4"/>
      <c r="H53" s="4"/>
      <c r="I53" s="4"/>
      <c r="J53" s="4"/>
      <c r="K53" s="4"/>
      <c r="L53" s="4"/>
      <c r="M53" s="4"/>
      <c r="N53" s="4"/>
      <c r="O53" s="4"/>
      <c r="P53" s="4"/>
      <c r="Q53" s="4"/>
      <c r="R53" s="4"/>
      <c r="S53" s="4"/>
      <c r="T53" s="4"/>
      <c r="U53" s="4"/>
    </row>
    <row r="54" ht="15.75" customHeight="1">
      <c r="A54" s="4"/>
      <c r="B54" s="4"/>
      <c r="C54" s="4"/>
      <c r="D54" s="4"/>
      <c r="E54" s="4"/>
      <c r="F54" s="4"/>
      <c r="G54" s="4"/>
      <c r="H54" s="4"/>
      <c r="I54" s="4"/>
      <c r="J54" s="4"/>
      <c r="K54" s="4"/>
      <c r="L54" s="4"/>
      <c r="M54" s="4"/>
      <c r="N54" s="4"/>
      <c r="O54" s="4"/>
      <c r="P54" s="4"/>
      <c r="Q54" s="4"/>
      <c r="R54" s="4"/>
      <c r="S54" s="4"/>
      <c r="T54" s="4"/>
      <c r="U54" s="4"/>
    </row>
    <row r="55" ht="15.75" customHeight="1">
      <c r="A55" s="4"/>
      <c r="B55" s="4"/>
      <c r="C55" s="4"/>
      <c r="D55" s="4"/>
      <c r="E55" s="4"/>
      <c r="F55" s="4"/>
      <c r="G55" s="4"/>
      <c r="H55" s="4"/>
      <c r="I55" s="4"/>
      <c r="J55" s="4"/>
      <c r="K55" s="4"/>
      <c r="L55" s="4"/>
      <c r="M55" s="4"/>
      <c r="N55" s="4"/>
      <c r="O55" s="4"/>
      <c r="P55" s="4"/>
      <c r="Q55" s="4"/>
      <c r="R55" s="4"/>
      <c r="S55" s="4"/>
      <c r="T55" s="4"/>
      <c r="U55" s="4"/>
    </row>
    <row r="56" ht="15.75" customHeight="1">
      <c r="A56" s="4"/>
      <c r="B56" s="4"/>
      <c r="C56" s="4"/>
      <c r="D56" s="4"/>
      <c r="E56" s="4"/>
      <c r="F56" s="4"/>
      <c r="G56" s="4"/>
      <c r="H56" s="4"/>
      <c r="I56" s="4"/>
      <c r="J56" s="4"/>
      <c r="K56" s="4"/>
      <c r="L56" s="4"/>
      <c r="M56" s="4"/>
      <c r="N56" s="4"/>
      <c r="O56" s="4"/>
      <c r="P56" s="4"/>
      <c r="Q56" s="4"/>
      <c r="R56" s="4"/>
      <c r="S56" s="4"/>
      <c r="T56" s="4"/>
      <c r="U56" s="4"/>
    </row>
    <row r="57" ht="15.75" customHeight="1">
      <c r="A57" s="4"/>
      <c r="B57" s="4"/>
      <c r="C57" s="4"/>
      <c r="D57" s="4"/>
      <c r="E57" s="4"/>
      <c r="F57" s="4"/>
      <c r="G57" s="4"/>
      <c r="H57" s="4"/>
      <c r="I57" s="4"/>
      <c r="J57" s="4"/>
      <c r="K57" s="4"/>
      <c r="L57" s="4"/>
      <c r="M57" s="4"/>
      <c r="N57" s="4"/>
      <c r="O57" s="4"/>
      <c r="P57" s="4"/>
      <c r="Q57" s="4"/>
      <c r="R57" s="4"/>
      <c r="S57" s="4"/>
      <c r="T57" s="4"/>
      <c r="U57" s="4"/>
    </row>
    <row r="58" ht="15.75" customHeight="1">
      <c r="A58" s="4"/>
      <c r="B58" s="4"/>
      <c r="C58" s="4"/>
      <c r="D58" s="4"/>
      <c r="E58" s="4"/>
      <c r="F58" s="4"/>
      <c r="G58" s="4"/>
      <c r="H58" s="4"/>
      <c r="I58" s="4"/>
      <c r="J58" s="4"/>
      <c r="K58" s="4"/>
      <c r="L58" s="4"/>
      <c r="M58" s="4"/>
      <c r="N58" s="4"/>
      <c r="O58" s="4"/>
      <c r="P58" s="4"/>
      <c r="Q58" s="4"/>
      <c r="R58" s="4"/>
      <c r="S58" s="4"/>
      <c r="T58" s="4"/>
      <c r="U58" s="4"/>
    </row>
    <row r="59" ht="15.75" customHeight="1">
      <c r="A59" s="4"/>
      <c r="B59" s="4"/>
      <c r="C59" s="4"/>
      <c r="D59" s="4"/>
      <c r="E59" s="4"/>
      <c r="F59" s="4"/>
      <c r="G59" s="4"/>
      <c r="H59" s="4"/>
      <c r="I59" s="4"/>
      <c r="J59" s="4"/>
      <c r="K59" s="4"/>
      <c r="L59" s="4"/>
      <c r="M59" s="4"/>
      <c r="N59" s="4"/>
      <c r="O59" s="4"/>
      <c r="P59" s="4"/>
      <c r="Q59" s="4"/>
      <c r="R59" s="4"/>
      <c r="S59" s="4"/>
      <c r="T59" s="4"/>
      <c r="U59" s="4"/>
    </row>
    <row r="60" ht="15.75" customHeight="1">
      <c r="A60" s="4"/>
      <c r="B60" s="4"/>
      <c r="C60" s="4"/>
      <c r="D60" s="4"/>
      <c r="E60" s="4"/>
      <c r="F60" s="4"/>
      <c r="G60" s="4"/>
      <c r="H60" s="4"/>
      <c r="I60" s="4"/>
      <c r="J60" s="4"/>
      <c r="K60" s="4"/>
      <c r="L60" s="4"/>
      <c r="M60" s="4"/>
      <c r="N60" s="4"/>
      <c r="O60" s="4"/>
      <c r="P60" s="4"/>
      <c r="Q60" s="4"/>
      <c r="R60" s="4"/>
      <c r="S60" s="4"/>
      <c r="T60" s="4"/>
      <c r="U60" s="4"/>
    </row>
    <row r="61" ht="15.75" customHeight="1">
      <c r="A61" s="4"/>
      <c r="B61" s="4"/>
      <c r="C61" s="4"/>
      <c r="D61" s="4"/>
      <c r="E61" s="4"/>
      <c r="F61" s="4"/>
      <c r="G61" s="4"/>
      <c r="H61" s="4"/>
      <c r="I61" s="4"/>
      <c r="J61" s="4"/>
      <c r="K61" s="4"/>
      <c r="L61" s="4"/>
      <c r="M61" s="4"/>
      <c r="N61" s="4"/>
      <c r="O61" s="4"/>
      <c r="P61" s="4"/>
      <c r="Q61" s="4"/>
      <c r="R61" s="4"/>
      <c r="S61" s="4"/>
      <c r="T61" s="4"/>
      <c r="U61" s="4"/>
    </row>
    <row r="62" ht="15.75" customHeight="1">
      <c r="A62" s="4"/>
      <c r="B62" s="4"/>
      <c r="C62" s="4"/>
      <c r="D62" s="4"/>
      <c r="E62" s="4"/>
      <c r="F62" s="4"/>
      <c r="G62" s="4"/>
      <c r="H62" s="4"/>
      <c r="I62" s="4"/>
      <c r="J62" s="4"/>
      <c r="K62" s="4"/>
      <c r="L62" s="4"/>
      <c r="M62" s="4"/>
      <c r="N62" s="4"/>
      <c r="O62" s="4"/>
      <c r="P62" s="4"/>
      <c r="Q62" s="4"/>
      <c r="R62" s="4"/>
      <c r="S62" s="4"/>
      <c r="T62" s="4"/>
      <c r="U62" s="4"/>
    </row>
    <row r="63" ht="15.75" customHeight="1">
      <c r="A63" s="4"/>
      <c r="B63" s="4"/>
      <c r="C63" s="4"/>
      <c r="D63" s="4"/>
      <c r="E63" s="4"/>
      <c r="F63" s="4"/>
      <c r="G63" s="4"/>
      <c r="H63" s="4"/>
      <c r="I63" s="4"/>
      <c r="J63" s="4"/>
      <c r="K63" s="4"/>
      <c r="L63" s="4"/>
      <c r="M63" s="4"/>
      <c r="N63" s="4"/>
      <c r="O63" s="4"/>
      <c r="P63" s="4"/>
      <c r="Q63" s="4"/>
      <c r="R63" s="4"/>
      <c r="S63" s="4"/>
      <c r="T63" s="4"/>
      <c r="U63" s="4"/>
    </row>
    <row r="64" ht="15.75" customHeight="1">
      <c r="A64" s="4"/>
      <c r="B64" s="4"/>
      <c r="C64" s="4"/>
      <c r="D64" s="4"/>
      <c r="E64" s="4"/>
      <c r="F64" s="4"/>
      <c r="G64" s="4"/>
      <c r="H64" s="4"/>
      <c r="I64" s="4"/>
      <c r="J64" s="4"/>
      <c r="K64" s="4"/>
      <c r="L64" s="4"/>
      <c r="M64" s="4"/>
      <c r="N64" s="4"/>
      <c r="O64" s="4"/>
      <c r="P64" s="4"/>
      <c r="Q64" s="4"/>
      <c r="R64" s="4"/>
      <c r="S64" s="4"/>
      <c r="T64" s="4"/>
      <c r="U64" s="4"/>
    </row>
    <row r="65" ht="15.75" customHeight="1">
      <c r="A65" s="4"/>
      <c r="B65" s="4"/>
      <c r="C65" s="4"/>
      <c r="D65" s="4"/>
      <c r="E65" s="4"/>
      <c r="F65" s="4"/>
      <c r="G65" s="4"/>
      <c r="H65" s="4"/>
      <c r="I65" s="4"/>
      <c r="J65" s="4"/>
      <c r="K65" s="4"/>
      <c r="L65" s="4"/>
      <c r="M65" s="4"/>
      <c r="N65" s="4"/>
      <c r="O65" s="4"/>
      <c r="P65" s="4"/>
      <c r="Q65" s="4"/>
      <c r="R65" s="4"/>
      <c r="S65" s="4"/>
      <c r="T65" s="4"/>
      <c r="U65" s="4"/>
    </row>
    <row r="66" ht="15.75" customHeight="1">
      <c r="A66" s="4"/>
      <c r="B66" s="4"/>
      <c r="C66" s="4"/>
      <c r="D66" s="4"/>
      <c r="E66" s="4"/>
      <c r="F66" s="4"/>
      <c r="G66" s="4"/>
      <c r="H66" s="4"/>
      <c r="I66" s="4"/>
      <c r="J66" s="4"/>
      <c r="K66" s="4"/>
      <c r="L66" s="4"/>
      <c r="M66" s="4"/>
      <c r="N66" s="4"/>
      <c r="O66" s="4"/>
      <c r="P66" s="4"/>
      <c r="Q66" s="4"/>
      <c r="R66" s="4"/>
      <c r="S66" s="4"/>
      <c r="T66" s="4"/>
      <c r="U66" s="4"/>
    </row>
    <row r="67" ht="15.75" customHeight="1">
      <c r="A67" s="4"/>
      <c r="B67" s="4"/>
      <c r="C67" s="4"/>
      <c r="D67" s="4"/>
      <c r="E67" s="4"/>
      <c r="F67" s="4"/>
      <c r="G67" s="4"/>
      <c r="H67" s="4"/>
      <c r="I67" s="4"/>
      <c r="J67" s="4"/>
      <c r="K67" s="4"/>
      <c r="L67" s="4"/>
      <c r="M67" s="4"/>
      <c r="N67" s="4"/>
      <c r="O67" s="4"/>
      <c r="P67" s="4"/>
      <c r="Q67" s="4"/>
      <c r="R67" s="4"/>
      <c r="S67" s="4"/>
      <c r="T67" s="4"/>
      <c r="U67" s="4"/>
    </row>
    <row r="68" ht="15.75" customHeight="1">
      <c r="A68" s="4"/>
      <c r="B68" s="4"/>
      <c r="C68" s="4"/>
      <c r="D68" s="4"/>
      <c r="E68" s="4"/>
      <c r="F68" s="4"/>
      <c r="G68" s="4"/>
      <c r="H68" s="4"/>
      <c r="I68" s="4"/>
      <c r="J68" s="4"/>
      <c r="K68" s="4"/>
      <c r="L68" s="4"/>
      <c r="M68" s="4"/>
      <c r="N68" s="4"/>
      <c r="O68" s="4"/>
      <c r="P68" s="4"/>
      <c r="Q68" s="4"/>
      <c r="R68" s="4"/>
      <c r="S68" s="4"/>
      <c r="T68" s="4"/>
      <c r="U68" s="4"/>
    </row>
    <row r="69" ht="15.75" customHeight="1">
      <c r="A69" s="4"/>
      <c r="B69" s="4"/>
      <c r="C69" s="4"/>
      <c r="D69" s="4"/>
      <c r="E69" s="4"/>
      <c r="F69" s="4"/>
      <c r="G69" s="4"/>
      <c r="H69" s="4"/>
      <c r="I69" s="4"/>
      <c r="J69" s="4"/>
      <c r="K69" s="4"/>
      <c r="L69" s="4"/>
      <c r="M69" s="4"/>
      <c r="N69" s="4"/>
      <c r="O69" s="4"/>
      <c r="P69" s="4"/>
      <c r="Q69" s="4"/>
      <c r="R69" s="4"/>
      <c r="S69" s="4"/>
      <c r="T69" s="4"/>
      <c r="U69" s="4"/>
    </row>
    <row r="70" ht="15.75" customHeight="1">
      <c r="A70" s="4"/>
      <c r="B70" s="4"/>
      <c r="C70" s="4"/>
      <c r="D70" s="4"/>
      <c r="E70" s="4"/>
      <c r="F70" s="4"/>
      <c r="G70" s="4"/>
      <c r="H70" s="4"/>
      <c r="I70" s="4"/>
      <c r="J70" s="4"/>
      <c r="K70" s="4"/>
      <c r="L70" s="4"/>
      <c r="M70" s="4"/>
      <c r="N70" s="4"/>
      <c r="O70" s="4"/>
      <c r="P70" s="4"/>
      <c r="Q70" s="4"/>
      <c r="R70" s="4"/>
      <c r="S70" s="4"/>
      <c r="T70" s="4"/>
      <c r="U70" s="4"/>
    </row>
    <row r="71" ht="15.75" customHeight="1">
      <c r="A71" s="4"/>
      <c r="B71" s="4"/>
      <c r="C71" s="4"/>
      <c r="D71" s="4"/>
      <c r="E71" s="4"/>
      <c r="F71" s="4"/>
      <c r="G71" s="4"/>
      <c r="H71" s="4"/>
      <c r="I71" s="4"/>
      <c r="J71" s="4"/>
      <c r="K71" s="4"/>
      <c r="L71" s="4"/>
      <c r="M71" s="4"/>
      <c r="N71" s="4"/>
      <c r="O71" s="4"/>
      <c r="P71" s="4"/>
      <c r="Q71" s="4"/>
      <c r="R71" s="4"/>
      <c r="S71" s="4"/>
      <c r="T71" s="4"/>
      <c r="U71" s="4"/>
    </row>
    <row r="72" ht="15.75" customHeight="1">
      <c r="A72" s="4"/>
      <c r="B72" s="4"/>
      <c r="C72" s="4"/>
      <c r="D72" s="4"/>
      <c r="E72" s="4"/>
      <c r="F72" s="4"/>
      <c r="G72" s="4"/>
      <c r="H72" s="4"/>
      <c r="I72" s="4"/>
      <c r="J72" s="4"/>
      <c r="K72" s="4"/>
      <c r="L72" s="4"/>
      <c r="M72" s="4"/>
      <c r="N72" s="4"/>
      <c r="O72" s="4"/>
      <c r="P72" s="4"/>
      <c r="Q72" s="4"/>
      <c r="R72" s="4"/>
      <c r="S72" s="4"/>
      <c r="T72" s="4"/>
      <c r="U72" s="4"/>
    </row>
    <row r="73" ht="15.75" customHeight="1">
      <c r="A73" s="4"/>
      <c r="B73" s="4"/>
      <c r="C73" s="4"/>
      <c r="D73" s="4"/>
      <c r="E73" s="4"/>
      <c r="F73" s="4"/>
      <c r="G73" s="4"/>
      <c r="H73" s="4"/>
      <c r="I73" s="4"/>
      <c r="J73" s="4"/>
      <c r="K73" s="4"/>
      <c r="L73" s="4"/>
      <c r="M73" s="4"/>
      <c r="N73" s="4"/>
      <c r="O73" s="4"/>
      <c r="P73" s="4"/>
      <c r="Q73" s="4"/>
      <c r="R73" s="4"/>
      <c r="S73" s="4"/>
      <c r="T73" s="4"/>
      <c r="U73" s="4"/>
    </row>
    <row r="74" ht="15.75" customHeight="1">
      <c r="A74" s="4"/>
      <c r="B74" s="4"/>
      <c r="C74" s="4"/>
      <c r="D74" s="4"/>
      <c r="E74" s="4"/>
      <c r="F74" s="4"/>
      <c r="G74" s="4"/>
      <c r="H74" s="4"/>
      <c r="I74" s="4"/>
      <c r="J74" s="4"/>
      <c r="K74" s="4"/>
      <c r="L74" s="4"/>
      <c r="M74" s="4"/>
      <c r="N74" s="4"/>
      <c r="O74" s="4"/>
      <c r="P74" s="4"/>
      <c r="Q74" s="4"/>
      <c r="R74" s="4"/>
      <c r="S74" s="4"/>
      <c r="T74" s="4"/>
      <c r="U74" s="4"/>
    </row>
    <row r="75" ht="15.75" customHeight="1">
      <c r="A75" s="4"/>
      <c r="B75" s="4"/>
      <c r="C75" s="4"/>
      <c r="D75" s="4"/>
      <c r="E75" s="4"/>
      <c r="F75" s="4"/>
      <c r="G75" s="4"/>
      <c r="H75" s="4"/>
      <c r="I75" s="4"/>
      <c r="J75" s="4"/>
      <c r="K75" s="4"/>
      <c r="L75" s="4"/>
      <c r="M75" s="4"/>
      <c r="N75" s="4"/>
      <c r="O75" s="4"/>
      <c r="P75" s="4"/>
      <c r="Q75" s="4"/>
      <c r="R75" s="4"/>
      <c r="S75" s="4"/>
      <c r="T75" s="4"/>
      <c r="U75" s="4"/>
    </row>
    <row r="76" ht="15.75" customHeight="1">
      <c r="A76" s="4"/>
      <c r="B76" s="4"/>
      <c r="C76" s="4"/>
      <c r="D76" s="4"/>
      <c r="E76" s="4"/>
      <c r="F76" s="4"/>
      <c r="G76" s="4"/>
      <c r="H76" s="4"/>
      <c r="I76" s="4"/>
      <c r="J76" s="4"/>
      <c r="K76" s="4"/>
      <c r="L76" s="4"/>
      <c r="M76" s="4"/>
      <c r="N76" s="4"/>
      <c r="O76" s="4"/>
      <c r="P76" s="4"/>
      <c r="Q76" s="4"/>
      <c r="R76" s="4"/>
      <c r="S76" s="4"/>
      <c r="T76" s="4"/>
      <c r="U76" s="4"/>
    </row>
    <row r="77" ht="15.75" customHeight="1">
      <c r="A77" s="4"/>
      <c r="B77" s="4"/>
      <c r="C77" s="4"/>
      <c r="D77" s="4"/>
      <c r="E77" s="4"/>
      <c r="F77" s="4"/>
      <c r="G77" s="4"/>
      <c r="H77" s="4"/>
      <c r="I77" s="4"/>
      <c r="J77" s="4"/>
      <c r="K77" s="4"/>
      <c r="L77" s="4"/>
      <c r="M77" s="4"/>
      <c r="N77" s="4"/>
      <c r="O77" s="4"/>
      <c r="P77" s="4"/>
      <c r="Q77" s="4"/>
      <c r="R77" s="4"/>
      <c r="S77" s="4"/>
      <c r="T77" s="4"/>
      <c r="U77" s="4"/>
    </row>
    <row r="78" ht="15.75" customHeight="1">
      <c r="A78" s="4"/>
      <c r="B78" s="4"/>
      <c r="C78" s="4"/>
      <c r="D78" s="4"/>
      <c r="E78" s="4"/>
      <c r="F78" s="4"/>
      <c r="G78" s="4"/>
      <c r="H78" s="4"/>
      <c r="I78" s="4"/>
      <c r="J78" s="4"/>
      <c r="K78" s="4"/>
      <c r="L78" s="4"/>
      <c r="M78" s="4"/>
      <c r="N78" s="4"/>
      <c r="O78" s="4"/>
      <c r="P78" s="4"/>
      <c r="Q78" s="4"/>
      <c r="R78" s="4"/>
      <c r="S78" s="4"/>
      <c r="T78" s="4"/>
      <c r="U78" s="4"/>
    </row>
    <row r="79" ht="15.75" customHeight="1">
      <c r="A79" s="4"/>
      <c r="B79" s="4"/>
      <c r="C79" s="4"/>
      <c r="D79" s="4"/>
      <c r="E79" s="4"/>
      <c r="F79" s="4"/>
      <c r="G79" s="4"/>
      <c r="H79" s="4"/>
      <c r="I79" s="4"/>
      <c r="J79" s="4"/>
      <c r="K79" s="4"/>
      <c r="L79" s="4"/>
      <c r="M79" s="4"/>
      <c r="N79" s="4"/>
      <c r="O79" s="4"/>
      <c r="P79" s="4"/>
      <c r="Q79" s="4"/>
      <c r="R79" s="4"/>
      <c r="S79" s="4"/>
      <c r="T79" s="4"/>
      <c r="U79" s="4"/>
    </row>
    <row r="80" ht="15.75" customHeight="1">
      <c r="A80" s="4"/>
      <c r="B80" s="4"/>
      <c r="C80" s="4"/>
      <c r="D80" s="4"/>
      <c r="E80" s="4"/>
      <c r="F80" s="4"/>
      <c r="G80" s="4"/>
      <c r="H80" s="4"/>
      <c r="I80" s="4"/>
      <c r="J80" s="4"/>
      <c r="K80" s="4"/>
      <c r="L80" s="4"/>
      <c r="M80" s="4"/>
      <c r="N80" s="4"/>
      <c r="O80" s="4"/>
      <c r="P80" s="4"/>
      <c r="Q80" s="4"/>
      <c r="R80" s="4"/>
      <c r="S80" s="4"/>
      <c r="T80" s="4"/>
      <c r="U80" s="4"/>
    </row>
    <row r="81" ht="15.75" customHeight="1">
      <c r="A81" s="4"/>
      <c r="B81" s="4"/>
      <c r="C81" s="4"/>
      <c r="D81" s="4"/>
      <c r="E81" s="4"/>
      <c r="F81" s="4"/>
      <c r="G81" s="4"/>
      <c r="H81" s="4"/>
      <c r="I81" s="4"/>
      <c r="J81" s="4"/>
      <c r="K81" s="4"/>
      <c r="L81" s="4"/>
      <c r="M81" s="4"/>
      <c r="N81" s="4"/>
      <c r="O81" s="4"/>
      <c r="P81" s="4"/>
      <c r="Q81" s="4"/>
      <c r="R81" s="4"/>
      <c r="S81" s="4"/>
      <c r="T81" s="4"/>
      <c r="U81" s="4"/>
    </row>
    <row r="82" ht="15.75" customHeight="1">
      <c r="A82" s="4"/>
      <c r="B82" s="4"/>
      <c r="C82" s="4"/>
      <c r="D82" s="4"/>
      <c r="E82" s="4"/>
      <c r="F82" s="4"/>
      <c r="G82" s="4"/>
      <c r="H82" s="4"/>
      <c r="I82" s="4"/>
      <c r="J82" s="4"/>
      <c r="K82" s="4"/>
      <c r="L82" s="4"/>
      <c r="M82" s="4"/>
      <c r="N82" s="4"/>
      <c r="O82" s="4"/>
      <c r="P82" s="4"/>
      <c r="Q82" s="4"/>
      <c r="R82" s="4"/>
      <c r="S82" s="4"/>
      <c r="T82" s="4"/>
      <c r="U82" s="4"/>
    </row>
    <row r="83" ht="15.75" customHeight="1">
      <c r="A83" s="4"/>
      <c r="B83" s="4"/>
      <c r="C83" s="4"/>
      <c r="D83" s="4"/>
      <c r="E83" s="4"/>
      <c r="F83" s="4"/>
      <c r="G83" s="4"/>
      <c r="H83" s="4"/>
      <c r="I83" s="4"/>
      <c r="J83" s="4"/>
      <c r="K83" s="4"/>
      <c r="L83" s="4"/>
      <c r="M83" s="4"/>
      <c r="N83" s="4"/>
      <c r="O83" s="4"/>
      <c r="P83" s="4"/>
      <c r="Q83" s="4"/>
      <c r="R83" s="4"/>
      <c r="S83" s="4"/>
      <c r="T83" s="4"/>
      <c r="U83" s="4"/>
    </row>
    <row r="84" ht="15.75" customHeight="1">
      <c r="A84" s="4"/>
      <c r="B84" s="4"/>
      <c r="C84" s="4"/>
      <c r="D84" s="4"/>
      <c r="E84" s="4"/>
      <c r="F84" s="4"/>
      <c r="G84" s="4"/>
      <c r="H84" s="4"/>
      <c r="I84" s="4"/>
      <c r="J84" s="4"/>
      <c r="K84" s="4"/>
      <c r="L84" s="4"/>
      <c r="M84" s="4"/>
      <c r="N84" s="4"/>
      <c r="O84" s="4"/>
      <c r="P84" s="4"/>
      <c r="Q84" s="4"/>
      <c r="R84" s="4"/>
      <c r="S84" s="4"/>
      <c r="T84" s="4"/>
      <c r="U84" s="4"/>
    </row>
    <row r="85" ht="15.75" customHeight="1">
      <c r="A85" s="4"/>
      <c r="B85" s="4"/>
      <c r="C85" s="4"/>
      <c r="D85" s="4"/>
      <c r="E85" s="4"/>
      <c r="F85" s="4"/>
      <c r="G85" s="4"/>
      <c r="H85" s="4"/>
      <c r="I85" s="4"/>
      <c r="J85" s="4"/>
      <c r="K85" s="4"/>
      <c r="L85" s="4"/>
      <c r="M85" s="4"/>
      <c r="N85" s="4"/>
      <c r="O85" s="4"/>
      <c r="P85" s="4"/>
      <c r="Q85" s="4"/>
      <c r="R85" s="4"/>
      <c r="S85" s="4"/>
      <c r="T85" s="4"/>
      <c r="U85" s="4"/>
    </row>
    <row r="86" ht="15.75" customHeight="1">
      <c r="A86" s="4"/>
      <c r="B86" s="4"/>
      <c r="C86" s="4"/>
      <c r="D86" s="4"/>
      <c r="E86" s="4"/>
      <c r="F86" s="4"/>
      <c r="G86" s="4"/>
      <c r="H86" s="4"/>
      <c r="I86" s="4"/>
      <c r="J86" s="4"/>
      <c r="K86" s="4"/>
      <c r="L86" s="4"/>
      <c r="M86" s="4"/>
      <c r="N86" s="4"/>
      <c r="O86" s="4"/>
      <c r="P86" s="4"/>
      <c r="Q86" s="4"/>
      <c r="R86" s="4"/>
      <c r="S86" s="4"/>
      <c r="T86" s="4"/>
      <c r="U86" s="4"/>
    </row>
    <row r="87" ht="15.75" customHeight="1">
      <c r="A87" s="4"/>
      <c r="B87" s="4"/>
      <c r="C87" s="4"/>
      <c r="D87" s="4"/>
      <c r="E87" s="4"/>
      <c r="F87" s="4"/>
      <c r="G87" s="4"/>
      <c r="H87" s="4"/>
      <c r="I87" s="4"/>
      <c r="J87" s="4"/>
      <c r="K87" s="4"/>
      <c r="L87" s="4"/>
      <c r="M87" s="4"/>
      <c r="N87" s="4"/>
      <c r="O87" s="4"/>
      <c r="P87" s="4"/>
      <c r="Q87" s="4"/>
      <c r="R87" s="4"/>
      <c r="S87" s="4"/>
      <c r="T87" s="4"/>
      <c r="U87" s="4"/>
    </row>
    <row r="88" ht="15.75" customHeight="1">
      <c r="A88" s="4"/>
      <c r="B88" s="4"/>
      <c r="C88" s="4"/>
      <c r="D88" s="4"/>
      <c r="E88" s="4"/>
      <c r="F88" s="4"/>
      <c r="G88" s="4"/>
      <c r="H88" s="4"/>
      <c r="I88" s="4"/>
      <c r="J88" s="4"/>
      <c r="K88" s="4"/>
      <c r="L88" s="4"/>
      <c r="M88" s="4"/>
      <c r="N88" s="4"/>
      <c r="O88" s="4"/>
      <c r="P88" s="4"/>
      <c r="Q88" s="4"/>
      <c r="R88" s="4"/>
      <c r="S88" s="4"/>
      <c r="T88" s="4"/>
      <c r="U88" s="4"/>
    </row>
    <row r="89" ht="15.75" customHeight="1">
      <c r="A89" s="4"/>
      <c r="B89" s="4"/>
      <c r="C89" s="4"/>
      <c r="D89" s="4"/>
      <c r="E89" s="4"/>
      <c r="F89" s="4"/>
      <c r="G89" s="4"/>
      <c r="H89" s="4"/>
      <c r="I89" s="4"/>
      <c r="J89" s="4"/>
      <c r="K89" s="4"/>
      <c r="L89" s="4"/>
      <c r="M89" s="4"/>
      <c r="N89" s="4"/>
      <c r="O89" s="4"/>
      <c r="P89" s="4"/>
      <c r="Q89" s="4"/>
      <c r="R89" s="4"/>
      <c r="S89" s="4"/>
      <c r="T89" s="4"/>
      <c r="U89" s="4"/>
    </row>
    <row r="90" ht="15.75" customHeight="1">
      <c r="A90" s="4"/>
      <c r="B90" s="4"/>
      <c r="C90" s="4"/>
      <c r="D90" s="4"/>
      <c r="E90" s="4"/>
      <c r="F90" s="4"/>
      <c r="G90" s="4"/>
      <c r="H90" s="4"/>
      <c r="I90" s="4"/>
      <c r="J90" s="4"/>
      <c r="K90" s="4"/>
      <c r="L90" s="4"/>
      <c r="M90" s="4"/>
      <c r="N90" s="4"/>
      <c r="O90" s="4"/>
      <c r="P90" s="4"/>
      <c r="Q90" s="4"/>
      <c r="R90" s="4"/>
      <c r="S90" s="4"/>
      <c r="T90" s="4"/>
      <c r="U90" s="4"/>
    </row>
    <row r="91" ht="15.75" customHeight="1">
      <c r="A91" s="4"/>
      <c r="B91" s="4"/>
      <c r="C91" s="4"/>
      <c r="D91" s="4"/>
      <c r="E91" s="4"/>
      <c r="F91" s="4"/>
      <c r="G91" s="4"/>
      <c r="H91" s="4"/>
      <c r="I91" s="4"/>
      <c r="J91" s="4"/>
      <c r="K91" s="4"/>
      <c r="L91" s="4"/>
      <c r="M91" s="4"/>
      <c r="N91" s="4"/>
      <c r="O91" s="4"/>
      <c r="P91" s="4"/>
      <c r="Q91" s="4"/>
      <c r="R91" s="4"/>
      <c r="S91" s="4"/>
      <c r="T91" s="4"/>
      <c r="U91" s="4"/>
    </row>
    <row r="92" ht="15.75" customHeight="1">
      <c r="A92" s="4"/>
      <c r="B92" s="4"/>
      <c r="C92" s="4"/>
      <c r="D92" s="4"/>
      <c r="E92" s="4"/>
      <c r="F92" s="4"/>
      <c r="G92" s="4"/>
      <c r="H92" s="4"/>
      <c r="I92" s="4"/>
      <c r="J92" s="4"/>
      <c r="K92" s="4"/>
      <c r="L92" s="4"/>
      <c r="M92" s="4"/>
      <c r="N92" s="4"/>
      <c r="O92" s="4"/>
      <c r="P92" s="4"/>
      <c r="Q92" s="4"/>
      <c r="R92" s="4"/>
      <c r="S92" s="4"/>
      <c r="T92" s="4"/>
      <c r="U92" s="4"/>
    </row>
    <row r="93" ht="15.75" customHeight="1">
      <c r="A93" s="4"/>
      <c r="B93" s="4"/>
      <c r="C93" s="4"/>
      <c r="D93" s="4"/>
      <c r="E93" s="4"/>
      <c r="F93" s="4"/>
      <c r="G93" s="4"/>
      <c r="H93" s="4"/>
      <c r="I93" s="4"/>
      <c r="J93" s="4"/>
      <c r="K93" s="4"/>
      <c r="L93" s="4"/>
      <c r="M93" s="4"/>
      <c r="N93" s="4"/>
      <c r="O93" s="4"/>
      <c r="P93" s="4"/>
      <c r="Q93" s="4"/>
      <c r="R93" s="4"/>
      <c r="S93" s="4"/>
      <c r="T93" s="4"/>
      <c r="U93" s="4"/>
    </row>
    <row r="94" ht="15.75" customHeight="1">
      <c r="A94" s="4"/>
      <c r="B94" s="4"/>
      <c r="C94" s="4"/>
      <c r="D94" s="4"/>
      <c r="E94" s="4"/>
      <c r="F94" s="4"/>
      <c r="G94" s="4"/>
      <c r="H94" s="4"/>
      <c r="I94" s="4"/>
      <c r="J94" s="4"/>
      <c r="K94" s="4"/>
      <c r="L94" s="4"/>
      <c r="M94" s="4"/>
      <c r="N94" s="4"/>
      <c r="O94" s="4"/>
      <c r="P94" s="4"/>
      <c r="Q94" s="4"/>
      <c r="R94" s="4"/>
      <c r="S94" s="4"/>
      <c r="T94" s="4"/>
      <c r="U94" s="4"/>
    </row>
    <row r="95" ht="15.75" customHeight="1">
      <c r="A95" s="4"/>
      <c r="B95" s="4"/>
      <c r="C95" s="4"/>
      <c r="D95" s="4"/>
      <c r="E95" s="4"/>
      <c r="F95" s="4"/>
      <c r="G95" s="4"/>
      <c r="H95" s="4"/>
      <c r="I95" s="4"/>
      <c r="J95" s="4"/>
      <c r="K95" s="4"/>
      <c r="L95" s="4"/>
      <c r="M95" s="4"/>
      <c r="N95" s="4"/>
      <c r="O95" s="4"/>
      <c r="P95" s="4"/>
      <c r="Q95" s="4"/>
      <c r="R95" s="4"/>
      <c r="S95" s="4"/>
      <c r="T95" s="4"/>
      <c r="U95" s="4"/>
    </row>
    <row r="96" ht="15.75" customHeight="1">
      <c r="A96" s="4"/>
      <c r="B96" s="4"/>
      <c r="C96" s="4"/>
      <c r="D96" s="4"/>
      <c r="E96" s="4"/>
      <c r="F96" s="4"/>
      <c r="G96" s="4"/>
      <c r="H96" s="4"/>
      <c r="I96" s="4"/>
      <c r="J96" s="4"/>
      <c r="K96" s="4"/>
      <c r="L96" s="4"/>
      <c r="M96" s="4"/>
      <c r="N96" s="4"/>
      <c r="O96" s="4"/>
      <c r="P96" s="4"/>
      <c r="Q96" s="4"/>
      <c r="R96" s="4"/>
      <c r="S96" s="4"/>
      <c r="T96" s="4"/>
      <c r="U96" s="4"/>
    </row>
    <row r="97" ht="15.75" customHeight="1">
      <c r="A97" s="4"/>
      <c r="B97" s="4"/>
      <c r="C97" s="4"/>
      <c r="D97" s="4"/>
      <c r="E97" s="4"/>
      <c r="F97" s="4"/>
      <c r="G97" s="4"/>
      <c r="H97" s="4"/>
      <c r="I97" s="4"/>
      <c r="J97" s="4"/>
      <c r="K97" s="4"/>
      <c r="L97" s="4"/>
      <c r="M97" s="4"/>
      <c r="N97" s="4"/>
      <c r="O97" s="4"/>
      <c r="P97" s="4"/>
      <c r="Q97" s="4"/>
      <c r="R97" s="4"/>
      <c r="S97" s="4"/>
      <c r="T97" s="4"/>
      <c r="U97" s="4"/>
    </row>
    <row r="98" ht="15.75" customHeight="1">
      <c r="A98" s="4"/>
      <c r="B98" s="4"/>
      <c r="C98" s="4"/>
      <c r="D98" s="4"/>
      <c r="E98" s="4"/>
      <c r="F98" s="4"/>
      <c r="G98" s="4"/>
      <c r="H98" s="4"/>
      <c r="I98" s="4"/>
      <c r="J98" s="4"/>
      <c r="K98" s="4"/>
      <c r="L98" s="4"/>
      <c r="M98" s="4"/>
      <c r="N98" s="4"/>
      <c r="O98" s="4"/>
      <c r="P98" s="4"/>
      <c r="Q98" s="4"/>
      <c r="R98" s="4"/>
      <c r="S98" s="4"/>
      <c r="T98" s="4"/>
      <c r="U98" s="4"/>
    </row>
    <row r="99" ht="15.75" customHeight="1">
      <c r="A99" s="4"/>
      <c r="B99" s="4"/>
      <c r="C99" s="4"/>
      <c r="D99" s="4"/>
      <c r="E99" s="4"/>
      <c r="F99" s="4"/>
      <c r="G99" s="4"/>
      <c r="H99" s="4"/>
      <c r="I99" s="4"/>
      <c r="J99" s="4"/>
      <c r="K99" s="4"/>
      <c r="L99" s="4"/>
      <c r="M99" s="4"/>
      <c r="N99" s="4"/>
      <c r="O99" s="4"/>
      <c r="P99" s="4"/>
      <c r="Q99" s="4"/>
      <c r="R99" s="4"/>
      <c r="S99" s="4"/>
      <c r="T99" s="4"/>
      <c r="U99" s="4"/>
    </row>
    <row r="100" ht="15.75" customHeight="1">
      <c r="A100" s="4"/>
      <c r="B100" s="4"/>
      <c r="C100" s="4"/>
      <c r="D100" s="4"/>
      <c r="E100" s="4"/>
      <c r="F100" s="4"/>
      <c r="G100" s="4"/>
      <c r="H100" s="4"/>
      <c r="I100" s="4"/>
      <c r="J100" s="4"/>
      <c r="K100" s="4"/>
      <c r="L100" s="4"/>
      <c r="M100" s="4"/>
      <c r="N100" s="4"/>
      <c r="O100" s="4"/>
      <c r="P100" s="4"/>
      <c r="Q100" s="4"/>
      <c r="R100" s="4"/>
      <c r="S100" s="4"/>
      <c r="T100" s="4"/>
      <c r="U100" s="4"/>
    </row>
    <row r="101" ht="15.75" customHeight="1">
      <c r="A101" s="4"/>
      <c r="B101" s="4"/>
      <c r="C101" s="4"/>
      <c r="D101" s="4"/>
      <c r="E101" s="4"/>
      <c r="F101" s="4"/>
      <c r="G101" s="4"/>
      <c r="H101" s="4"/>
      <c r="I101" s="4"/>
      <c r="J101" s="4"/>
      <c r="K101" s="4"/>
      <c r="L101" s="4"/>
      <c r="M101" s="4"/>
      <c r="N101" s="4"/>
      <c r="O101" s="4"/>
      <c r="P101" s="4"/>
      <c r="Q101" s="4"/>
      <c r="R101" s="4"/>
      <c r="S101" s="4"/>
      <c r="T101" s="4"/>
      <c r="U101" s="4"/>
    </row>
    <row r="102" ht="15.75" customHeight="1">
      <c r="A102" s="4"/>
      <c r="B102" s="4"/>
      <c r="C102" s="4"/>
      <c r="D102" s="4"/>
      <c r="E102" s="4"/>
      <c r="F102" s="4"/>
      <c r="G102" s="4"/>
      <c r="H102" s="4"/>
      <c r="I102" s="4"/>
      <c r="J102" s="4"/>
      <c r="K102" s="4"/>
      <c r="L102" s="4"/>
      <c r="M102" s="4"/>
      <c r="N102" s="4"/>
      <c r="O102" s="4"/>
      <c r="P102" s="4"/>
      <c r="Q102" s="4"/>
      <c r="R102" s="4"/>
      <c r="S102" s="4"/>
      <c r="T102" s="4"/>
      <c r="U102" s="4"/>
    </row>
    <row r="103" ht="15.75" customHeight="1">
      <c r="A103" s="4"/>
      <c r="B103" s="4"/>
      <c r="C103" s="4"/>
      <c r="D103" s="4"/>
      <c r="E103" s="4"/>
      <c r="F103" s="4"/>
      <c r="G103" s="4"/>
      <c r="H103" s="4"/>
      <c r="I103" s="4"/>
      <c r="J103" s="4"/>
      <c r="K103" s="4"/>
      <c r="L103" s="4"/>
      <c r="M103" s="4"/>
      <c r="N103" s="4"/>
      <c r="O103" s="4"/>
      <c r="P103" s="4"/>
      <c r="Q103" s="4"/>
      <c r="R103" s="4"/>
      <c r="S103" s="4"/>
      <c r="T103" s="4"/>
      <c r="U103" s="4"/>
    </row>
    <row r="104" ht="15.75" customHeight="1">
      <c r="A104" s="4"/>
      <c r="B104" s="4"/>
      <c r="C104" s="4"/>
      <c r="D104" s="4"/>
      <c r="E104" s="4"/>
      <c r="F104" s="4"/>
      <c r="G104" s="4"/>
      <c r="H104" s="4"/>
      <c r="I104" s="4"/>
      <c r="J104" s="4"/>
      <c r="K104" s="4"/>
      <c r="L104" s="4"/>
      <c r="M104" s="4"/>
      <c r="N104" s="4"/>
      <c r="O104" s="4"/>
      <c r="P104" s="4"/>
      <c r="Q104" s="4"/>
      <c r="R104" s="4"/>
      <c r="S104" s="4"/>
      <c r="T104" s="4"/>
      <c r="U104" s="4"/>
    </row>
    <row r="105" ht="15.75" customHeight="1">
      <c r="A105" s="4"/>
      <c r="B105" s="4"/>
      <c r="C105" s="4"/>
      <c r="D105" s="4"/>
      <c r="E105" s="4"/>
      <c r="F105" s="4"/>
      <c r="G105" s="4"/>
      <c r="H105" s="4"/>
      <c r="I105" s="4"/>
      <c r="J105" s="4"/>
      <c r="K105" s="4"/>
      <c r="L105" s="4"/>
      <c r="M105" s="4"/>
      <c r="N105" s="4"/>
      <c r="O105" s="4"/>
      <c r="P105" s="4"/>
      <c r="Q105" s="4"/>
      <c r="R105" s="4"/>
      <c r="S105" s="4"/>
      <c r="T105" s="4"/>
      <c r="U105" s="4"/>
    </row>
    <row r="106" ht="15.75" customHeight="1">
      <c r="A106" s="4"/>
      <c r="B106" s="4"/>
      <c r="C106" s="4"/>
      <c r="D106" s="4"/>
      <c r="E106" s="4"/>
      <c r="F106" s="4"/>
      <c r="G106" s="4"/>
      <c r="H106" s="4"/>
      <c r="I106" s="4"/>
      <c r="J106" s="4"/>
      <c r="K106" s="4"/>
      <c r="L106" s="4"/>
      <c r="M106" s="4"/>
      <c r="N106" s="4"/>
      <c r="O106" s="4"/>
      <c r="P106" s="4"/>
      <c r="Q106" s="4"/>
      <c r="R106" s="4"/>
      <c r="S106" s="4"/>
      <c r="T106" s="4"/>
      <c r="U106" s="4"/>
    </row>
    <row r="107" ht="15.75" customHeight="1">
      <c r="A107" s="4"/>
      <c r="B107" s="4"/>
      <c r="C107" s="4"/>
      <c r="D107" s="4"/>
      <c r="E107" s="4"/>
      <c r="F107" s="4"/>
      <c r="G107" s="4"/>
      <c r="H107" s="4"/>
      <c r="I107" s="4"/>
      <c r="J107" s="4"/>
      <c r="K107" s="4"/>
      <c r="L107" s="4"/>
      <c r="M107" s="4"/>
      <c r="N107" s="4"/>
      <c r="O107" s="4"/>
      <c r="P107" s="4"/>
      <c r="Q107" s="4"/>
      <c r="R107" s="4"/>
      <c r="S107" s="4"/>
      <c r="T107" s="4"/>
      <c r="U107" s="4"/>
    </row>
    <row r="108" ht="15.75" customHeight="1">
      <c r="A108" s="4"/>
      <c r="B108" s="4"/>
      <c r="C108" s="4"/>
      <c r="D108" s="4"/>
      <c r="E108" s="4"/>
      <c r="F108" s="4"/>
      <c r="G108" s="4"/>
      <c r="H108" s="4"/>
      <c r="I108" s="4"/>
      <c r="J108" s="4"/>
      <c r="K108" s="4"/>
      <c r="L108" s="4"/>
      <c r="M108" s="4"/>
      <c r="N108" s="4"/>
      <c r="O108" s="4"/>
      <c r="P108" s="4"/>
      <c r="Q108" s="4"/>
      <c r="R108" s="4"/>
      <c r="S108" s="4"/>
      <c r="T108" s="4"/>
      <c r="U108" s="4"/>
    </row>
    <row r="109" ht="15.75" customHeight="1">
      <c r="A109" s="4"/>
      <c r="B109" s="4"/>
      <c r="C109" s="4"/>
      <c r="D109" s="4"/>
      <c r="E109" s="4"/>
      <c r="F109" s="4"/>
      <c r="G109" s="4"/>
      <c r="H109" s="4"/>
      <c r="I109" s="4"/>
      <c r="J109" s="4"/>
      <c r="K109" s="4"/>
      <c r="L109" s="4"/>
      <c r="M109" s="4"/>
      <c r="N109" s="4"/>
      <c r="O109" s="4"/>
      <c r="P109" s="4"/>
      <c r="Q109" s="4"/>
      <c r="R109" s="4"/>
      <c r="S109" s="4"/>
      <c r="T109" s="4"/>
      <c r="U109" s="4"/>
    </row>
    <row r="110" ht="15.75" customHeight="1">
      <c r="A110" s="4"/>
      <c r="B110" s="4"/>
      <c r="C110" s="4"/>
      <c r="D110" s="4"/>
      <c r="E110" s="4"/>
      <c r="F110" s="4"/>
      <c r="G110" s="4"/>
      <c r="H110" s="4"/>
      <c r="I110" s="4"/>
      <c r="J110" s="4"/>
      <c r="K110" s="4"/>
      <c r="L110" s="4"/>
      <c r="M110" s="4"/>
      <c r="N110" s="4"/>
      <c r="O110" s="4"/>
      <c r="P110" s="4"/>
      <c r="Q110" s="4"/>
      <c r="R110" s="4"/>
      <c r="S110" s="4"/>
      <c r="T110" s="4"/>
      <c r="U110" s="4"/>
    </row>
    <row r="111" ht="15.75" customHeight="1">
      <c r="A111" s="4"/>
      <c r="B111" s="4"/>
      <c r="C111" s="4"/>
      <c r="D111" s="4"/>
      <c r="E111" s="4"/>
      <c r="F111" s="4"/>
      <c r="G111" s="4"/>
      <c r="H111" s="4"/>
      <c r="I111" s="4"/>
      <c r="J111" s="4"/>
      <c r="K111" s="4"/>
      <c r="L111" s="4"/>
      <c r="M111" s="4"/>
      <c r="N111" s="4"/>
      <c r="O111" s="4"/>
      <c r="P111" s="4"/>
      <c r="Q111" s="4"/>
      <c r="R111" s="4"/>
      <c r="S111" s="4"/>
      <c r="T111" s="4"/>
      <c r="U111" s="4"/>
    </row>
    <row r="112" ht="15.75" customHeight="1">
      <c r="A112" s="4"/>
      <c r="B112" s="4"/>
      <c r="C112" s="4"/>
      <c r="D112" s="4"/>
      <c r="E112" s="4"/>
      <c r="F112" s="4"/>
      <c r="G112" s="4"/>
      <c r="H112" s="4"/>
      <c r="I112" s="4"/>
      <c r="J112" s="4"/>
      <c r="K112" s="4"/>
      <c r="L112" s="4"/>
      <c r="M112" s="4"/>
      <c r="N112" s="4"/>
      <c r="O112" s="4"/>
      <c r="P112" s="4"/>
      <c r="Q112" s="4"/>
      <c r="R112" s="4"/>
      <c r="S112" s="4"/>
      <c r="T112" s="4"/>
      <c r="U112" s="4"/>
    </row>
    <row r="113" ht="15.75" customHeight="1">
      <c r="A113" s="4"/>
      <c r="B113" s="4"/>
      <c r="C113" s="4"/>
      <c r="D113" s="4"/>
      <c r="E113" s="4"/>
      <c r="F113" s="4"/>
      <c r="G113" s="4"/>
      <c r="H113" s="4"/>
      <c r="I113" s="4"/>
      <c r="J113" s="4"/>
      <c r="K113" s="4"/>
      <c r="L113" s="4"/>
      <c r="M113" s="4"/>
      <c r="N113" s="4"/>
      <c r="O113" s="4"/>
      <c r="P113" s="4"/>
      <c r="Q113" s="4"/>
      <c r="R113" s="4"/>
      <c r="S113" s="4"/>
      <c r="T113" s="4"/>
      <c r="U113" s="4"/>
    </row>
    <row r="114" ht="15.75" customHeight="1">
      <c r="A114" s="4"/>
      <c r="B114" s="4"/>
      <c r="C114" s="4"/>
      <c r="D114" s="4"/>
      <c r="E114" s="4"/>
      <c r="F114" s="4"/>
      <c r="G114" s="4"/>
      <c r="H114" s="4"/>
      <c r="I114" s="4"/>
      <c r="J114" s="4"/>
      <c r="K114" s="4"/>
      <c r="L114" s="4"/>
      <c r="M114" s="4"/>
      <c r="N114" s="4"/>
      <c r="O114" s="4"/>
      <c r="P114" s="4"/>
      <c r="Q114" s="4"/>
      <c r="R114" s="4"/>
      <c r="S114" s="4"/>
      <c r="T114" s="4"/>
      <c r="U114" s="4"/>
    </row>
    <row r="115" ht="15.75" customHeight="1">
      <c r="A115" s="4"/>
      <c r="B115" s="4"/>
      <c r="C115" s="4"/>
      <c r="D115" s="4"/>
      <c r="E115" s="4"/>
      <c r="F115" s="4"/>
      <c r="G115" s="4"/>
      <c r="H115" s="4"/>
      <c r="I115" s="4"/>
      <c r="J115" s="4"/>
      <c r="K115" s="4"/>
      <c r="L115" s="4"/>
      <c r="M115" s="4"/>
      <c r="N115" s="4"/>
      <c r="O115" s="4"/>
      <c r="P115" s="4"/>
      <c r="Q115" s="4"/>
      <c r="R115" s="4"/>
      <c r="S115" s="4"/>
      <c r="T115" s="4"/>
      <c r="U115" s="4"/>
    </row>
    <row r="116" ht="15.75" customHeight="1">
      <c r="A116" s="4"/>
      <c r="B116" s="4"/>
      <c r="C116" s="4"/>
      <c r="D116" s="4"/>
      <c r="E116" s="4"/>
      <c r="F116" s="4"/>
      <c r="G116" s="4"/>
      <c r="H116" s="4"/>
      <c r="I116" s="4"/>
      <c r="J116" s="4"/>
      <c r="K116" s="4"/>
      <c r="L116" s="4"/>
      <c r="M116" s="4"/>
      <c r="N116" s="4"/>
      <c r="O116" s="4"/>
      <c r="P116" s="4"/>
      <c r="Q116" s="4"/>
      <c r="R116" s="4"/>
      <c r="S116" s="4"/>
      <c r="T116" s="4"/>
      <c r="U116" s="4"/>
    </row>
    <row r="117" ht="15.75" customHeight="1">
      <c r="A117" s="4"/>
      <c r="B117" s="4"/>
      <c r="C117" s="4"/>
      <c r="D117" s="4"/>
      <c r="E117" s="4"/>
      <c r="F117" s="4"/>
      <c r="G117" s="4"/>
      <c r="H117" s="4"/>
      <c r="I117" s="4"/>
      <c r="J117" s="4"/>
      <c r="K117" s="4"/>
      <c r="L117" s="4"/>
      <c r="M117" s="4"/>
      <c r="N117" s="4"/>
      <c r="O117" s="4"/>
      <c r="P117" s="4"/>
      <c r="Q117" s="4"/>
      <c r="R117" s="4"/>
      <c r="S117" s="4"/>
      <c r="T117" s="4"/>
      <c r="U117" s="4"/>
    </row>
    <row r="118" ht="15.75" customHeight="1">
      <c r="A118" s="4"/>
      <c r="B118" s="4"/>
      <c r="C118" s="4"/>
      <c r="D118" s="4"/>
      <c r="E118" s="4"/>
      <c r="F118" s="4"/>
      <c r="G118" s="4"/>
      <c r="H118" s="4"/>
      <c r="I118" s="4"/>
      <c r="J118" s="4"/>
      <c r="K118" s="4"/>
      <c r="L118" s="4"/>
      <c r="M118" s="4"/>
      <c r="N118" s="4"/>
      <c r="O118" s="4"/>
      <c r="P118" s="4"/>
      <c r="Q118" s="4"/>
      <c r="R118" s="4"/>
      <c r="S118" s="4"/>
      <c r="T118" s="4"/>
      <c r="U118" s="4"/>
    </row>
    <row r="119" ht="15.75" customHeight="1">
      <c r="A119" s="4"/>
      <c r="B119" s="4"/>
      <c r="C119" s="4"/>
      <c r="D119" s="4"/>
      <c r="E119" s="4"/>
      <c r="F119" s="4"/>
      <c r="G119" s="4"/>
      <c r="H119" s="4"/>
      <c r="I119" s="4"/>
      <c r="J119" s="4"/>
      <c r="K119" s="4"/>
      <c r="L119" s="4"/>
      <c r="M119" s="4"/>
      <c r="N119" s="4"/>
      <c r="O119" s="4"/>
      <c r="P119" s="4"/>
      <c r="Q119" s="4"/>
      <c r="R119" s="4"/>
      <c r="S119" s="4"/>
      <c r="T119" s="4"/>
      <c r="U119" s="4"/>
    </row>
    <row r="120" ht="15.75" customHeight="1">
      <c r="A120" s="4"/>
      <c r="B120" s="4"/>
      <c r="C120" s="4"/>
      <c r="D120" s="4"/>
      <c r="E120" s="4"/>
      <c r="F120" s="4"/>
      <c r="G120" s="4"/>
      <c r="H120" s="4"/>
      <c r="I120" s="4"/>
      <c r="J120" s="4"/>
      <c r="K120" s="4"/>
      <c r="L120" s="4"/>
      <c r="M120" s="4"/>
      <c r="N120" s="4"/>
      <c r="O120" s="4"/>
      <c r="P120" s="4"/>
      <c r="Q120" s="4"/>
      <c r="R120" s="4"/>
      <c r="S120" s="4"/>
      <c r="T120" s="4"/>
      <c r="U120" s="4"/>
    </row>
    <row r="121" ht="15.75" customHeight="1">
      <c r="A121" s="4"/>
      <c r="B121" s="4"/>
      <c r="C121" s="4"/>
      <c r="D121" s="4"/>
      <c r="E121" s="4"/>
      <c r="F121" s="4"/>
      <c r="G121" s="4"/>
      <c r="H121" s="4"/>
      <c r="I121" s="4"/>
      <c r="J121" s="4"/>
      <c r="K121" s="4"/>
      <c r="L121" s="4"/>
      <c r="M121" s="4"/>
      <c r="N121" s="4"/>
      <c r="O121" s="4"/>
      <c r="P121" s="4"/>
      <c r="Q121" s="4"/>
      <c r="R121" s="4"/>
      <c r="S121" s="4"/>
      <c r="T121" s="4"/>
      <c r="U121" s="4"/>
    </row>
    <row r="122" ht="15.75" customHeight="1">
      <c r="A122" s="4"/>
      <c r="B122" s="4"/>
      <c r="C122" s="4"/>
      <c r="D122" s="4"/>
      <c r="E122" s="4"/>
      <c r="F122" s="4"/>
      <c r="G122" s="4"/>
      <c r="H122" s="4"/>
      <c r="I122" s="4"/>
      <c r="J122" s="4"/>
      <c r="K122" s="4"/>
      <c r="L122" s="4"/>
      <c r="M122" s="4"/>
      <c r="N122" s="4"/>
      <c r="O122" s="4"/>
      <c r="P122" s="4"/>
      <c r="Q122" s="4"/>
      <c r="R122" s="4"/>
      <c r="S122" s="4"/>
      <c r="T122" s="4"/>
      <c r="U122" s="4"/>
    </row>
    <row r="123" ht="15.75" customHeight="1">
      <c r="A123" s="4"/>
      <c r="B123" s="4"/>
      <c r="C123" s="4"/>
      <c r="D123" s="4"/>
      <c r="E123" s="4"/>
      <c r="F123" s="4"/>
      <c r="G123" s="4"/>
      <c r="H123" s="4"/>
      <c r="I123" s="4"/>
      <c r="J123" s="4"/>
      <c r="K123" s="4"/>
      <c r="L123" s="4"/>
      <c r="M123" s="4"/>
      <c r="N123" s="4"/>
      <c r="O123" s="4"/>
      <c r="P123" s="4"/>
      <c r="Q123" s="4"/>
      <c r="R123" s="4"/>
      <c r="S123" s="4"/>
      <c r="T123" s="4"/>
      <c r="U123" s="4"/>
    </row>
    <row r="124" ht="15.75" customHeight="1">
      <c r="A124" s="4"/>
      <c r="B124" s="4"/>
      <c r="C124" s="4"/>
      <c r="D124" s="4"/>
      <c r="E124" s="4"/>
      <c r="F124" s="4"/>
      <c r="G124" s="4"/>
      <c r="H124" s="4"/>
      <c r="I124" s="4"/>
      <c r="J124" s="4"/>
      <c r="K124" s="4"/>
      <c r="L124" s="4"/>
      <c r="M124" s="4"/>
      <c r="N124" s="4"/>
      <c r="O124" s="4"/>
      <c r="P124" s="4"/>
      <c r="Q124" s="4"/>
      <c r="R124" s="4"/>
      <c r="S124" s="4"/>
      <c r="T124" s="4"/>
      <c r="U124" s="4"/>
    </row>
    <row r="125" ht="15.75" customHeight="1">
      <c r="A125" s="4"/>
      <c r="B125" s="4"/>
      <c r="C125" s="4"/>
      <c r="D125" s="4"/>
      <c r="E125" s="4"/>
      <c r="F125" s="4"/>
      <c r="G125" s="4"/>
      <c r="H125" s="4"/>
      <c r="I125" s="4"/>
      <c r="J125" s="4"/>
      <c r="K125" s="4"/>
      <c r="L125" s="4"/>
      <c r="M125" s="4"/>
      <c r="N125" s="4"/>
      <c r="O125" s="4"/>
      <c r="P125" s="4"/>
      <c r="Q125" s="4"/>
      <c r="R125" s="4"/>
      <c r="S125" s="4"/>
      <c r="T125" s="4"/>
      <c r="U125" s="4"/>
    </row>
    <row r="126" ht="15.75" customHeight="1">
      <c r="A126" s="4"/>
      <c r="B126" s="4"/>
      <c r="C126" s="4"/>
      <c r="D126" s="4"/>
      <c r="E126" s="4"/>
      <c r="F126" s="4"/>
      <c r="G126" s="4"/>
      <c r="H126" s="4"/>
      <c r="I126" s="4"/>
      <c r="J126" s="4"/>
      <c r="K126" s="4"/>
      <c r="L126" s="4"/>
      <c r="M126" s="4"/>
      <c r="N126" s="4"/>
      <c r="O126" s="4"/>
      <c r="P126" s="4"/>
      <c r="Q126" s="4"/>
      <c r="R126" s="4"/>
      <c r="S126" s="4"/>
      <c r="T126" s="4"/>
      <c r="U126" s="4"/>
    </row>
    <row r="127" ht="15.75" customHeight="1">
      <c r="A127" s="4"/>
      <c r="B127" s="4"/>
      <c r="C127" s="4"/>
      <c r="D127" s="4"/>
      <c r="E127" s="4"/>
      <c r="F127" s="4"/>
      <c r="G127" s="4"/>
      <c r="H127" s="4"/>
      <c r="I127" s="4"/>
      <c r="J127" s="4"/>
      <c r="K127" s="4"/>
      <c r="L127" s="4"/>
      <c r="M127" s="4"/>
      <c r="N127" s="4"/>
      <c r="O127" s="4"/>
      <c r="P127" s="4"/>
      <c r="Q127" s="4"/>
      <c r="R127" s="4"/>
      <c r="S127" s="4"/>
      <c r="T127" s="4"/>
      <c r="U127" s="4"/>
    </row>
    <row r="128" ht="15.75" customHeight="1">
      <c r="A128" s="4"/>
      <c r="B128" s="4"/>
      <c r="C128" s="4"/>
      <c r="D128" s="4"/>
      <c r="E128" s="4"/>
      <c r="F128" s="4"/>
      <c r="G128" s="4"/>
      <c r="H128" s="4"/>
      <c r="I128" s="4"/>
      <c r="J128" s="4"/>
      <c r="K128" s="4"/>
      <c r="L128" s="4"/>
      <c r="M128" s="4"/>
      <c r="N128" s="4"/>
      <c r="O128" s="4"/>
      <c r="P128" s="4"/>
      <c r="Q128" s="4"/>
      <c r="R128" s="4"/>
      <c r="S128" s="4"/>
      <c r="T128" s="4"/>
      <c r="U128" s="4"/>
    </row>
    <row r="129" ht="15.75" customHeight="1">
      <c r="A129" s="4"/>
      <c r="B129" s="4"/>
      <c r="C129" s="4"/>
      <c r="D129" s="4"/>
      <c r="E129" s="4"/>
      <c r="F129" s="4"/>
      <c r="G129" s="4"/>
      <c r="H129" s="4"/>
      <c r="I129" s="4"/>
      <c r="J129" s="4"/>
      <c r="K129" s="4"/>
      <c r="L129" s="4"/>
      <c r="M129" s="4"/>
      <c r="N129" s="4"/>
      <c r="O129" s="4"/>
      <c r="P129" s="4"/>
      <c r="Q129" s="4"/>
      <c r="R129" s="4"/>
      <c r="S129" s="4"/>
      <c r="T129" s="4"/>
      <c r="U129" s="4"/>
    </row>
    <row r="130" ht="15.75" customHeight="1">
      <c r="A130" s="4"/>
      <c r="B130" s="4"/>
      <c r="C130" s="4"/>
      <c r="D130" s="4"/>
      <c r="E130" s="4"/>
      <c r="F130" s="4"/>
      <c r="G130" s="4"/>
      <c r="H130" s="4"/>
      <c r="I130" s="4"/>
      <c r="J130" s="4"/>
      <c r="K130" s="4"/>
      <c r="L130" s="4"/>
      <c r="M130" s="4"/>
      <c r="N130" s="4"/>
      <c r="O130" s="4"/>
      <c r="P130" s="4"/>
      <c r="Q130" s="4"/>
      <c r="R130" s="4"/>
      <c r="S130" s="4"/>
      <c r="T130" s="4"/>
      <c r="U130" s="4"/>
    </row>
    <row r="131" ht="15.75" customHeight="1">
      <c r="A131" s="4"/>
      <c r="B131" s="4"/>
      <c r="C131" s="4"/>
      <c r="D131" s="4"/>
      <c r="E131" s="4"/>
      <c r="F131" s="4"/>
      <c r="G131" s="4"/>
      <c r="H131" s="4"/>
      <c r="I131" s="4"/>
      <c r="J131" s="4"/>
      <c r="K131" s="4"/>
      <c r="L131" s="4"/>
      <c r="M131" s="4"/>
      <c r="N131" s="4"/>
      <c r="O131" s="4"/>
      <c r="P131" s="4"/>
      <c r="Q131" s="4"/>
      <c r="R131" s="4"/>
      <c r="S131" s="4"/>
      <c r="T131" s="4"/>
      <c r="U131" s="4"/>
    </row>
    <row r="132" ht="15.75" customHeight="1">
      <c r="A132" s="4"/>
      <c r="B132" s="4"/>
      <c r="C132" s="4"/>
      <c r="D132" s="4"/>
      <c r="E132" s="4"/>
      <c r="F132" s="4"/>
      <c r="G132" s="4"/>
      <c r="H132" s="4"/>
      <c r="I132" s="4"/>
      <c r="J132" s="4"/>
      <c r="K132" s="4"/>
      <c r="L132" s="4"/>
      <c r="M132" s="4"/>
      <c r="N132" s="4"/>
      <c r="O132" s="4"/>
      <c r="P132" s="4"/>
      <c r="Q132" s="4"/>
      <c r="R132" s="4"/>
      <c r="S132" s="4"/>
      <c r="T132" s="4"/>
      <c r="U132" s="4"/>
    </row>
    <row r="133" ht="15.75" customHeight="1">
      <c r="A133" s="4"/>
      <c r="B133" s="4"/>
      <c r="C133" s="4"/>
      <c r="D133" s="4"/>
      <c r="E133" s="4"/>
      <c r="F133" s="4"/>
      <c r="G133" s="4"/>
      <c r="H133" s="4"/>
      <c r="I133" s="4"/>
      <c r="J133" s="4"/>
      <c r="K133" s="4"/>
      <c r="L133" s="4"/>
      <c r="M133" s="4"/>
      <c r="N133" s="4"/>
      <c r="O133" s="4"/>
      <c r="P133" s="4"/>
      <c r="Q133" s="4"/>
      <c r="R133" s="4"/>
      <c r="S133" s="4"/>
      <c r="T133" s="4"/>
      <c r="U133" s="4"/>
    </row>
    <row r="134" ht="15.75" customHeight="1">
      <c r="A134" s="4"/>
      <c r="B134" s="4"/>
      <c r="C134" s="4"/>
      <c r="D134" s="4"/>
      <c r="E134" s="4"/>
      <c r="F134" s="4"/>
      <c r="G134" s="4"/>
      <c r="H134" s="4"/>
      <c r="I134" s="4"/>
      <c r="J134" s="4"/>
      <c r="K134" s="4"/>
      <c r="L134" s="4"/>
      <c r="M134" s="4"/>
      <c r="N134" s="4"/>
      <c r="O134" s="4"/>
      <c r="P134" s="4"/>
      <c r="Q134" s="4"/>
      <c r="R134" s="4"/>
      <c r="S134" s="4"/>
      <c r="T134" s="4"/>
      <c r="U134" s="4"/>
    </row>
    <row r="135" ht="15.75" customHeight="1">
      <c r="A135" s="4"/>
      <c r="B135" s="4"/>
      <c r="C135" s="4"/>
      <c r="D135" s="4"/>
      <c r="E135" s="4"/>
      <c r="F135" s="4"/>
      <c r="G135" s="4"/>
      <c r="H135" s="4"/>
      <c r="I135" s="4"/>
      <c r="J135" s="4"/>
      <c r="K135" s="4"/>
      <c r="L135" s="4"/>
      <c r="M135" s="4"/>
      <c r="N135" s="4"/>
      <c r="O135" s="4"/>
      <c r="P135" s="4"/>
      <c r="Q135" s="4"/>
      <c r="R135" s="4"/>
      <c r="S135" s="4"/>
      <c r="T135" s="4"/>
      <c r="U135" s="4"/>
    </row>
    <row r="136" ht="15.75" customHeight="1">
      <c r="A136" s="4"/>
      <c r="B136" s="4"/>
      <c r="C136" s="4"/>
      <c r="D136" s="4"/>
      <c r="E136" s="4"/>
      <c r="F136" s="4"/>
      <c r="G136" s="4"/>
      <c r="H136" s="4"/>
      <c r="I136" s="4"/>
      <c r="J136" s="4"/>
      <c r="K136" s="4"/>
      <c r="L136" s="4"/>
      <c r="M136" s="4"/>
      <c r="N136" s="4"/>
      <c r="O136" s="4"/>
      <c r="P136" s="4"/>
      <c r="Q136" s="4"/>
      <c r="R136" s="4"/>
      <c r="S136" s="4"/>
      <c r="T136" s="4"/>
      <c r="U136" s="4"/>
    </row>
    <row r="137" ht="15.75" customHeight="1">
      <c r="A137" s="4"/>
      <c r="B137" s="4"/>
      <c r="C137" s="4"/>
      <c r="D137" s="4"/>
      <c r="E137" s="4"/>
      <c r="F137" s="4"/>
      <c r="G137" s="4"/>
      <c r="H137" s="4"/>
      <c r="I137" s="4"/>
      <c r="J137" s="4"/>
      <c r="K137" s="4"/>
      <c r="L137" s="4"/>
      <c r="M137" s="4"/>
      <c r="N137" s="4"/>
      <c r="O137" s="4"/>
      <c r="P137" s="4"/>
      <c r="Q137" s="4"/>
      <c r="R137" s="4"/>
      <c r="S137" s="4"/>
      <c r="T137" s="4"/>
      <c r="U137" s="4"/>
    </row>
    <row r="138" ht="15.75" customHeight="1">
      <c r="A138" s="4"/>
      <c r="B138" s="4"/>
      <c r="C138" s="4"/>
      <c r="D138" s="4"/>
      <c r="E138" s="4"/>
      <c r="F138" s="4"/>
      <c r="G138" s="4"/>
      <c r="H138" s="4"/>
      <c r="I138" s="4"/>
      <c r="J138" s="4"/>
      <c r="K138" s="4"/>
      <c r="L138" s="4"/>
      <c r="M138" s="4"/>
      <c r="N138" s="4"/>
      <c r="O138" s="4"/>
      <c r="P138" s="4"/>
      <c r="Q138" s="4"/>
      <c r="R138" s="4"/>
      <c r="S138" s="4"/>
      <c r="T138" s="4"/>
      <c r="U138" s="4"/>
    </row>
    <row r="139" ht="15.75" customHeight="1">
      <c r="A139" s="4"/>
      <c r="B139" s="4"/>
      <c r="C139" s="4"/>
      <c r="D139" s="4"/>
      <c r="E139" s="4"/>
      <c r="F139" s="4"/>
      <c r="G139" s="4"/>
      <c r="H139" s="4"/>
      <c r="I139" s="4"/>
      <c r="J139" s="4"/>
      <c r="K139" s="4"/>
      <c r="L139" s="4"/>
      <c r="M139" s="4"/>
      <c r="N139" s="4"/>
      <c r="O139" s="4"/>
      <c r="P139" s="4"/>
      <c r="Q139" s="4"/>
      <c r="R139" s="4"/>
      <c r="S139" s="4"/>
      <c r="T139" s="4"/>
      <c r="U139" s="4"/>
    </row>
    <row r="140" ht="15.75" customHeight="1">
      <c r="A140" s="4"/>
      <c r="B140" s="4"/>
      <c r="C140" s="4"/>
      <c r="D140" s="4"/>
      <c r="E140" s="4"/>
      <c r="F140" s="4"/>
      <c r="G140" s="4"/>
      <c r="H140" s="4"/>
      <c r="I140" s="4"/>
      <c r="J140" s="4"/>
      <c r="K140" s="4"/>
      <c r="L140" s="4"/>
      <c r="M140" s="4"/>
      <c r="N140" s="4"/>
      <c r="O140" s="4"/>
      <c r="P140" s="4"/>
      <c r="Q140" s="4"/>
      <c r="R140" s="4"/>
      <c r="S140" s="4"/>
      <c r="T140" s="4"/>
      <c r="U140" s="4"/>
    </row>
    <row r="141" ht="15.75" customHeight="1">
      <c r="A141" s="4"/>
      <c r="B141" s="4"/>
      <c r="C141" s="4"/>
      <c r="D141" s="4"/>
      <c r="E141" s="4"/>
      <c r="F141" s="4"/>
      <c r="G141" s="4"/>
      <c r="H141" s="4"/>
      <c r="I141" s="4"/>
      <c r="J141" s="4"/>
      <c r="K141" s="4"/>
      <c r="L141" s="4"/>
      <c r="M141" s="4"/>
      <c r="N141" s="4"/>
      <c r="O141" s="4"/>
      <c r="P141" s="4"/>
      <c r="Q141" s="4"/>
      <c r="R141" s="4"/>
      <c r="S141" s="4"/>
      <c r="T141" s="4"/>
      <c r="U141" s="4"/>
    </row>
    <row r="142" ht="15.75" customHeight="1">
      <c r="A142" s="4"/>
      <c r="B142" s="4"/>
      <c r="C142" s="4"/>
      <c r="D142" s="4"/>
      <c r="E142" s="4"/>
      <c r="F142" s="4"/>
      <c r="G142" s="4"/>
      <c r="H142" s="4"/>
      <c r="I142" s="4"/>
      <c r="J142" s="4"/>
      <c r="K142" s="4"/>
      <c r="L142" s="4"/>
      <c r="M142" s="4"/>
      <c r="N142" s="4"/>
      <c r="O142" s="4"/>
      <c r="P142" s="4"/>
      <c r="Q142" s="4"/>
      <c r="R142" s="4"/>
      <c r="S142" s="4"/>
      <c r="T142" s="4"/>
      <c r="U142" s="4"/>
    </row>
    <row r="143" ht="15.75" customHeight="1">
      <c r="A143" s="4"/>
      <c r="B143" s="4"/>
      <c r="C143" s="4"/>
      <c r="D143" s="4"/>
      <c r="E143" s="4"/>
      <c r="F143" s="4"/>
      <c r="G143" s="4"/>
      <c r="H143" s="4"/>
      <c r="I143" s="4"/>
      <c r="J143" s="4"/>
      <c r="K143" s="4"/>
      <c r="L143" s="4"/>
      <c r="M143" s="4"/>
      <c r="N143" s="4"/>
      <c r="O143" s="4"/>
      <c r="P143" s="4"/>
      <c r="Q143" s="4"/>
      <c r="R143" s="4"/>
      <c r="S143" s="4"/>
      <c r="T143" s="4"/>
      <c r="U143" s="4"/>
    </row>
    <row r="144" ht="15.75" customHeight="1">
      <c r="A144" s="4"/>
      <c r="B144" s="4"/>
      <c r="C144" s="4"/>
      <c r="D144" s="4"/>
      <c r="E144" s="4"/>
      <c r="F144" s="4"/>
      <c r="G144" s="4"/>
      <c r="H144" s="4"/>
      <c r="I144" s="4"/>
      <c r="J144" s="4"/>
      <c r="K144" s="4"/>
      <c r="L144" s="4"/>
      <c r="M144" s="4"/>
      <c r="N144" s="4"/>
      <c r="O144" s="4"/>
      <c r="P144" s="4"/>
      <c r="Q144" s="4"/>
      <c r="R144" s="4"/>
      <c r="S144" s="4"/>
      <c r="T144" s="4"/>
      <c r="U144" s="4"/>
    </row>
    <row r="145" ht="15.75" customHeight="1">
      <c r="A145" s="4"/>
      <c r="B145" s="4"/>
      <c r="C145" s="4"/>
      <c r="D145" s="4"/>
      <c r="E145" s="4"/>
      <c r="F145" s="4"/>
      <c r="G145" s="4"/>
      <c r="H145" s="4"/>
      <c r="I145" s="4"/>
      <c r="J145" s="4"/>
      <c r="K145" s="4"/>
      <c r="L145" s="4"/>
      <c r="M145" s="4"/>
      <c r="N145" s="4"/>
      <c r="O145" s="4"/>
      <c r="P145" s="4"/>
      <c r="Q145" s="4"/>
      <c r="R145" s="4"/>
      <c r="S145" s="4"/>
      <c r="T145" s="4"/>
      <c r="U145" s="4"/>
    </row>
    <row r="146" ht="15.75" customHeight="1">
      <c r="A146" s="4"/>
      <c r="B146" s="4"/>
      <c r="C146" s="4"/>
      <c r="D146" s="4"/>
      <c r="E146" s="4"/>
      <c r="F146" s="4"/>
      <c r="G146" s="4"/>
      <c r="H146" s="4"/>
      <c r="I146" s="4"/>
      <c r="J146" s="4"/>
      <c r="K146" s="4"/>
      <c r="L146" s="4"/>
      <c r="M146" s="4"/>
      <c r="N146" s="4"/>
      <c r="O146" s="4"/>
      <c r="P146" s="4"/>
      <c r="Q146" s="4"/>
      <c r="R146" s="4"/>
      <c r="S146" s="4"/>
      <c r="T146" s="4"/>
      <c r="U146" s="4"/>
    </row>
    <row r="147" ht="15.75" customHeight="1">
      <c r="A147" s="4"/>
      <c r="B147" s="4"/>
      <c r="C147" s="4"/>
      <c r="D147" s="4"/>
      <c r="E147" s="4"/>
      <c r="F147" s="4"/>
      <c r="G147" s="4"/>
      <c r="H147" s="4"/>
      <c r="I147" s="4"/>
      <c r="J147" s="4"/>
      <c r="K147" s="4"/>
      <c r="L147" s="4"/>
      <c r="M147" s="4"/>
      <c r="N147" s="4"/>
      <c r="O147" s="4"/>
      <c r="P147" s="4"/>
      <c r="Q147" s="4"/>
      <c r="R147" s="4"/>
      <c r="S147" s="4"/>
      <c r="T147" s="4"/>
      <c r="U147" s="4"/>
    </row>
    <row r="148" ht="15.75" customHeight="1">
      <c r="A148" s="4"/>
      <c r="B148" s="4"/>
      <c r="C148" s="4"/>
      <c r="D148" s="4"/>
      <c r="E148" s="4"/>
      <c r="F148" s="4"/>
      <c r="G148" s="4"/>
      <c r="H148" s="4"/>
      <c r="I148" s="4"/>
      <c r="J148" s="4"/>
      <c r="K148" s="4"/>
      <c r="L148" s="4"/>
      <c r="M148" s="4"/>
      <c r="N148" s="4"/>
      <c r="O148" s="4"/>
      <c r="P148" s="4"/>
      <c r="Q148" s="4"/>
      <c r="R148" s="4"/>
      <c r="S148" s="4"/>
      <c r="T148" s="4"/>
      <c r="U148" s="4"/>
    </row>
    <row r="149" ht="15.75" customHeight="1">
      <c r="A149" s="4"/>
      <c r="B149" s="4"/>
      <c r="C149" s="4"/>
      <c r="D149" s="4"/>
      <c r="E149" s="4"/>
      <c r="F149" s="4"/>
      <c r="G149" s="4"/>
      <c r="H149" s="4"/>
      <c r="I149" s="4"/>
      <c r="J149" s="4"/>
      <c r="K149" s="4"/>
      <c r="L149" s="4"/>
      <c r="M149" s="4"/>
      <c r="N149" s="4"/>
      <c r="O149" s="4"/>
      <c r="P149" s="4"/>
      <c r="Q149" s="4"/>
      <c r="R149" s="4"/>
      <c r="S149" s="4"/>
      <c r="T149" s="4"/>
      <c r="U149" s="4"/>
    </row>
    <row r="150" ht="15.75" customHeight="1">
      <c r="A150" s="4"/>
      <c r="B150" s="4"/>
      <c r="C150" s="4"/>
      <c r="D150" s="4"/>
      <c r="E150" s="4"/>
      <c r="F150" s="4"/>
      <c r="G150" s="4"/>
      <c r="H150" s="4"/>
      <c r="I150" s="4"/>
      <c r="J150" s="4"/>
      <c r="K150" s="4"/>
      <c r="L150" s="4"/>
      <c r="M150" s="4"/>
      <c r="N150" s="4"/>
      <c r="O150" s="4"/>
      <c r="P150" s="4"/>
      <c r="Q150" s="4"/>
      <c r="R150" s="4"/>
      <c r="S150" s="4"/>
      <c r="T150" s="4"/>
      <c r="U150" s="4"/>
    </row>
    <row r="151" ht="15.75" customHeight="1">
      <c r="A151" s="4"/>
      <c r="B151" s="4"/>
      <c r="C151" s="4"/>
      <c r="D151" s="4"/>
      <c r="E151" s="4"/>
      <c r="F151" s="4"/>
      <c r="G151" s="4"/>
      <c r="H151" s="4"/>
      <c r="I151" s="4"/>
      <c r="J151" s="4"/>
      <c r="K151" s="4"/>
      <c r="L151" s="4"/>
      <c r="M151" s="4"/>
      <c r="N151" s="4"/>
      <c r="O151" s="4"/>
      <c r="P151" s="4"/>
      <c r="Q151" s="4"/>
      <c r="R151" s="4"/>
      <c r="S151" s="4"/>
      <c r="T151" s="4"/>
      <c r="U151" s="4"/>
    </row>
    <row r="152" ht="15.75" customHeight="1">
      <c r="A152" s="4"/>
      <c r="B152" s="4"/>
      <c r="C152" s="4"/>
      <c r="D152" s="4"/>
      <c r="E152" s="4"/>
      <c r="F152" s="4"/>
      <c r="G152" s="4"/>
      <c r="H152" s="4"/>
      <c r="I152" s="4"/>
      <c r="J152" s="4"/>
      <c r="K152" s="4"/>
      <c r="L152" s="4"/>
      <c r="M152" s="4"/>
      <c r="N152" s="4"/>
      <c r="O152" s="4"/>
      <c r="P152" s="4"/>
      <c r="Q152" s="4"/>
      <c r="R152" s="4"/>
      <c r="S152" s="4"/>
      <c r="T152" s="4"/>
      <c r="U152" s="4"/>
    </row>
    <row r="153" ht="15.75" customHeight="1">
      <c r="A153" s="4"/>
      <c r="B153" s="4"/>
      <c r="C153" s="4"/>
      <c r="D153" s="4"/>
      <c r="E153" s="4"/>
      <c r="F153" s="4"/>
      <c r="G153" s="4"/>
      <c r="H153" s="4"/>
      <c r="I153" s="4"/>
      <c r="J153" s="4"/>
      <c r="K153" s="4"/>
      <c r="L153" s="4"/>
      <c r="M153" s="4"/>
      <c r="N153" s="4"/>
      <c r="O153" s="4"/>
      <c r="P153" s="4"/>
      <c r="Q153" s="4"/>
      <c r="R153" s="4"/>
      <c r="S153" s="4"/>
      <c r="T153" s="4"/>
      <c r="U153" s="4"/>
    </row>
    <row r="154" ht="15.75" customHeight="1">
      <c r="A154" s="4"/>
      <c r="B154" s="4"/>
      <c r="C154" s="4"/>
      <c r="D154" s="4"/>
      <c r="E154" s="4"/>
      <c r="F154" s="4"/>
      <c r="G154" s="4"/>
      <c r="H154" s="4"/>
      <c r="I154" s="4"/>
      <c r="J154" s="4"/>
      <c r="K154" s="4"/>
      <c r="L154" s="4"/>
      <c r="M154" s="4"/>
      <c r="N154" s="4"/>
      <c r="O154" s="4"/>
      <c r="P154" s="4"/>
      <c r="Q154" s="4"/>
      <c r="R154" s="4"/>
      <c r="S154" s="4"/>
      <c r="T154" s="4"/>
      <c r="U154" s="4"/>
    </row>
    <row r="155" ht="15.75" customHeight="1">
      <c r="A155" s="4"/>
      <c r="B155" s="4"/>
      <c r="C155" s="4"/>
      <c r="D155" s="4"/>
      <c r="E155" s="4"/>
      <c r="F155" s="4"/>
      <c r="G155" s="4"/>
      <c r="H155" s="4"/>
      <c r="I155" s="4"/>
      <c r="J155" s="4"/>
      <c r="K155" s="4"/>
      <c r="L155" s="4"/>
      <c r="M155" s="4"/>
      <c r="N155" s="4"/>
      <c r="O155" s="4"/>
      <c r="P155" s="4"/>
      <c r="Q155" s="4"/>
      <c r="R155" s="4"/>
      <c r="S155" s="4"/>
      <c r="T155" s="4"/>
      <c r="U155" s="4"/>
    </row>
    <row r="156" ht="15.75" customHeight="1">
      <c r="A156" s="4"/>
      <c r="B156" s="4"/>
      <c r="C156" s="4"/>
      <c r="D156" s="4"/>
      <c r="E156" s="4"/>
      <c r="F156" s="4"/>
      <c r="G156" s="4"/>
      <c r="H156" s="4"/>
      <c r="I156" s="4"/>
      <c r="J156" s="4"/>
      <c r="K156" s="4"/>
      <c r="L156" s="4"/>
      <c r="M156" s="4"/>
      <c r="N156" s="4"/>
      <c r="O156" s="4"/>
      <c r="P156" s="4"/>
      <c r="Q156" s="4"/>
      <c r="R156" s="4"/>
      <c r="S156" s="4"/>
      <c r="T156" s="4"/>
      <c r="U156" s="4"/>
    </row>
    <row r="157" ht="15.75" customHeight="1">
      <c r="A157" s="4"/>
      <c r="B157" s="4"/>
      <c r="C157" s="4"/>
      <c r="D157" s="4"/>
      <c r="E157" s="4"/>
      <c r="F157" s="4"/>
      <c r="G157" s="4"/>
      <c r="H157" s="4"/>
      <c r="I157" s="4"/>
      <c r="J157" s="4"/>
      <c r="K157" s="4"/>
      <c r="L157" s="4"/>
      <c r="M157" s="4"/>
      <c r="N157" s="4"/>
      <c r="O157" s="4"/>
      <c r="P157" s="4"/>
      <c r="Q157" s="4"/>
      <c r="R157" s="4"/>
      <c r="S157" s="4"/>
      <c r="T157" s="4"/>
      <c r="U157" s="4"/>
    </row>
    <row r="158" ht="15.75" customHeight="1">
      <c r="A158" s="4"/>
      <c r="B158" s="4"/>
      <c r="C158" s="4"/>
      <c r="D158" s="4"/>
      <c r="E158" s="4"/>
      <c r="F158" s="4"/>
      <c r="G158" s="4"/>
      <c r="H158" s="4"/>
      <c r="I158" s="4"/>
      <c r="J158" s="4"/>
      <c r="K158" s="4"/>
      <c r="L158" s="4"/>
      <c r="M158" s="4"/>
      <c r="N158" s="4"/>
      <c r="O158" s="4"/>
      <c r="P158" s="4"/>
      <c r="Q158" s="4"/>
      <c r="R158" s="4"/>
      <c r="S158" s="4"/>
      <c r="T158" s="4"/>
      <c r="U158" s="4"/>
    </row>
    <row r="159" ht="15.75" customHeight="1">
      <c r="A159" s="4"/>
      <c r="B159" s="4"/>
      <c r="C159" s="4"/>
      <c r="D159" s="4"/>
      <c r="E159" s="4"/>
      <c r="F159" s="4"/>
      <c r="G159" s="4"/>
      <c r="H159" s="4"/>
      <c r="I159" s="4"/>
      <c r="J159" s="4"/>
      <c r="K159" s="4"/>
      <c r="L159" s="4"/>
      <c r="M159" s="4"/>
      <c r="N159" s="4"/>
      <c r="O159" s="4"/>
      <c r="P159" s="4"/>
      <c r="Q159" s="4"/>
      <c r="R159" s="4"/>
      <c r="S159" s="4"/>
      <c r="T159" s="4"/>
      <c r="U159" s="4"/>
    </row>
    <row r="160" ht="15.75" customHeight="1">
      <c r="A160" s="4"/>
      <c r="B160" s="4"/>
      <c r="C160" s="4"/>
      <c r="D160" s="4"/>
      <c r="E160" s="4"/>
      <c r="F160" s="4"/>
      <c r="G160" s="4"/>
      <c r="H160" s="4"/>
      <c r="I160" s="4"/>
      <c r="J160" s="4"/>
      <c r="K160" s="4"/>
      <c r="L160" s="4"/>
      <c r="M160" s="4"/>
      <c r="N160" s="4"/>
      <c r="O160" s="4"/>
      <c r="P160" s="4"/>
      <c r="Q160" s="4"/>
      <c r="R160" s="4"/>
      <c r="S160" s="4"/>
      <c r="T160" s="4"/>
      <c r="U160" s="4"/>
    </row>
    <row r="161" ht="15.75" customHeight="1">
      <c r="A161" s="4"/>
      <c r="B161" s="4"/>
      <c r="C161" s="4"/>
      <c r="D161" s="4"/>
      <c r="E161" s="4"/>
      <c r="F161" s="4"/>
      <c r="G161" s="4"/>
      <c r="H161" s="4"/>
      <c r="I161" s="4"/>
      <c r="J161" s="4"/>
      <c r="K161" s="4"/>
      <c r="L161" s="4"/>
      <c r="M161" s="4"/>
      <c r="N161" s="4"/>
      <c r="O161" s="4"/>
      <c r="P161" s="4"/>
      <c r="Q161" s="4"/>
      <c r="R161" s="4"/>
      <c r="S161" s="4"/>
      <c r="T161" s="4"/>
      <c r="U161" s="4"/>
    </row>
    <row r="162" ht="15.75" customHeight="1">
      <c r="A162" s="4"/>
      <c r="B162" s="4"/>
      <c r="C162" s="4"/>
      <c r="D162" s="4"/>
      <c r="E162" s="4"/>
      <c r="F162" s="4"/>
      <c r="G162" s="4"/>
      <c r="H162" s="4"/>
      <c r="I162" s="4"/>
      <c r="J162" s="4"/>
      <c r="K162" s="4"/>
      <c r="L162" s="4"/>
      <c r="M162" s="4"/>
      <c r="N162" s="4"/>
      <c r="O162" s="4"/>
      <c r="P162" s="4"/>
      <c r="Q162" s="4"/>
      <c r="R162" s="4"/>
      <c r="S162" s="4"/>
      <c r="T162" s="4"/>
      <c r="U162" s="4"/>
    </row>
    <row r="163" ht="15.75" customHeight="1">
      <c r="A163" s="4"/>
      <c r="B163" s="4"/>
      <c r="C163" s="4"/>
      <c r="D163" s="4"/>
      <c r="E163" s="4"/>
      <c r="F163" s="4"/>
      <c r="G163" s="4"/>
      <c r="H163" s="4"/>
      <c r="I163" s="4"/>
      <c r="J163" s="4"/>
      <c r="K163" s="4"/>
      <c r="L163" s="4"/>
      <c r="M163" s="4"/>
      <c r="N163" s="4"/>
      <c r="O163" s="4"/>
      <c r="P163" s="4"/>
      <c r="Q163" s="4"/>
      <c r="R163" s="4"/>
      <c r="S163" s="4"/>
      <c r="T163" s="4"/>
      <c r="U163" s="4"/>
    </row>
    <row r="164" ht="15.75" customHeight="1">
      <c r="A164" s="4"/>
      <c r="B164" s="4"/>
      <c r="C164" s="4"/>
      <c r="D164" s="4"/>
      <c r="E164" s="4"/>
      <c r="F164" s="4"/>
      <c r="G164" s="4"/>
      <c r="H164" s="4"/>
      <c r="I164" s="4"/>
      <c r="J164" s="4"/>
      <c r="K164" s="4"/>
      <c r="L164" s="4"/>
      <c r="M164" s="4"/>
      <c r="N164" s="4"/>
      <c r="O164" s="4"/>
      <c r="P164" s="4"/>
      <c r="Q164" s="4"/>
      <c r="R164" s="4"/>
      <c r="S164" s="4"/>
      <c r="T164" s="4"/>
      <c r="U164" s="4"/>
    </row>
    <row r="165" ht="15.75" customHeight="1">
      <c r="A165" s="4"/>
      <c r="B165" s="4"/>
      <c r="C165" s="4"/>
      <c r="D165" s="4"/>
      <c r="E165" s="4"/>
      <c r="F165" s="4"/>
      <c r="G165" s="4"/>
      <c r="H165" s="4"/>
      <c r="I165" s="4"/>
      <c r="J165" s="4"/>
      <c r="K165" s="4"/>
      <c r="L165" s="4"/>
      <c r="M165" s="4"/>
      <c r="N165" s="4"/>
      <c r="O165" s="4"/>
      <c r="P165" s="4"/>
      <c r="Q165" s="4"/>
      <c r="R165" s="4"/>
      <c r="S165" s="4"/>
      <c r="T165" s="4"/>
      <c r="U165" s="4"/>
    </row>
    <row r="166" ht="15.75" customHeight="1">
      <c r="A166" s="4"/>
      <c r="B166" s="4"/>
      <c r="C166" s="4"/>
      <c r="D166" s="4"/>
      <c r="E166" s="4"/>
      <c r="F166" s="4"/>
      <c r="G166" s="4"/>
      <c r="H166" s="4"/>
      <c r="I166" s="4"/>
      <c r="J166" s="4"/>
      <c r="K166" s="4"/>
      <c r="L166" s="4"/>
      <c r="M166" s="4"/>
      <c r="N166" s="4"/>
      <c r="O166" s="4"/>
      <c r="P166" s="4"/>
      <c r="Q166" s="4"/>
      <c r="R166" s="4"/>
      <c r="S166" s="4"/>
      <c r="T166" s="4"/>
      <c r="U166" s="4"/>
    </row>
    <row r="167" ht="15.75" customHeight="1">
      <c r="A167" s="4"/>
      <c r="B167" s="4"/>
      <c r="C167" s="4"/>
      <c r="D167" s="4"/>
      <c r="E167" s="4"/>
      <c r="F167" s="4"/>
      <c r="G167" s="4"/>
      <c r="H167" s="4"/>
      <c r="I167" s="4"/>
      <c r="J167" s="4"/>
      <c r="K167" s="4"/>
      <c r="L167" s="4"/>
      <c r="M167" s="4"/>
      <c r="N167" s="4"/>
      <c r="O167" s="4"/>
      <c r="P167" s="4"/>
      <c r="Q167" s="4"/>
      <c r="R167" s="4"/>
      <c r="S167" s="4"/>
      <c r="T167" s="4"/>
      <c r="U167" s="4"/>
    </row>
    <row r="168" ht="15.75" customHeight="1">
      <c r="A168" s="4"/>
      <c r="B168" s="4"/>
      <c r="C168" s="4"/>
      <c r="D168" s="4"/>
      <c r="E168" s="4"/>
      <c r="F168" s="4"/>
      <c r="G168" s="4"/>
      <c r="H168" s="4"/>
      <c r="I168" s="4"/>
      <c r="J168" s="4"/>
      <c r="K168" s="4"/>
      <c r="L168" s="4"/>
      <c r="M168" s="4"/>
      <c r="N168" s="4"/>
      <c r="O168" s="4"/>
      <c r="P168" s="4"/>
      <c r="Q168" s="4"/>
      <c r="R168" s="4"/>
      <c r="S168" s="4"/>
      <c r="T168" s="4"/>
      <c r="U168" s="4"/>
    </row>
    <row r="169" ht="15.75" customHeight="1">
      <c r="A169" s="4"/>
      <c r="B169" s="4"/>
      <c r="C169" s="4"/>
      <c r="D169" s="4"/>
      <c r="E169" s="4"/>
      <c r="F169" s="4"/>
      <c r="G169" s="4"/>
      <c r="H169" s="4"/>
      <c r="I169" s="4"/>
      <c r="J169" s="4"/>
      <c r="K169" s="4"/>
      <c r="L169" s="4"/>
      <c r="M169" s="4"/>
      <c r="N169" s="4"/>
      <c r="O169" s="4"/>
      <c r="P169" s="4"/>
      <c r="Q169" s="4"/>
      <c r="R169" s="4"/>
      <c r="S169" s="4"/>
      <c r="T169" s="4"/>
      <c r="U169" s="4"/>
    </row>
    <row r="170" ht="15.75" customHeight="1">
      <c r="A170" s="4"/>
      <c r="B170" s="4"/>
      <c r="C170" s="4"/>
      <c r="D170" s="4"/>
      <c r="E170" s="4"/>
      <c r="F170" s="4"/>
      <c r="G170" s="4"/>
      <c r="H170" s="4"/>
      <c r="I170" s="4"/>
      <c r="J170" s="4"/>
      <c r="K170" s="4"/>
      <c r="L170" s="4"/>
      <c r="M170" s="4"/>
      <c r="N170" s="4"/>
      <c r="O170" s="4"/>
      <c r="P170" s="4"/>
      <c r="Q170" s="4"/>
      <c r="R170" s="4"/>
      <c r="S170" s="4"/>
      <c r="T170" s="4"/>
      <c r="U170" s="4"/>
    </row>
    <row r="171" ht="15.75" customHeight="1">
      <c r="A171" s="4"/>
      <c r="B171" s="4"/>
      <c r="C171" s="4"/>
      <c r="D171" s="4"/>
      <c r="E171" s="4"/>
      <c r="F171" s="4"/>
      <c r="G171" s="4"/>
      <c r="H171" s="4"/>
      <c r="I171" s="4"/>
      <c r="J171" s="4"/>
      <c r="K171" s="4"/>
      <c r="L171" s="4"/>
      <c r="M171" s="4"/>
      <c r="N171" s="4"/>
      <c r="O171" s="4"/>
      <c r="P171" s="4"/>
      <c r="Q171" s="4"/>
      <c r="R171" s="4"/>
      <c r="S171" s="4"/>
      <c r="T171" s="4"/>
      <c r="U171" s="4"/>
    </row>
    <row r="172" ht="15.75" customHeight="1">
      <c r="A172" s="4"/>
      <c r="B172" s="4"/>
      <c r="C172" s="4"/>
      <c r="D172" s="4"/>
      <c r="E172" s="4"/>
      <c r="F172" s="4"/>
      <c r="G172" s="4"/>
      <c r="H172" s="4"/>
      <c r="I172" s="4"/>
      <c r="J172" s="4"/>
      <c r="K172" s="4"/>
      <c r="L172" s="4"/>
      <c r="M172" s="4"/>
      <c r="N172" s="4"/>
      <c r="O172" s="4"/>
      <c r="P172" s="4"/>
      <c r="Q172" s="4"/>
      <c r="R172" s="4"/>
      <c r="S172" s="4"/>
      <c r="T172" s="4"/>
      <c r="U172" s="4"/>
    </row>
    <row r="173" ht="15.75" customHeight="1">
      <c r="A173" s="4"/>
      <c r="B173" s="4"/>
      <c r="C173" s="4"/>
      <c r="D173" s="4"/>
      <c r="E173" s="4"/>
      <c r="F173" s="4"/>
      <c r="G173" s="4"/>
      <c r="H173" s="4"/>
      <c r="I173" s="4"/>
      <c r="J173" s="4"/>
      <c r="K173" s="4"/>
      <c r="L173" s="4"/>
      <c r="M173" s="4"/>
      <c r="N173" s="4"/>
      <c r="O173" s="4"/>
      <c r="P173" s="4"/>
      <c r="Q173" s="4"/>
      <c r="R173" s="4"/>
      <c r="S173" s="4"/>
      <c r="T173" s="4"/>
      <c r="U173" s="4"/>
    </row>
    <row r="174" ht="15.75" customHeight="1">
      <c r="A174" s="4"/>
      <c r="B174" s="4"/>
      <c r="C174" s="4"/>
      <c r="D174" s="4"/>
      <c r="E174" s="4"/>
      <c r="F174" s="4"/>
      <c r="G174" s="4"/>
      <c r="H174" s="4"/>
      <c r="I174" s="4"/>
      <c r="J174" s="4"/>
      <c r="K174" s="4"/>
      <c r="L174" s="4"/>
      <c r="M174" s="4"/>
      <c r="N174" s="4"/>
      <c r="O174" s="4"/>
      <c r="P174" s="4"/>
      <c r="Q174" s="4"/>
      <c r="R174" s="4"/>
      <c r="S174" s="4"/>
      <c r="T174" s="4"/>
      <c r="U174" s="4"/>
    </row>
    <row r="175" ht="15.75" customHeight="1">
      <c r="A175" s="4"/>
      <c r="B175" s="4"/>
      <c r="C175" s="4"/>
      <c r="D175" s="4"/>
      <c r="E175" s="4"/>
      <c r="F175" s="4"/>
      <c r="G175" s="4"/>
      <c r="H175" s="4"/>
      <c r="I175" s="4"/>
      <c r="J175" s="4"/>
      <c r="K175" s="4"/>
      <c r="L175" s="4"/>
      <c r="M175" s="4"/>
      <c r="N175" s="4"/>
      <c r="O175" s="4"/>
      <c r="P175" s="4"/>
      <c r="Q175" s="4"/>
      <c r="R175" s="4"/>
      <c r="S175" s="4"/>
      <c r="T175" s="4"/>
      <c r="U175" s="4"/>
    </row>
    <row r="176" ht="15.75" customHeight="1">
      <c r="A176" s="4"/>
      <c r="B176" s="4"/>
      <c r="C176" s="4"/>
      <c r="D176" s="4"/>
      <c r="E176" s="4"/>
      <c r="F176" s="4"/>
      <c r="G176" s="4"/>
      <c r="H176" s="4"/>
      <c r="I176" s="4"/>
      <c r="J176" s="4"/>
      <c r="K176" s="4"/>
      <c r="L176" s="4"/>
      <c r="M176" s="4"/>
      <c r="N176" s="4"/>
      <c r="O176" s="4"/>
      <c r="P176" s="4"/>
      <c r="Q176" s="4"/>
      <c r="R176" s="4"/>
      <c r="S176" s="4"/>
      <c r="T176" s="4"/>
      <c r="U176" s="4"/>
    </row>
    <row r="177" ht="15.75" customHeight="1">
      <c r="A177" s="4"/>
      <c r="B177" s="4"/>
      <c r="C177" s="4"/>
      <c r="D177" s="4"/>
      <c r="E177" s="4"/>
      <c r="F177" s="4"/>
      <c r="G177" s="4"/>
      <c r="H177" s="4"/>
      <c r="I177" s="4"/>
      <c r="J177" s="4"/>
      <c r="K177" s="4"/>
      <c r="L177" s="4"/>
      <c r="M177" s="4"/>
      <c r="N177" s="4"/>
      <c r="O177" s="4"/>
      <c r="P177" s="4"/>
      <c r="Q177" s="4"/>
      <c r="R177" s="4"/>
      <c r="S177" s="4"/>
      <c r="T177" s="4"/>
      <c r="U177" s="4"/>
    </row>
    <row r="178" ht="15.75" customHeight="1">
      <c r="A178" s="4"/>
      <c r="B178" s="4"/>
      <c r="C178" s="4"/>
      <c r="D178" s="4"/>
      <c r="E178" s="4"/>
      <c r="F178" s="4"/>
      <c r="G178" s="4"/>
      <c r="H178" s="4"/>
      <c r="I178" s="4"/>
      <c r="J178" s="4"/>
      <c r="K178" s="4"/>
      <c r="L178" s="4"/>
      <c r="M178" s="4"/>
      <c r="N178" s="4"/>
      <c r="O178" s="4"/>
      <c r="P178" s="4"/>
      <c r="Q178" s="4"/>
      <c r="R178" s="4"/>
      <c r="S178" s="4"/>
      <c r="T178" s="4"/>
      <c r="U178" s="4"/>
    </row>
    <row r="179" ht="15.75" customHeight="1">
      <c r="A179" s="4"/>
      <c r="B179" s="4"/>
      <c r="C179" s="4"/>
      <c r="D179" s="4"/>
      <c r="E179" s="4"/>
      <c r="F179" s="4"/>
      <c r="G179" s="4"/>
      <c r="H179" s="4"/>
      <c r="I179" s="4"/>
      <c r="J179" s="4"/>
      <c r="K179" s="4"/>
      <c r="L179" s="4"/>
      <c r="M179" s="4"/>
      <c r="N179" s="4"/>
      <c r="O179" s="4"/>
      <c r="P179" s="4"/>
      <c r="Q179" s="4"/>
      <c r="R179" s="4"/>
      <c r="S179" s="4"/>
      <c r="T179" s="4"/>
      <c r="U179" s="4"/>
    </row>
    <row r="180" ht="15.75" customHeight="1">
      <c r="A180" s="4"/>
      <c r="B180" s="4"/>
      <c r="C180" s="4"/>
      <c r="D180" s="4"/>
      <c r="E180" s="4"/>
      <c r="F180" s="4"/>
      <c r="G180" s="4"/>
      <c r="H180" s="4"/>
      <c r="I180" s="4"/>
      <c r="J180" s="4"/>
      <c r="K180" s="4"/>
      <c r="L180" s="4"/>
      <c r="M180" s="4"/>
      <c r="N180" s="4"/>
      <c r="O180" s="4"/>
      <c r="P180" s="4"/>
      <c r="Q180" s="4"/>
      <c r="R180" s="4"/>
      <c r="S180" s="4"/>
      <c r="T180" s="4"/>
      <c r="U180" s="4"/>
    </row>
    <row r="181" ht="15.75" customHeight="1">
      <c r="A181" s="4"/>
      <c r="B181" s="4"/>
      <c r="C181" s="4"/>
      <c r="D181" s="4"/>
      <c r="E181" s="4"/>
      <c r="F181" s="4"/>
      <c r="G181" s="4"/>
      <c r="H181" s="4"/>
      <c r="I181" s="4"/>
      <c r="J181" s="4"/>
      <c r="K181" s="4"/>
      <c r="L181" s="4"/>
      <c r="M181" s="4"/>
      <c r="N181" s="4"/>
      <c r="O181" s="4"/>
      <c r="P181" s="4"/>
      <c r="Q181" s="4"/>
      <c r="R181" s="4"/>
      <c r="S181" s="4"/>
      <c r="T181" s="4"/>
      <c r="U181" s="4"/>
    </row>
    <row r="182" ht="15.75" customHeight="1">
      <c r="A182" s="4"/>
      <c r="B182" s="4"/>
      <c r="C182" s="4"/>
      <c r="D182" s="4"/>
      <c r="E182" s="4"/>
      <c r="F182" s="4"/>
      <c r="G182" s="4"/>
      <c r="H182" s="4"/>
      <c r="I182" s="4"/>
      <c r="J182" s="4"/>
      <c r="K182" s="4"/>
      <c r="L182" s="4"/>
      <c r="M182" s="4"/>
      <c r="N182" s="4"/>
      <c r="O182" s="4"/>
      <c r="P182" s="4"/>
      <c r="Q182" s="4"/>
      <c r="R182" s="4"/>
      <c r="S182" s="4"/>
      <c r="T182" s="4"/>
      <c r="U182" s="4"/>
    </row>
    <row r="183" ht="15.75" customHeight="1">
      <c r="A183" s="4"/>
      <c r="B183" s="4"/>
      <c r="C183" s="4"/>
      <c r="D183" s="4"/>
      <c r="E183" s="4"/>
      <c r="F183" s="4"/>
      <c r="G183" s="4"/>
      <c r="H183" s="4"/>
      <c r="I183" s="4"/>
      <c r="J183" s="4"/>
      <c r="K183" s="4"/>
      <c r="L183" s="4"/>
      <c r="M183" s="4"/>
      <c r="N183" s="4"/>
      <c r="O183" s="4"/>
      <c r="P183" s="4"/>
      <c r="Q183" s="4"/>
      <c r="R183" s="4"/>
      <c r="S183" s="4"/>
      <c r="T183" s="4"/>
      <c r="U183" s="4"/>
    </row>
    <row r="184" ht="15.75" customHeight="1">
      <c r="A184" s="4"/>
      <c r="B184" s="4"/>
      <c r="C184" s="4"/>
      <c r="D184" s="4"/>
      <c r="E184" s="4"/>
      <c r="F184" s="4"/>
      <c r="G184" s="4"/>
      <c r="H184" s="4"/>
      <c r="I184" s="4"/>
      <c r="J184" s="4"/>
      <c r="K184" s="4"/>
      <c r="L184" s="4"/>
      <c r="M184" s="4"/>
      <c r="N184" s="4"/>
      <c r="O184" s="4"/>
      <c r="P184" s="4"/>
      <c r="Q184" s="4"/>
      <c r="R184" s="4"/>
      <c r="S184" s="4"/>
      <c r="T184" s="4"/>
      <c r="U184" s="4"/>
    </row>
    <row r="185" ht="15.75" customHeight="1">
      <c r="A185" s="4"/>
      <c r="B185" s="4"/>
      <c r="C185" s="4"/>
      <c r="D185" s="4"/>
      <c r="E185" s="4"/>
      <c r="F185" s="4"/>
      <c r="G185" s="4"/>
      <c r="H185" s="4"/>
      <c r="I185" s="4"/>
      <c r="J185" s="4"/>
      <c r="K185" s="4"/>
      <c r="L185" s="4"/>
      <c r="M185" s="4"/>
      <c r="N185" s="4"/>
      <c r="O185" s="4"/>
      <c r="P185" s="4"/>
      <c r="Q185" s="4"/>
      <c r="R185" s="4"/>
      <c r="S185" s="4"/>
      <c r="T185" s="4"/>
      <c r="U185" s="4"/>
    </row>
    <row r="186" ht="15.75" customHeight="1">
      <c r="A186" s="4"/>
      <c r="B186" s="4"/>
      <c r="C186" s="4"/>
      <c r="D186" s="4"/>
      <c r="E186" s="4"/>
      <c r="F186" s="4"/>
      <c r="G186" s="4"/>
      <c r="H186" s="4"/>
      <c r="I186" s="4"/>
      <c r="J186" s="4"/>
      <c r="K186" s="4"/>
      <c r="L186" s="4"/>
      <c r="M186" s="4"/>
      <c r="N186" s="4"/>
      <c r="O186" s="4"/>
      <c r="P186" s="4"/>
      <c r="Q186" s="4"/>
      <c r="R186" s="4"/>
      <c r="S186" s="4"/>
      <c r="T186" s="4"/>
      <c r="U186" s="4"/>
    </row>
    <row r="187" ht="15.75" customHeight="1">
      <c r="A187" s="4"/>
      <c r="B187" s="4"/>
      <c r="C187" s="4"/>
      <c r="D187" s="4"/>
      <c r="E187" s="4"/>
      <c r="F187" s="4"/>
      <c r="G187" s="4"/>
      <c r="H187" s="4"/>
      <c r="I187" s="4"/>
      <c r="J187" s="4"/>
      <c r="K187" s="4"/>
      <c r="L187" s="4"/>
      <c r="M187" s="4"/>
      <c r="N187" s="4"/>
      <c r="O187" s="4"/>
      <c r="P187" s="4"/>
      <c r="Q187" s="4"/>
      <c r="R187" s="4"/>
      <c r="S187" s="4"/>
      <c r="T187" s="4"/>
      <c r="U187" s="4"/>
    </row>
    <row r="188" ht="15.75" customHeight="1">
      <c r="A188" s="4"/>
      <c r="B188" s="4"/>
      <c r="C188" s="4"/>
      <c r="D188" s="4"/>
      <c r="E188" s="4"/>
      <c r="F188" s="4"/>
      <c r="G188" s="4"/>
      <c r="H188" s="4"/>
      <c r="I188" s="4"/>
      <c r="J188" s="4"/>
      <c r="K188" s="4"/>
      <c r="L188" s="4"/>
      <c r="M188" s="4"/>
      <c r="N188" s="4"/>
      <c r="O188" s="4"/>
      <c r="P188" s="4"/>
      <c r="Q188" s="4"/>
      <c r="R188" s="4"/>
      <c r="S188" s="4"/>
      <c r="T188" s="4"/>
      <c r="U188" s="4"/>
    </row>
    <row r="189" ht="15.75" customHeight="1">
      <c r="A189" s="4"/>
      <c r="B189" s="4"/>
      <c r="C189" s="4"/>
      <c r="D189" s="4"/>
      <c r="E189" s="4"/>
      <c r="F189" s="4"/>
      <c r="G189" s="4"/>
      <c r="H189" s="4"/>
      <c r="I189" s="4"/>
      <c r="J189" s="4"/>
      <c r="K189" s="4"/>
      <c r="L189" s="4"/>
      <c r="M189" s="4"/>
      <c r="N189" s="4"/>
      <c r="O189" s="4"/>
      <c r="P189" s="4"/>
      <c r="Q189" s="4"/>
      <c r="R189" s="4"/>
      <c r="S189" s="4"/>
      <c r="T189" s="4"/>
      <c r="U189" s="4"/>
    </row>
    <row r="190" ht="15.75" customHeight="1">
      <c r="A190" s="4"/>
      <c r="B190" s="4"/>
      <c r="C190" s="4"/>
      <c r="D190" s="4"/>
      <c r="E190" s="4"/>
      <c r="F190" s="4"/>
      <c r="G190" s="4"/>
      <c r="H190" s="4"/>
      <c r="I190" s="4"/>
      <c r="J190" s="4"/>
      <c r="K190" s="4"/>
      <c r="L190" s="4"/>
      <c r="M190" s="4"/>
      <c r="N190" s="4"/>
      <c r="O190" s="4"/>
      <c r="P190" s="4"/>
      <c r="Q190" s="4"/>
      <c r="R190" s="4"/>
      <c r="S190" s="4"/>
      <c r="T190" s="4"/>
      <c r="U190" s="4"/>
    </row>
    <row r="191" ht="15.75" customHeight="1">
      <c r="A191" s="4"/>
      <c r="B191" s="4"/>
      <c r="C191" s="4"/>
      <c r="D191" s="4"/>
      <c r="E191" s="4"/>
      <c r="F191" s="4"/>
      <c r="G191" s="4"/>
      <c r="H191" s="4"/>
      <c r="I191" s="4"/>
      <c r="J191" s="4"/>
      <c r="K191" s="4"/>
      <c r="L191" s="4"/>
      <c r="M191" s="4"/>
      <c r="N191" s="4"/>
      <c r="O191" s="4"/>
      <c r="P191" s="4"/>
      <c r="Q191" s="4"/>
      <c r="R191" s="4"/>
      <c r="S191" s="4"/>
      <c r="T191" s="4"/>
      <c r="U191" s="4"/>
    </row>
    <row r="192" ht="15.75" customHeight="1">
      <c r="A192" s="4"/>
      <c r="B192" s="4"/>
      <c r="C192" s="4"/>
      <c r="D192" s="4"/>
      <c r="E192" s="4"/>
      <c r="F192" s="4"/>
      <c r="G192" s="4"/>
      <c r="H192" s="4"/>
      <c r="I192" s="4"/>
      <c r="J192" s="4"/>
      <c r="K192" s="4"/>
      <c r="L192" s="4"/>
      <c r="M192" s="4"/>
      <c r="N192" s="4"/>
      <c r="O192" s="4"/>
      <c r="P192" s="4"/>
      <c r="Q192" s="4"/>
      <c r="R192" s="4"/>
      <c r="S192" s="4"/>
      <c r="T192" s="4"/>
      <c r="U192" s="4"/>
    </row>
    <row r="193" ht="15.75" customHeight="1">
      <c r="A193" s="4"/>
      <c r="B193" s="4"/>
      <c r="C193" s="4"/>
      <c r="D193" s="4"/>
      <c r="E193" s="4"/>
      <c r="F193" s="4"/>
      <c r="G193" s="4"/>
      <c r="H193" s="4"/>
      <c r="I193" s="4"/>
      <c r="J193" s="4"/>
      <c r="K193" s="4"/>
      <c r="L193" s="4"/>
      <c r="M193" s="4"/>
      <c r="N193" s="4"/>
      <c r="O193" s="4"/>
      <c r="P193" s="4"/>
      <c r="Q193" s="4"/>
      <c r="R193" s="4"/>
      <c r="S193" s="4"/>
      <c r="T193" s="4"/>
      <c r="U193" s="4"/>
    </row>
    <row r="194" ht="15.75" customHeight="1">
      <c r="A194" s="4"/>
      <c r="B194" s="4"/>
      <c r="C194" s="4"/>
      <c r="D194" s="4"/>
      <c r="E194" s="4"/>
      <c r="F194" s="4"/>
      <c r="G194" s="4"/>
      <c r="H194" s="4"/>
      <c r="I194" s="4"/>
      <c r="J194" s="4"/>
      <c r="K194" s="4"/>
      <c r="L194" s="4"/>
      <c r="M194" s="4"/>
      <c r="N194" s="4"/>
      <c r="O194" s="4"/>
      <c r="P194" s="4"/>
      <c r="Q194" s="4"/>
      <c r="R194" s="4"/>
      <c r="S194" s="4"/>
      <c r="T194" s="4"/>
      <c r="U194" s="4"/>
    </row>
    <row r="195" ht="15.75" customHeight="1">
      <c r="A195" s="4"/>
      <c r="B195" s="4"/>
      <c r="C195" s="4"/>
      <c r="D195" s="4"/>
      <c r="E195" s="4"/>
      <c r="F195" s="4"/>
      <c r="G195" s="4"/>
      <c r="H195" s="4"/>
      <c r="I195" s="4"/>
      <c r="J195" s="4"/>
      <c r="K195" s="4"/>
      <c r="L195" s="4"/>
      <c r="M195" s="4"/>
      <c r="N195" s="4"/>
      <c r="O195" s="4"/>
      <c r="P195" s="4"/>
      <c r="Q195" s="4"/>
      <c r="R195" s="4"/>
      <c r="S195" s="4"/>
      <c r="T195" s="4"/>
      <c r="U195" s="4"/>
    </row>
    <row r="196" ht="15.75" customHeight="1">
      <c r="A196" s="4"/>
      <c r="B196" s="4"/>
      <c r="C196" s="4"/>
      <c r="D196" s="4"/>
      <c r="E196" s="4"/>
      <c r="F196" s="4"/>
      <c r="G196" s="4"/>
      <c r="H196" s="4"/>
      <c r="I196" s="4"/>
      <c r="J196" s="4"/>
      <c r="K196" s="4"/>
      <c r="L196" s="4"/>
      <c r="M196" s="4"/>
      <c r="N196" s="4"/>
      <c r="O196" s="4"/>
      <c r="P196" s="4"/>
      <c r="Q196" s="4"/>
      <c r="R196" s="4"/>
      <c r="S196" s="4"/>
      <c r="T196" s="4"/>
      <c r="U196" s="4"/>
    </row>
    <row r="197" ht="15.75" customHeight="1">
      <c r="A197" s="4"/>
      <c r="B197" s="4"/>
      <c r="C197" s="4"/>
      <c r="D197" s="4"/>
      <c r="E197" s="4"/>
      <c r="F197" s="4"/>
      <c r="G197" s="4"/>
      <c r="H197" s="4"/>
      <c r="I197" s="4"/>
      <c r="J197" s="4"/>
      <c r="K197" s="4"/>
      <c r="L197" s="4"/>
      <c r="M197" s="4"/>
      <c r="N197" s="4"/>
      <c r="O197" s="4"/>
      <c r="P197" s="4"/>
      <c r="Q197" s="4"/>
      <c r="R197" s="4"/>
      <c r="S197" s="4"/>
      <c r="T197" s="4"/>
      <c r="U197" s="4"/>
    </row>
    <row r="198" ht="15.75" customHeight="1">
      <c r="A198" s="4"/>
      <c r="B198" s="4"/>
      <c r="C198" s="4"/>
      <c r="D198" s="4"/>
      <c r="E198" s="4"/>
      <c r="F198" s="4"/>
      <c r="G198" s="4"/>
      <c r="H198" s="4"/>
      <c r="I198" s="4"/>
      <c r="J198" s="4"/>
      <c r="K198" s="4"/>
      <c r="L198" s="4"/>
      <c r="M198" s="4"/>
      <c r="N198" s="4"/>
      <c r="O198" s="4"/>
      <c r="P198" s="4"/>
      <c r="Q198" s="4"/>
      <c r="R198" s="4"/>
      <c r="S198" s="4"/>
      <c r="T198" s="4"/>
      <c r="U198" s="4"/>
    </row>
    <row r="199" ht="15.75" customHeight="1">
      <c r="A199" s="4"/>
      <c r="B199" s="4"/>
      <c r="C199" s="4"/>
      <c r="D199" s="4"/>
      <c r="E199" s="4"/>
      <c r="F199" s="4"/>
      <c r="G199" s="4"/>
      <c r="H199" s="4"/>
      <c r="I199" s="4"/>
      <c r="J199" s="4"/>
      <c r="K199" s="4"/>
      <c r="L199" s="4"/>
      <c r="M199" s="4"/>
      <c r="N199" s="4"/>
      <c r="O199" s="4"/>
      <c r="P199" s="4"/>
      <c r="Q199" s="4"/>
      <c r="R199" s="4"/>
      <c r="S199" s="4"/>
      <c r="T199" s="4"/>
      <c r="U199" s="4"/>
    </row>
    <row r="200" ht="15.75" customHeight="1">
      <c r="A200" s="4"/>
      <c r="B200" s="4"/>
      <c r="C200" s="4"/>
      <c r="D200" s="4"/>
      <c r="E200" s="4"/>
      <c r="F200" s="4"/>
      <c r="G200" s="4"/>
      <c r="H200" s="4"/>
      <c r="I200" s="4"/>
      <c r="J200" s="4"/>
      <c r="K200" s="4"/>
      <c r="L200" s="4"/>
      <c r="M200" s="4"/>
      <c r="N200" s="4"/>
      <c r="O200" s="4"/>
      <c r="P200" s="4"/>
      <c r="Q200" s="4"/>
      <c r="R200" s="4"/>
      <c r="S200" s="4"/>
      <c r="T200" s="4"/>
      <c r="U200" s="4"/>
    </row>
    <row r="201" ht="15.75" customHeight="1">
      <c r="A201" s="4"/>
      <c r="B201" s="4"/>
      <c r="C201" s="4"/>
      <c r="D201" s="4"/>
      <c r="E201" s="4"/>
      <c r="F201" s="4"/>
      <c r="G201" s="4"/>
      <c r="H201" s="4"/>
      <c r="I201" s="4"/>
      <c r="J201" s="4"/>
      <c r="K201" s="4"/>
      <c r="L201" s="4"/>
      <c r="M201" s="4"/>
      <c r="N201" s="4"/>
      <c r="O201" s="4"/>
      <c r="P201" s="4"/>
      <c r="Q201" s="4"/>
      <c r="R201" s="4"/>
      <c r="S201" s="4"/>
      <c r="T201" s="4"/>
      <c r="U201" s="4"/>
    </row>
    <row r="202" ht="15.75" customHeight="1">
      <c r="A202" s="4"/>
      <c r="B202" s="4"/>
      <c r="C202" s="4"/>
      <c r="D202" s="4"/>
      <c r="E202" s="4"/>
      <c r="F202" s="4"/>
      <c r="G202" s="4"/>
      <c r="H202" s="4"/>
      <c r="I202" s="4"/>
      <c r="J202" s="4"/>
      <c r="K202" s="4"/>
      <c r="L202" s="4"/>
      <c r="M202" s="4"/>
      <c r="N202" s="4"/>
      <c r="O202" s="4"/>
      <c r="P202" s="4"/>
      <c r="Q202" s="4"/>
      <c r="R202" s="4"/>
      <c r="S202" s="4"/>
      <c r="T202" s="4"/>
      <c r="U202" s="4"/>
    </row>
    <row r="203" ht="15.75" customHeight="1">
      <c r="A203" s="4"/>
      <c r="B203" s="4"/>
      <c r="C203" s="4"/>
      <c r="D203" s="4"/>
      <c r="E203" s="4"/>
      <c r="F203" s="4"/>
      <c r="G203" s="4"/>
      <c r="H203" s="4"/>
      <c r="I203" s="4"/>
      <c r="J203" s="4"/>
      <c r="K203" s="4"/>
      <c r="L203" s="4"/>
      <c r="M203" s="4"/>
      <c r="N203" s="4"/>
      <c r="O203" s="4"/>
      <c r="P203" s="4"/>
      <c r="Q203" s="4"/>
      <c r="R203" s="4"/>
      <c r="S203" s="4"/>
      <c r="T203" s="4"/>
      <c r="U203" s="4"/>
    </row>
    <row r="204" ht="15.75" customHeight="1">
      <c r="A204" s="4"/>
      <c r="B204" s="4"/>
      <c r="C204" s="4"/>
      <c r="D204" s="4"/>
      <c r="E204" s="4"/>
      <c r="F204" s="4"/>
      <c r="G204" s="4"/>
      <c r="H204" s="4"/>
      <c r="I204" s="4"/>
      <c r="J204" s="4"/>
      <c r="K204" s="4"/>
      <c r="L204" s="4"/>
      <c r="M204" s="4"/>
      <c r="N204" s="4"/>
      <c r="O204" s="4"/>
      <c r="P204" s="4"/>
      <c r="Q204" s="4"/>
      <c r="R204" s="4"/>
      <c r="S204" s="4"/>
      <c r="T204" s="4"/>
      <c r="U204" s="4"/>
    </row>
    <row r="205" ht="15.75" customHeight="1">
      <c r="A205" s="4"/>
      <c r="B205" s="4"/>
      <c r="C205" s="4"/>
      <c r="D205" s="4"/>
      <c r="E205" s="4"/>
      <c r="F205" s="4"/>
      <c r="G205" s="4"/>
      <c r="H205" s="4"/>
      <c r="I205" s="4"/>
      <c r="J205" s="4"/>
      <c r="K205" s="4"/>
      <c r="L205" s="4"/>
      <c r="M205" s="4"/>
      <c r="N205" s="4"/>
      <c r="O205" s="4"/>
      <c r="P205" s="4"/>
      <c r="Q205" s="4"/>
      <c r="R205" s="4"/>
      <c r="S205" s="4"/>
      <c r="T205" s="4"/>
      <c r="U205" s="4"/>
    </row>
    <row r="206" ht="15.75" customHeight="1">
      <c r="A206" s="4"/>
      <c r="B206" s="4"/>
      <c r="C206" s="4"/>
      <c r="D206" s="4"/>
      <c r="E206" s="4"/>
      <c r="F206" s="4"/>
      <c r="G206" s="4"/>
      <c r="H206" s="4"/>
      <c r="I206" s="4"/>
      <c r="J206" s="4"/>
      <c r="K206" s="4"/>
      <c r="L206" s="4"/>
      <c r="M206" s="4"/>
      <c r="N206" s="4"/>
      <c r="O206" s="4"/>
      <c r="P206" s="4"/>
      <c r="Q206" s="4"/>
      <c r="R206" s="4"/>
      <c r="S206" s="4"/>
      <c r="T206" s="4"/>
      <c r="U206" s="4"/>
    </row>
    <row r="207" ht="15.75" customHeight="1">
      <c r="A207" s="4"/>
      <c r="B207" s="4"/>
      <c r="C207" s="4"/>
      <c r="D207" s="4"/>
      <c r="E207" s="4"/>
      <c r="F207" s="4"/>
      <c r="G207" s="4"/>
      <c r="H207" s="4"/>
      <c r="I207" s="4"/>
      <c r="J207" s="4"/>
      <c r="K207" s="4"/>
      <c r="L207" s="4"/>
      <c r="M207" s="4"/>
      <c r="N207" s="4"/>
      <c r="O207" s="4"/>
      <c r="P207" s="4"/>
      <c r="Q207" s="4"/>
      <c r="R207" s="4"/>
      <c r="S207" s="4"/>
      <c r="T207" s="4"/>
      <c r="U207" s="4"/>
    </row>
    <row r="208" ht="15.75" customHeight="1">
      <c r="A208" s="4"/>
      <c r="B208" s="4"/>
      <c r="C208" s="4"/>
      <c r="D208" s="4"/>
      <c r="E208" s="4"/>
      <c r="F208" s="4"/>
      <c r="G208" s="4"/>
      <c r="H208" s="4"/>
      <c r="I208" s="4"/>
      <c r="J208" s="4"/>
      <c r="K208" s="4"/>
      <c r="L208" s="4"/>
      <c r="M208" s="4"/>
      <c r="N208" s="4"/>
      <c r="O208" s="4"/>
      <c r="P208" s="4"/>
      <c r="Q208" s="4"/>
      <c r="R208" s="4"/>
      <c r="S208" s="4"/>
      <c r="T208" s="4"/>
      <c r="U208" s="4"/>
    </row>
    <row r="209" ht="15.75" customHeight="1">
      <c r="A209" s="4"/>
      <c r="B209" s="4"/>
      <c r="C209" s="4"/>
      <c r="D209" s="4"/>
      <c r="E209" s="4"/>
      <c r="F209" s="4"/>
      <c r="G209" s="4"/>
      <c r="H209" s="4"/>
      <c r="I209" s="4"/>
      <c r="J209" s="4"/>
      <c r="K209" s="4"/>
      <c r="L209" s="4"/>
      <c r="M209" s="4"/>
      <c r="N209" s="4"/>
      <c r="O209" s="4"/>
      <c r="P209" s="4"/>
      <c r="Q209" s="4"/>
      <c r="R209" s="4"/>
      <c r="S209" s="4"/>
      <c r="T209" s="4"/>
      <c r="U209" s="4"/>
    </row>
    <row r="210" ht="15.75" customHeight="1">
      <c r="A210" s="4"/>
      <c r="B210" s="4"/>
      <c r="C210" s="4"/>
      <c r="D210" s="4"/>
      <c r="E210" s="4"/>
      <c r="F210" s="4"/>
      <c r="G210" s="4"/>
      <c r="H210" s="4"/>
      <c r="I210" s="4"/>
      <c r="J210" s="4"/>
      <c r="K210" s="4"/>
      <c r="L210" s="4"/>
      <c r="M210" s="4"/>
      <c r="N210" s="4"/>
      <c r="O210" s="4"/>
      <c r="P210" s="4"/>
      <c r="Q210" s="4"/>
      <c r="R210" s="4"/>
      <c r="S210" s="4"/>
      <c r="T210" s="4"/>
      <c r="U210" s="4"/>
    </row>
    <row r="211" ht="15.75" customHeight="1">
      <c r="A211" s="4"/>
      <c r="B211" s="4"/>
      <c r="C211" s="4"/>
      <c r="D211" s="4"/>
      <c r="E211" s="4"/>
      <c r="F211" s="4"/>
      <c r="G211" s="4"/>
      <c r="H211" s="4"/>
      <c r="I211" s="4"/>
      <c r="J211" s="4"/>
      <c r="K211" s="4"/>
      <c r="L211" s="4"/>
      <c r="M211" s="4"/>
      <c r="N211" s="4"/>
      <c r="O211" s="4"/>
      <c r="P211" s="4"/>
      <c r="Q211" s="4"/>
      <c r="R211" s="4"/>
      <c r="S211" s="4"/>
      <c r="T211" s="4"/>
      <c r="U211" s="4"/>
    </row>
    <row r="212" ht="15.75" customHeight="1">
      <c r="A212" s="4"/>
      <c r="B212" s="4"/>
      <c r="C212" s="4"/>
      <c r="D212" s="4"/>
      <c r="E212" s="4"/>
      <c r="F212" s="4"/>
      <c r="G212" s="4"/>
      <c r="H212" s="4"/>
      <c r="I212" s="4"/>
      <c r="J212" s="4"/>
      <c r="K212" s="4"/>
      <c r="L212" s="4"/>
      <c r="M212" s="4"/>
      <c r="N212" s="4"/>
      <c r="O212" s="4"/>
      <c r="P212" s="4"/>
      <c r="Q212" s="4"/>
      <c r="R212" s="4"/>
      <c r="S212" s="4"/>
      <c r="T212" s="4"/>
      <c r="U212" s="4"/>
    </row>
    <row r="213" ht="15.75" customHeight="1">
      <c r="A213" s="4"/>
      <c r="B213" s="4"/>
      <c r="C213" s="4"/>
      <c r="D213" s="4"/>
      <c r="E213" s="4"/>
      <c r="F213" s="4"/>
      <c r="G213" s="4"/>
      <c r="H213" s="4"/>
      <c r="I213" s="4"/>
      <c r="J213" s="4"/>
      <c r="K213" s="4"/>
      <c r="L213" s="4"/>
      <c r="M213" s="4"/>
      <c r="N213" s="4"/>
      <c r="O213" s="4"/>
      <c r="P213" s="4"/>
      <c r="Q213" s="4"/>
      <c r="R213" s="4"/>
      <c r="S213" s="4"/>
      <c r="T213" s="4"/>
      <c r="U213" s="4"/>
    </row>
    <row r="214" ht="15.75" customHeight="1">
      <c r="A214" s="4"/>
      <c r="B214" s="4"/>
      <c r="C214" s="4"/>
      <c r="D214" s="4"/>
      <c r="E214" s="4"/>
      <c r="F214" s="4"/>
      <c r="G214" s="4"/>
      <c r="H214" s="4"/>
      <c r="I214" s="4"/>
      <c r="J214" s="4"/>
      <c r="K214" s="4"/>
      <c r="L214" s="4"/>
      <c r="M214" s="4"/>
      <c r="N214" s="4"/>
      <c r="O214" s="4"/>
      <c r="P214" s="4"/>
      <c r="Q214" s="4"/>
      <c r="R214" s="4"/>
      <c r="S214" s="4"/>
      <c r="T214" s="4"/>
      <c r="U214" s="4"/>
    </row>
    <row r="215" ht="15.75" customHeight="1">
      <c r="A215" s="4"/>
      <c r="B215" s="4"/>
      <c r="C215" s="4"/>
      <c r="D215" s="4"/>
      <c r="E215" s="4"/>
      <c r="F215" s="4"/>
      <c r="G215" s="4"/>
      <c r="H215" s="4"/>
      <c r="I215" s="4"/>
      <c r="J215" s="4"/>
      <c r="K215" s="4"/>
      <c r="L215" s="4"/>
      <c r="M215" s="4"/>
      <c r="N215" s="4"/>
      <c r="O215" s="4"/>
      <c r="P215" s="4"/>
      <c r="Q215" s="4"/>
      <c r="R215" s="4"/>
      <c r="S215" s="4"/>
      <c r="T215" s="4"/>
      <c r="U215" s="4"/>
    </row>
    <row r="216" ht="15.75" customHeight="1">
      <c r="A216" s="4"/>
      <c r="B216" s="4"/>
      <c r="C216" s="4"/>
      <c r="D216" s="4"/>
      <c r="E216" s="4"/>
      <c r="F216" s="4"/>
      <c r="G216" s="4"/>
      <c r="H216" s="4"/>
      <c r="I216" s="4"/>
      <c r="J216" s="4"/>
      <c r="K216" s="4"/>
      <c r="L216" s="4"/>
      <c r="M216" s="4"/>
      <c r="N216" s="4"/>
      <c r="O216" s="4"/>
      <c r="P216" s="4"/>
      <c r="Q216" s="4"/>
      <c r="R216" s="4"/>
      <c r="S216" s="4"/>
      <c r="T216" s="4"/>
      <c r="U216" s="4"/>
    </row>
    <row r="217" ht="15.75" customHeight="1">
      <c r="A217" s="4"/>
      <c r="B217" s="4"/>
      <c r="C217" s="4"/>
      <c r="D217" s="4"/>
      <c r="E217" s="4"/>
      <c r="F217" s="4"/>
      <c r="G217" s="4"/>
      <c r="H217" s="4"/>
      <c r="I217" s="4"/>
      <c r="J217" s="4"/>
      <c r="K217" s="4"/>
      <c r="L217" s="4"/>
      <c r="M217" s="4"/>
      <c r="N217" s="4"/>
      <c r="O217" s="4"/>
      <c r="P217" s="4"/>
      <c r="Q217" s="4"/>
      <c r="R217" s="4"/>
      <c r="S217" s="4"/>
      <c r="T217" s="4"/>
      <c r="U217" s="4"/>
    </row>
    <row r="218" ht="15.75" customHeight="1">
      <c r="A218" s="4"/>
      <c r="B218" s="4"/>
      <c r="C218" s="4"/>
      <c r="D218" s="4"/>
      <c r="E218" s="4"/>
      <c r="F218" s="4"/>
      <c r="G218" s="4"/>
      <c r="H218" s="4"/>
      <c r="I218" s="4"/>
      <c r="J218" s="4"/>
      <c r="K218" s="4"/>
      <c r="L218" s="4"/>
      <c r="M218" s="4"/>
      <c r="N218" s="4"/>
      <c r="O218" s="4"/>
      <c r="P218" s="4"/>
      <c r="Q218" s="4"/>
      <c r="R218" s="4"/>
      <c r="S218" s="4"/>
      <c r="T218" s="4"/>
      <c r="U218" s="4"/>
    </row>
    <row r="219" ht="15.75" customHeight="1">
      <c r="A219" s="4"/>
      <c r="B219" s="4"/>
      <c r="C219" s="4"/>
      <c r="D219" s="4"/>
      <c r="E219" s="4"/>
      <c r="F219" s="4"/>
      <c r="G219" s="4"/>
      <c r="H219" s="4"/>
      <c r="I219" s="4"/>
      <c r="J219" s="4"/>
      <c r="K219" s="4"/>
      <c r="L219" s="4"/>
      <c r="M219" s="4"/>
      <c r="N219" s="4"/>
      <c r="O219" s="4"/>
      <c r="P219" s="4"/>
      <c r="Q219" s="4"/>
      <c r="R219" s="4"/>
      <c r="S219" s="4"/>
      <c r="T219" s="4"/>
      <c r="U219" s="4"/>
    </row>
    <row r="220" ht="15.75" customHeight="1">
      <c r="A220" s="4"/>
      <c r="B220" s="4"/>
      <c r="C220" s="4"/>
      <c r="D220" s="4"/>
      <c r="E220" s="4"/>
      <c r="F220" s="4"/>
      <c r="G220" s="4"/>
      <c r="H220" s="4"/>
      <c r="I220" s="4"/>
      <c r="J220" s="4"/>
      <c r="K220" s="4"/>
      <c r="L220" s="4"/>
      <c r="M220" s="4"/>
      <c r="N220" s="4"/>
      <c r="O220" s="4"/>
      <c r="P220" s="4"/>
      <c r="Q220" s="4"/>
      <c r="R220" s="4"/>
      <c r="S220" s="4"/>
      <c r="T220" s="4"/>
      <c r="U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workbookViewId="0"/>
  </sheetViews>
  <sheetFormatPr customHeight="1" defaultColWidth="12.63" defaultRowHeight="15.0"/>
  <cols>
    <col customWidth="1" min="1" max="1" width="11.75"/>
    <col customWidth="1" min="2" max="2" width="87.38"/>
    <col customWidth="1" min="3" max="3" width="12.25"/>
    <col customWidth="1" min="4" max="4" width="88.25"/>
    <col customWidth="1" min="5" max="24" width="8.0"/>
  </cols>
  <sheetData>
    <row r="1" ht="30.0" customHeight="1">
      <c r="A1" s="647"/>
      <c r="B1" s="648" t="s">
        <v>317</v>
      </c>
      <c r="C1" s="649"/>
      <c r="D1" s="648" t="s">
        <v>324</v>
      </c>
      <c r="E1" s="4"/>
      <c r="F1" s="4"/>
      <c r="G1" s="4"/>
      <c r="H1" s="4"/>
      <c r="I1" s="4"/>
      <c r="J1" s="4"/>
      <c r="K1" s="4"/>
      <c r="L1" s="4"/>
      <c r="M1" s="4"/>
      <c r="N1" s="4"/>
      <c r="O1" s="4"/>
      <c r="P1" s="4"/>
      <c r="Q1" s="4"/>
      <c r="R1" s="4"/>
      <c r="S1" s="4"/>
      <c r="T1" s="4"/>
      <c r="U1" s="4"/>
      <c r="V1" s="4"/>
      <c r="W1" s="4"/>
      <c r="X1" s="4"/>
    </row>
    <row r="2" ht="21.0" customHeight="1">
      <c r="A2" s="650"/>
      <c r="B2" s="4"/>
      <c r="C2" s="650"/>
      <c r="D2" s="4"/>
      <c r="E2" s="4"/>
      <c r="F2" s="4"/>
      <c r="G2" s="4"/>
      <c r="H2" s="4"/>
      <c r="I2" s="4"/>
      <c r="J2" s="4"/>
      <c r="K2" s="4"/>
      <c r="L2" s="4"/>
      <c r="M2" s="4"/>
      <c r="N2" s="4"/>
      <c r="O2" s="4"/>
      <c r="P2" s="4"/>
      <c r="Q2" s="4"/>
      <c r="R2" s="4"/>
      <c r="S2" s="4"/>
      <c r="T2" s="4"/>
      <c r="U2" s="4"/>
      <c r="V2" s="4"/>
      <c r="W2" s="4"/>
      <c r="X2" s="4"/>
    </row>
    <row r="3" ht="339.75" customHeight="1">
      <c r="A3" s="653" t="s">
        <v>8</v>
      </c>
      <c r="B3" s="654" t="s">
        <v>331</v>
      </c>
      <c r="C3" s="656" t="s">
        <v>38</v>
      </c>
      <c r="D3" s="654" t="s">
        <v>335</v>
      </c>
      <c r="E3" s="4"/>
      <c r="F3" s="4"/>
      <c r="G3" s="4"/>
      <c r="H3" s="4"/>
      <c r="I3" s="4"/>
      <c r="J3" s="4"/>
      <c r="K3" s="4"/>
      <c r="L3" s="4"/>
      <c r="M3" s="4"/>
      <c r="N3" s="4"/>
      <c r="O3" s="4"/>
      <c r="P3" s="4"/>
      <c r="Q3" s="4"/>
      <c r="R3" s="4"/>
      <c r="S3" s="4"/>
      <c r="T3" s="4"/>
      <c r="U3" s="4"/>
      <c r="V3" s="4"/>
      <c r="W3" s="4"/>
      <c r="X3" s="4"/>
    </row>
    <row r="4" ht="291.75" customHeight="1">
      <c r="A4" s="653" t="s">
        <v>315</v>
      </c>
      <c r="B4" s="655" t="s">
        <v>339</v>
      </c>
      <c r="C4" s="656" t="s">
        <v>11</v>
      </c>
      <c r="D4" s="654" t="s">
        <v>340</v>
      </c>
      <c r="E4" s="4"/>
      <c r="F4" s="4"/>
      <c r="G4" s="4"/>
      <c r="H4" s="4"/>
      <c r="I4" s="4"/>
      <c r="J4" s="4"/>
      <c r="K4" s="4"/>
      <c r="L4" s="4"/>
      <c r="M4" s="4"/>
      <c r="N4" s="4"/>
      <c r="O4" s="4"/>
      <c r="P4" s="4"/>
      <c r="Q4" s="4"/>
      <c r="R4" s="4"/>
      <c r="S4" s="4"/>
      <c r="T4" s="4"/>
      <c r="U4" s="4"/>
      <c r="V4" s="4"/>
      <c r="W4" s="4"/>
      <c r="X4" s="4"/>
    </row>
    <row r="5" ht="259.5" customHeight="1">
      <c r="A5" s="653" t="s">
        <v>69</v>
      </c>
      <c r="B5" s="654" t="s">
        <v>342</v>
      </c>
      <c r="C5" s="656" t="s">
        <v>319</v>
      </c>
      <c r="D5" s="654" t="s">
        <v>343</v>
      </c>
      <c r="E5" s="4"/>
      <c r="F5" s="4"/>
      <c r="G5" s="4"/>
      <c r="H5" s="4"/>
      <c r="I5" s="4"/>
      <c r="J5" s="4"/>
      <c r="K5" s="4"/>
      <c r="L5" s="4"/>
      <c r="M5" s="4"/>
      <c r="N5" s="4"/>
      <c r="O5" s="4"/>
      <c r="P5" s="4"/>
      <c r="Q5" s="4"/>
      <c r="R5" s="4"/>
      <c r="S5" s="4"/>
      <c r="T5" s="4"/>
      <c r="U5" s="4"/>
      <c r="V5" s="4"/>
      <c r="W5" s="4"/>
      <c r="X5" s="4"/>
    </row>
    <row r="6" ht="286.5" customHeight="1">
      <c r="A6" s="653" t="s">
        <v>321</v>
      </c>
      <c r="B6" s="654" t="s">
        <v>346</v>
      </c>
      <c r="C6" s="656" t="s">
        <v>64</v>
      </c>
      <c r="D6" s="654" t="s">
        <v>348</v>
      </c>
      <c r="E6" s="4"/>
      <c r="F6" s="4"/>
      <c r="G6" s="4"/>
      <c r="H6" s="4"/>
      <c r="I6" s="4"/>
      <c r="J6" s="4"/>
      <c r="K6" s="4"/>
      <c r="L6" s="4"/>
      <c r="M6" s="4"/>
      <c r="N6" s="4"/>
      <c r="O6" s="4"/>
      <c r="P6" s="4"/>
      <c r="Q6" s="4"/>
      <c r="R6" s="4"/>
      <c r="S6" s="4"/>
      <c r="T6" s="4"/>
      <c r="U6" s="4"/>
      <c r="V6" s="4"/>
      <c r="W6" s="4"/>
      <c r="X6" s="4"/>
    </row>
    <row r="7" ht="264.0" customHeight="1">
      <c r="A7" s="653" t="s">
        <v>169</v>
      </c>
      <c r="B7" s="654" t="s">
        <v>351</v>
      </c>
      <c r="C7" s="656" t="s">
        <v>39</v>
      </c>
      <c r="D7" s="654" t="s">
        <v>352</v>
      </c>
      <c r="E7" s="4"/>
      <c r="F7" s="4"/>
      <c r="G7" s="4"/>
      <c r="H7" s="4"/>
      <c r="I7" s="4"/>
      <c r="J7" s="4"/>
      <c r="K7" s="4"/>
      <c r="L7" s="4"/>
      <c r="M7" s="4"/>
      <c r="N7" s="4"/>
      <c r="O7" s="4"/>
      <c r="P7" s="4"/>
      <c r="Q7" s="4"/>
      <c r="R7" s="4"/>
      <c r="S7" s="4"/>
      <c r="T7" s="4"/>
      <c r="U7" s="4"/>
      <c r="V7" s="4"/>
      <c r="W7" s="4"/>
      <c r="X7" s="4"/>
    </row>
    <row r="8" ht="273.75" customHeight="1">
      <c r="A8" s="653" t="s">
        <v>152</v>
      </c>
      <c r="B8" s="654" t="s">
        <v>354</v>
      </c>
      <c r="C8" s="656" t="s">
        <v>312</v>
      </c>
      <c r="D8" s="654" t="s">
        <v>355</v>
      </c>
      <c r="E8" s="4"/>
      <c r="F8" s="4"/>
      <c r="G8" s="4"/>
      <c r="H8" s="4"/>
      <c r="I8" s="4"/>
      <c r="J8" s="4"/>
      <c r="K8" s="4"/>
      <c r="L8" s="4"/>
      <c r="M8" s="4"/>
      <c r="N8" s="4"/>
      <c r="O8" s="4"/>
      <c r="P8" s="4"/>
      <c r="Q8" s="4"/>
      <c r="R8" s="4"/>
      <c r="S8" s="4"/>
      <c r="T8" s="4"/>
      <c r="U8" s="4"/>
      <c r="V8" s="4"/>
      <c r="W8" s="4"/>
      <c r="X8" s="4"/>
    </row>
    <row r="9" ht="201.0" customHeight="1">
      <c r="A9" s="653" t="s">
        <v>148</v>
      </c>
      <c r="B9" s="654" t="s">
        <v>356</v>
      </c>
      <c r="C9" s="656" t="s">
        <v>308</v>
      </c>
      <c r="D9" s="654" t="s">
        <v>357</v>
      </c>
      <c r="E9" s="4"/>
      <c r="F9" s="4"/>
      <c r="G9" s="4"/>
      <c r="H9" s="4"/>
      <c r="I9" s="4"/>
      <c r="J9" s="4"/>
      <c r="K9" s="4"/>
      <c r="L9" s="4"/>
      <c r="M9" s="4"/>
      <c r="N9" s="4"/>
      <c r="O9" s="4"/>
      <c r="P9" s="4"/>
      <c r="Q9" s="4"/>
      <c r="R9" s="4"/>
      <c r="S9" s="4"/>
      <c r="T9" s="4"/>
      <c r="U9" s="4"/>
      <c r="V9" s="4"/>
      <c r="W9" s="4"/>
      <c r="X9" s="4"/>
    </row>
    <row r="10" ht="294.75" customHeight="1">
      <c r="A10" s="653" t="s">
        <v>151</v>
      </c>
      <c r="B10" s="654" t="s">
        <v>360</v>
      </c>
      <c r="C10" s="656" t="s">
        <v>333</v>
      </c>
      <c r="D10" s="654" t="s">
        <v>361</v>
      </c>
      <c r="E10" s="4"/>
      <c r="F10" s="4"/>
      <c r="G10" s="4"/>
      <c r="H10" s="4"/>
      <c r="I10" s="4"/>
      <c r="J10" s="4"/>
      <c r="K10" s="4"/>
      <c r="L10" s="4"/>
      <c r="M10" s="4"/>
      <c r="N10" s="4"/>
      <c r="O10" s="4"/>
      <c r="P10" s="4"/>
      <c r="Q10" s="4"/>
      <c r="R10" s="4"/>
      <c r="S10" s="4"/>
      <c r="T10" s="4"/>
      <c r="U10" s="4"/>
      <c r="V10" s="4"/>
      <c r="W10" s="4"/>
      <c r="X10" s="4"/>
    </row>
    <row r="11" ht="205.5" customHeight="1">
      <c r="A11" s="665" t="s">
        <v>350</v>
      </c>
      <c r="B11" s="655"/>
      <c r="C11" s="656" t="s">
        <v>337</v>
      </c>
      <c r="D11" s="654" t="s">
        <v>364</v>
      </c>
      <c r="E11" s="4"/>
      <c r="F11" s="4"/>
      <c r="G11" s="4"/>
      <c r="H11" s="4"/>
      <c r="I11" s="4"/>
      <c r="J11" s="4"/>
      <c r="K11" s="4"/>
      <c r="L11" s="4"/>
      <c r="M11" s="4"/>
      <c r="N11" s="4"/>
      <c r="O11" s="4"/>
      <c r="P11" s="4"/>
      <c r="Q11" s="4"/>
      <c r="R11" s="4"/>
      <c r="S11" s="4"/>
      <c r="T11" s="4"/>
      <c r="U11" s="4"/>
      <c r="V11" s="4"/>
      <c r="W11" s="4"/>
      <c r="X11" s="4"/>
    </row>
    <row r="12" ht="241.5" customHeight="1">
      <c r="A12" s="653" t="s">
        <v>336</v>
      </c>
      <c r="B12" s="654" t="s">
        <v>365</v>
      </c>
      <c r="C12" s="656" t="s">
        <v>366</v>
      </c>
      <c r="D12" s="655" t="s">
        <v>366</v>
      </c>
      <c r="E12" s="4"/>
      <c r="F12" s="4"/>
      <c r="G12" s="4"/>
      <c r="H12" s="4"/>
      <c r="I12" s="4"/>
      <c r="J12" s="4"/>
      <c r="K12" s="4"/>
      <c r="L12" s="4"/>
      <c r="M12" s="4"/>
      <c r="N12" s="4"/>
      <c r="O12" s="4"/>
      <c r="P12" s="4"/>
      <c r="Q12" s="4"/>
      <c r="R12" s="4"/>
      <c r="S12" s="4"/>
      <c r="T12" s="4"/>
      <c r="U12" s="4"/>
      <c r="V12" s="4"/>
      <c r="W12" s="4"/>
      <c r="X12" s="4"/>
    </row>
    <row r="13" ht="243.0" customHeight="1">
      <c r="A13" s="671" t="s">
        <v>338</v>
      </c>
      <c r="B13" s="655" t="s">
        <v>338</v>
      </c>
      <c r="C13" s="656" t="s">
        <v>85</v>
      </c>
      <c r="D13" s="654" t="s">
        <v>367</v>
      </c>
      <c r="E13" s="4"/>
      <c r="F13" s="4"/>
      <c r="G13" s="4"/>
      <c r="H13" s="4"/>
      <c r="I13" s="4"/>
      <c r="J13" s="4"/>
      <c r="K13" s="4"/>
      <c r="L13" s="4"/>
      <c r="M13" s="4"/>
      <c r="N13" s="4"/>
      <c r="O13" s="4"/>
      <c r="P13" s="4"/>
      <c r="Q13" s="4"/>
      <c r="R13" s="4"/>
      <c r="S13" s="4"/>
      <c r="T13" s="4"/>
      <c r="U13" s="4"/>
      <c r="V13" s="4"/>
      <c r="W13" s="4"/>
      <c r="X13" s="4"/>
    </row>
    <row r="14" ht="241.5" customHeight="1">
      <c r="A14" s="671" t="s">
        <v>368</v>
      </c>
      <c r="B14" s="655" t="s">
        <v>368</v>
      </c>
      <c r="C14" s="656" t="s">
        <v>84</v>
      </c>
      <c r="D14" s="654" t="s">
        <v>369</v>
      </c>
      <c r="E14" s="4"/>
      <c r="F14" s="4"/>
      <c r="G14" s="4"/>
      <c r="H14" s="4"/>
      <c r="I14" s="4"/>
      <c r="J14" s="4"/>
      <c r="K14" s="4"/>
      <c r="L14" s="4"/>
      <c r="M14" s="4"/>
      <c r="N14" s="4"/>
      <c r="O14" s="4"/>
      <c r="P14" s="4"/>
      <c r="Q14" s="4"/>
      <c r="R14" s="4"/>
      <c r="S14" s="4"/>
      <c r="T14" s="4"/>
      <c r="U14" s="4"/>
      <c r="V14" s="4"/>
      <c r="W14" s="4"/>
      <c r="X14" s="4"/>
    </row>
    <row r="15" ht="201.0" customHeight="1">
      <c r="A15" s="653" t="s">
        <v>122</v>
      </c>
      <c r="B15" s="654" t="s">
        <v>161</v>
      </c>
      <c r="C15" s="656" t="s">
        <v>359</v>
      </c>
      <c r="D15" s="654" t="s">
        <v>370</v>
      </c>
      <c r="E15" s="4"/>
      <c r="F15" s="4"/>
      <c r="G15" s="4"/>
      <c r="H15" s="4"/>
      <c r="I15" s="4"/>
      <c r="J15" s="4"/>
      <c r="K15" s="4"/>
      <c r="L15" s="4"/>
      <c r="M15" s="4"/>
      <c r="N15" s="4"/>
      <c r="O15" s="4"/>
      <c r="P15" s="4"/>
      <c r="Q15" s="4"/>
      <c r="R15" s="4"/>
      <c r="S15" s="4"/>
      <c r="T15" s="4"/>
      <c r="U15" s="4"/>
      <c r="V15" s="4"/>
      <c r="W15" s="4"/>
      <c r="X15" s="4"/>
    </row>
    <row r="16" ht="331.5" customHeight="1">
      <c r="A16" s="653" t="s">
        <v>164</v>
      </c>
      <c r="B16" s="654"/>
      <c r="C16" s="653" t="s">
        <v>349</v>
      </c>
      <c r="D16" s="674" t="s">
        <v>55</v>
      </c>
      <c r="E16" s="4"/>
      <c r="F16" s="4"/>
      <c r="G16" s="4"/>
      <c r="H16" s="4"/>
      <c r="I16" s="4"/>
      <c r="J16" s="4"/>
      <c r="K16" s="4"/>
      <c r="L16" s="4"/>
      <c r="M16" s="4"/>
      <c r="N16" s="4"/>
      <c r="O16" s="4"/>
      <c r="P16" s="4"/>
      <c r="Q16" s="4"/>
      <c r="R16" s="4"/>
      <c r="S16" s="4"/>
      <c r="T16" s="4"/>
      <c r="U16" s="4"/>
      <c r="V16" s="4"/>
      <c r="W16" s="4"/>
      <c r="X16" s="4"/>
    </row>
    <row r="17" ht="165.75" customHeight="1">
      <c r="A17" s="676" t="s">
        <v>344</v>
      </c>
      <c r="B17" s="677"/>
      <c r="C17" s="678" t="s">
        <v>41</v>
      </c>
      <c r="D17" s="679" t="s">
        <v>161</v>
      </c>
      <c r="E17" s="4"/>
      <c r="F17" s="4"/>
      <c r="G17" s="4"/>
      <c r="H17" s="4"/>
      <c r="I17" s="4"/>
      <c r="J17" s="4"/>
      <c r="K17" s="4"/>
      <c r="L17" s="4"/>
      <c r="M17" s="4"/>
      <c r="N17" s="4"/>
      <c r="O17" s="4"/>
      <c r="P17" s="4"/>
      <c r="Q17" s="4"/>
      <c r="R17" s="4"/>
      <c r="S17" s="4"/>
      <c r="T17" s="4"/>
      <c r="U17" s="4"/>
      <c r="V17" s="4"/>
      <c r="W17" s="4"/>
      <c r="X17" s="4"/>
    </row>
    <row r="18" ht="96.75" customHeight="1">
      <c r="A18" s="653"/>
      <c r="B18" s="682" t="s">
        <v>371</v>
      </c>
      <c r="C18" s="683"/>
      <c r="D18" s="4"/>
      <c r="E18" s="4"/>
      <c r="F18" s="4"/>
      <c r="G18" s="4"/>
      <c r="H18" s="4"/>
      <c r="I18" s="4"/>
      <c r="J18" s="4"/>
      <c r="K18" s="4"/>
      <c r="L18" s="4"/>
      <c r="M18" s="4"/>
      <c r="N18" s="4"/>
      <c r="O18" s="4"/>
      <c r="P18" s="4"/>
      <c r="Q18" s="4"/>
      <c r="R18" s="4"/>
      <c r="S18" s="4"/>
      <c r="T18" s="4"/>
      <c r="U18" s="4"/>
      <c r="V18" s="4"/>
      <c r="W18" s="4"/>
      <c r="X18" s="4"/>
    </row>
    <row r="19" ht="63.75" customHeight="1">
      <c r="A19" s="685"/>
      <c r="B19" s="668"/>
      <c r="C19" s="683"/>
      <c r="D19" s="4"/>
      <c r="E19" s="4"/>
      <c r="F19" s="4"/>
      <c r="G19" s="4"/>
      <c r="H19" s="4"/>
      <c r="I19" s="4"/>
      <c r="J19" s="4"/>
      <c r="K19" s="4"/>
      <c r="L19" s="4"/>
      <c r="M19" s="4"/>
      <c r="N19" s="4"/>
      <c r="O19" s="4"/>
      <c r="P19" s="4"/>
      <c r="Q19" s="4"/>
      <c r="R19" s="4"/>
      <c r="S19" s="4"/>
      <c r="T19" s="4"/>
      <c r="U19" s="4"/>
      <c r="V19" s="4"/>
      <c r="W19" s="4"/>
      <c r="X19" s="4"/>
    </row>
    <row r="20" ht="96.75" customHeight="1">
      <c r="A20" s="685"/>
      <c r="B20" s="668"/>
      <c r="C20" s="683"/>
      <c r="D20" s="4"/>
      <c r="E20" s="4"/>
      <c r="F20" s="4"/>
      <c r="G20" s="4"/>
      <c r="H20" s="4"/>
      <c r="I20" s="4"/>
      <c r="J20" s="4"/>
      <c r="K20" s="4"/>
      <c r="L20" s="4"/>
      <c r="M20" s="4"/>
      <c r="N20" s="4"/>
      <c r="O20" s="4"/>
      <c r="P20" s="4"/>
      <c r="Q20" s="4"/>
      <c r="R20" s="4"/>
      <c r="S20" s="4"/>
      <c r="T20" s="4"/>
      <c r="U20" s="4"/>
      <c r="V20" s="4"/>
      <c r="W20" s="4"/>
      <c r="X20" s="4"/>
    </row>
    <row r="21" ht="63.0" customHeight="1">
      <c r="A21" s="685"/>
      <c r="B21" s="668"/>
      <c r="C21" s="683"/>
      <c r="D21" s="4"/>
      <c r="E21" s="4"/>
      <c r="F21" s="4"/>
      <c r="G21" s="4"/>
      <c r="H21" s="4"/>
      <c r="I21" s="4"/>
      <c r="J21" s="4"/>
      <c r="K21" s="4"/>
      <c r="L21" s="4"/>
      <c r="M21" s="4"/>
      <c r="N21" s="4"/>
      <c r="O21" s="4"/>
      <c r="P21" s="4"/>
      <c r="Q21" s="4"/>
      <c r="R21" s="4"/>
      <c r="S21" s="4"/>
      <c r="T21" s="4"/>
      <c r="U21" s="4"/>
      <c r="V21" s="4"/>
      <c r="W21" s="4"/>
      <c r="X21" s="4"/>
    </row>
    <row r="22" ht="39.0" customHeight="1">
      <c r="A22" s="685"/>
      <c r="B22" s="668"/>
      <c r="C22" s="683"/>
      <c r="D22" s="4"/>
      <c r="E22" s="4"/>
      <c r="F22" s="4"/>
      <c r="G22" s="4"/>
      <c r="H22" s="4"/>
      <c r="I22" s="4"/>
      <c r="J22" s="4"/>
      <c r="K22" s="4"/>
      <c r="L22" s="4"/>
      <c r="M22" s="4"/>
      <c r="N22" s="4"/>
      <c r="O22" s="4"/>
      <c r="P22" s="4"/>
      <c r="Q22" s="4"/>
      <c r="R22" s="4"/>
      <c r="S22" s="4"/>
      <c r="T22" s="4"/>
      <c r="U22" s="4"/>
      <c r="V22" s="4"/>
      <c r="W22" s="4"/>
      <c r="X22" s="4"/>
    </row>
    <row r="23" ht="63.0" customHeight="1">
      <c r="A23" s="685"/>
      <c r="B23" s="668"/>
      <c r="C23" s="683"/>
      <c r="D23" s="4"/>
      <c r="E23" s="4"/>
      <c r="F23" s="4"/>
      <c r="G23" s="4"/>
      <c r="H23" s="4"/>
      <c r="I23" s="4"/>
      <c r="J23" s="4"/>
      <c r="K23" s="4"/>
      <c r="L23" s="4"/>
      <c r="M23" s="4"/>
      <c r="N23" s="4"/>
      <c r="O23" s="4"/>
      <c r="P23" s="4"/>
      <c r="Q23" s="4"/>
      <c r="R23" s="4"/>
      <c r="S23" s="4"/>
      <c r="T23" s="4"/>
      <c r="U23" s="4"/>
      <c r="V23" s="4"/>
      <c r="W23" s="4"/>
      <c r="X23" s="4"/>
    </row>
    <row r="24" ht="48.0" customHeight="1">
      <c r="A24" s="685"/>
      <c r="B24" s="668"/>
      <c r="C24" s="683"/>
      <c r="D24" s="4"/>
      <c r="E24" s="4"/>
      <c r="F24" s="4"/>
      <c r="G24" s="4"/>
      <c r="H24" s="4"/>
      <c r="I24" s="4"/>
      <c r="J24" s="4"/>
      <c r="K24" s="4"/>
      <c r="L24" s="4"/>
      <c r="M24" s="4"/>
      <c r="N24" s="4"/>
      <c r="O24" s="4"/>
      <c r="P24" s="4"/>
      <c r="Q24" s="4"/>
      <c r="R24" s="4"/>
      <c r="S24" s="4"/>
      <c r="T24" s="4"/>
      <c r="U24" s="4"/>
      <c r="V24" s="4"/>
      <c r="W24" s="4"/>
      <c r="X24" s="4"/>
    </row>
    <row r="25" ht="104.25" customHeight="1">
      <c r="A25" s="685"/>
      <c r="B25" s="668"/>
      <c r="C25" s="683"/>
      <c r="D25" s="4"/>
      <c r="E25" s="4"/>
      <c r="F25" s="4"/>
      <c r="G25" s="4"/>
      <c r="H25" s="4"/>
      <c r="I25" s="4"/>
      <c r="J25" s="4"/>
      <c r="K25" s="4"/>
      <c r="L25" s="4"/>
      <c r="M25" s="4"/>
      <c r="N25" s="4"/>
      <c r="O25" s="4"/>
      <c r="P25" s="4"/>
      <c r="Q25" s="4"/>
      <c r="R25" s="4"/>
      <c r="S25" s="4"/>
      <c r="T25" s="4"/>
      <c r="U25" s="4"/>
      <c r="V25" s="4"/>
      <c r="W25" s="4"/>
      <c r="X25" s="4"/>
    </row>
    <row r="26" ht="21.0" customHeight="1">
      <c r="A26" s="4" t="s">
        <v>372</v>
      </c>
      <c r="B26" s="4" t="s">
        <v>373</v>
      </c>
      <c r="C26" s="650"/>
      <c r="D26" s="4"/>
      <c r="E26" s="4"/>
      <c r="F26" s="4"/>
      <c r="G26" s="4"/>
      <c r="H26" s="4"/>
      <c r="I26" s="4"/>
      <c r="J26" s="4"/>
      <c r="K26" s="4"/>
      <c r="L26" s="4"/>
      <c r="M26" s="4"/>
      <c r="N26" s="4"/>
      <c r="O26" s="4"/>
      <c r="P26" s="4"/>
      <c r="Q26" s="4"/>
      <c r="R26" s="4"/>
      <c r="S26" s="4"/>
      <c r="T26" s="4"/>
      <c r="U26" s="4"/>
      <c r="V26" s="4"/>
      <c r="W26" s="4"/>
      <c r="X26" s="4"/>
    </row>
    <row r="27" ht="21.0" customHeight="1">
      <c r="A27" s="650"/>
      <c r="B27" s="4"/>
      <c r="C27" s="650"/>
      <c r="D27" s="4"/>
      <c r="E27" s="4"/>
      <c r="F27" s="4"/>
      <c r="G27" s="4"/>
      <c r="H27" s="4"/>
      <c r="I27" s="4"/>
      <c r="J27" s="4"/>
      <c r="K27" s="4"/>
      <c r="L27" s="4"/>
      <c r="M27" s="4"/>
      <c r="N27" s="4"/>
      <c r="O27" s="4"/>
      <c r="P27" s="4"/>
      <c r="Q27" s="4"/>
      <c r="R27" s="4"/>
      <c r="S27" s="4"/>
      <c r="T27" s="4"/>
      <c r="U27" s="4"/>
      <c r="V27" s="4"/>
      <c r="W27" s="4"/>
      <c r="X27" s="4"/>
    </row>
    <row r="28" ht="21.0" customHeight="1">
      <c r="A28" s="650"/>
      <c r="B28" s="4"/>
      <c r="C28" s="650"/>
      <c r="D28" s="4"/>
      <c r="E28" s="4"/>
      <c r="F28" s="4"/>
      <c r="G28" s="4"/>
      <c r="H28" s="4"/>
      <c r="I28" s="4"/>
      <c r="J28" s="4"/>
      <c r="K28" s="4"/>
      <c r="L28" s="4"/>
      <c r="M28" s="4"/>
      <c r="N28" s="4"/>
      <c r="O28" s="4"/>
      <c r="P28" s="4"/>
      <c r="Q28" s="4"/>
      <c r="R28" s="4"/>
      <c r="S28" s="4"/>
      <c r="T28" s="4"/>
      <c r="U28" s="4"/>
      <c r="V28" s="4"/>
      <c r="W28" s="4"/>
      <c r="X28" s="4"/>
    </row>
    <row r="29" ht="21.0" customHeight="1">
      <c r="A29" s="650"/>
      <c r="B29" s="4"/>
      <c r="C29" s="650"/>
      <c r="D29" s="4"/>
      <c r="E29" s="4"/>
      <c r="F29" s="4"/>
      <c r="G29" s="4"/>
      <c r="H29" s="4"/>
      <c r="I29" s="4"/>
      <c r="J29" s="4"/>
      <c r="K29" s="4"/>
      <c r="L29" s="4"/>
      <c r="M29" s="4"/>
      <c r="N29" s="4"/>
      <c r="O29" s="4"/>
      <c r="P29" s="4"/>
      <c r="Q29" s="4"/>
      <c r="R29" s="4"/>
      <c r="S29" s="4"/>
      <c r="T29" s="4"/>
      <c r="U29" s="4"/>
      <c r="V29" s="4"/>
      <c r="W29" s="4"/>
      <c r="X29" s="4"/>
    </row>
    <row r="30" ht="21.0" customHeight="1">
      <c r="A30" s="650"/>
      <c r="B30" s="4"/>
      <c r="C30" s="650"/>
      <c r="D30" s="4"/>
      <c r="E30" s="4"/>
      <c r="F30" s="4"/>
      <c r="G30" s="4"/>
      <c r="H30" s="4"/>
      <c r="I30" s="4"/>
      <c r="J30" s="4"/>
      <c r="K30" s="4"/>
      <c r="L30" s="4"/>
      <c r="M30" s="4"/>
      <c r="N30" s="4"/>
      <c r="O30" s="4"/>
      <c r="P30" s="4"/>
      <c r="Q30" s="4"/>
      <c r="R30" s="4"/>
      <c r="S30" s="4"/>
      <c r="T30" s="4"/>
      <c r="U30" s="4"/>
      <c r="V30" s="4"/>
      <c r="W30" s="4"/>
      <c r="X30" s="4"/>
    </row>
    <row r="31" ht="21.0" customHeight="1">
      <c r="A31" s="650"/>
      <c r="B31" s="4"/>
      <c r="C31" s="650"/>
      <c r="D31" s="4"/>
      <c r="E31" s="4"/>
      <c r="F31" s="4"/>
      <c r="G31" s="4"/>
      <c r="H31" s="4"/>
      <c r="I31" s="4"/>
      <c r="J31" s="4"/>
      <c r="K31" s="4"/>
      <c r="L31" s="4"/>
      <c r="M31" s="4"/>
      <c r="N31" s="4"/>
      <c r="O31" s="4"/>
      <c r="P31" s="4"/>
      <c r="Q31" s="4"/>
      <c r="R31" s="4"/>
      <c r="S31" s="4"/>
      <c r="T31" s="4"/>
      <c r="U31" s="4"/>
      <c r="V31" s="4"/>
      <c r="W31" s="4"/>
      <c r="X31" s="4"/>
    </row>
    <row r="32" ht="21.0" customHeight="1">
      <c r="A32" s="650"/>
      <c r="B32" s="4"/>
      <c r="C32" s="650"/>
      <c r="D32" s="4"/>
      <c r="E32" s="4"/>
      <c r="F32" s="4"/>
      <c r="G32" s="4"/>
      <c r="H32" s="4"/>
      <c r="I32" s="4"/>
      <c r="J32" s="4"/>
      <c r="K32" s="4"/>
      <c r="L32" s="4"/>
      <c r="M32" s="4"/>
      <c r="N32" s="4"/>
      <c r="O32" s="4"/>
      <c r="P32" s="4"/>
      <c r="Q32" s="4"/>
      <c r="R32" s="4"/>
      <c r="S32" s="4"/>
      <c r="T32" s="4"/>
      <c r="U32" s="4"/>
      <c r="V32" s="4"/>
      <c r="W32" s="4"/>
      <c r="X32" s="4"/>
    </row>
    <row r="33" ht="21.0" customHeight="1">
      <c r="A33" s="650"/>
      <c r="B33" s="4"/>
      <c r="C33" s="650"/>
      <c r="D33" s="4"/>
      <c r="E33" s="4"/>
      <c r="F33" s="4"/>
      <c r="G33" s="4"/>
      <c r="H33" s="4"/>
      <c r="I33" s="4"/>
      <c r="J33" s="4"/>
      <c r="K33" s="4"/>
      <c r="L33" s="4"/>
      <c r="M33" s="4"/>
      <c r="N33" s="4"/>
      <c r="O33" s="4"/>
      <c r="P33" s="4"/>
      <c r="Q33" s="4"/>
      <c r="R33" s="4"/>
      <c r="S33" s="4"/>
      <c r="T33" s="4"/>
      <c r="U33" s="4"/>
      <c r="V33" s="4"/>
      <c r="W33" s="4"/>
      <c r="X33" s="4"/>
    </row>
    <row r="34" ht="21.0" customHeight="1">
      <c r="A34" s="650"/>
      <c r="B34" s="4"/>
      <c r="C34" s="650"/>
      <c r="D34" s="4"/>
      <c r="E34" s="4"/>
      <c r="F34" s="4"/>
      <c r="G34" s="4"/>
      <c r="H34" s="4"/>
      <c r="I34" s="4"/>
      <c r="J34" s="4"/>
      <c r="K34" s="4"/>
      <c r="L34" s="4"/>
      <c r="M34" s="4"/>
      <c r="N34" s="4"/>
      <c r="O34" s="4"/>
      <c r="P34" s="4"/>
      <c r="Q34" s="4"/>
      <c r="R34" s="4"/>
      <c r="S34" s="4"/>
      <c r="T34" s="4"/>
      <c r="U34" s="4"/>
      <c r="V34" s="4"/>
      <c r="W34" s="4"/>
      <c r="X34" s="4"/>
    </row>
    <row r="35" ht="21.0" customHeight="1">
      <c r="A35" s="650"/>
      <c r="B35" s="4"/>
      <c r="C35" s="650"/>
      <c r="D35" s="4"/>
      <c r="E35" s="4"/>
      <c r="F35" s="4"/>
      <c r="G35" s="4"/>
      <c r="H35" s="4"/>
      <c r="I35" s="4"/>
      <c r="J35" s="4"/>
      <c r="K35" s="4"/>
      <c r="L35" s="4"/>
      <c r="M35" s="4"/>
      <c r="N35" s="4"/>
      <c r="O35" s="4"/>
      <c r="P35" s="4"/>
      <c r="Q35" s="4"/>
      <c r="R35" s="4"/>
      <c r="S35" s="4"/>
      <c r="T35" s="4"/>
      <c r="U35" s="4"/>
      <c r="V35" s="4"/>
      <c r="W35" s="4"/>
      <c r="X35" s="4"/>
    </row>
    <row r="36" ht="21.0" customHeight="1">
      <c r="A36" s="650"/>
      <c r="B36" s="4"/>
      <c r="C36" s="650"/>
      <c r="D36" s="4"/>
      <c r="E36" s="4"/>
      <c r="F36" s="4"/>
      <c r="G36" s="4"/>
      <c r="H36" s="4"/>
      <c r="I36" s="4"/>
      <c r="J36" s="4"/>
      <c r="K36" s="4"/>
      <c r="L36" s="4"/>
      <c r="M36" s="4"/>
      <c r="N36" s="4"/>
      <c r="O36" s="4"/>
      <c r="P36" s="4"/>
      <c r="Q36" s="4"/>
      <c r="R36" s="4"/>
      <c r="S36" s="4"/>
      <c r="T36" s="4"/>
      <c r="U36" s="4"/>
      <c r="V36" s="4"/>
      <c r="W36" s="4"/>
      <c r="X36" s="4"/>
    </row>
    <row r="37" ht="21.0" customHeight="1">
      <c r="A37" s="650"/>
      <c r="B37" s="4"/>
      <c r="C37" s="650"/>
      <c r="D37" s="4"/>
      <c r="E37" s="4"/>
      <c r="F37" s="4"/>
      <c r="G37" s="4"/>
      <c r="H37" s="4"/>
      <c r="I37" s="4"/>
      <c r="J37" s="4"/>
      <c r="K37" s="4"/>
      <c r="L37" s="4"/>
      <c r="M37" s="4"/>
      <c r="N37" s="4"/>
      <c r="O37" s="4"/>
      <c r="P37" s="4"/>
      <c r="Q37" s="4"/>
      <c r="R37" s="4"/>
      <c r="S37" s="4"/>
      <c r="T37" s="4"/>
      <c r="U37" s="4"/>
      <c r="V37" s="4"/>
      <c r="W37" s="4"/>
      <c r="X37" s="4"/>
    </row>
    <row r="38" ht="21.0" customHeight="1">
      <c r="A38" s="650"/>
      <c r="B38" s="4"/>
      <c r="C38" s="650"/>
      <c r="D38" s="4"/>
      <c r="E38" s="4"/>
      <c r="F38" s="4"/>
      <c r="G38" s="4"/>
      <c r="H38" s="4"/>
      <c r="I38" s="4"/>
      <c r="J38" s="4"/>
      <c r="K38" s="4"/>
      <c r="L38" s="4"/>
      <c r="M38" s="4"/>
      <c r="N38" s="4"/>
      <c r="O38" s="4"/>
      <c r="P38" s="4"/>
      <c r="Q38" s="4"/>
      <c r="R38" s="4"/>
      <c r="S38" s="4"/>
      <c r="T38" s="4"/>
      <c r="U38" s="4"/>
      <c r="V38" s="4"/>
      <c r="W38" s="4"/>
      <c r="X38" s="4"/>
    </row>
    <row r="39" ht="21.0" customHeight="1">
      <c r="A39" s="650"/>
      <c r="B39" s="4"/>
      <c r="C39" s="650"/>
      <c r="D39" s="4"/>
      <c r="E39" s="4"/>
      <c r="F39" s="4"/>
      <c r="G39" s="4"/>
      <c r="H39" s="4"/>
      <c r="I39" s="4"/>
      <c r="J39" s="4"/>
      <c r="K39" s="4"/>
      <c r="L39" s="4"/>
      <c r="M39" s="4"/>
      <c r="N39" s="4"/>
      <c r="O39" s="4"/>
      <c r="P39" s="4"/>
      <c r="Q39" s="4"/>
      <c r="R39" s="4"/>
      <c r="S39" s="4"/>
      <c r="T39" s="4"/>
      <c r="U39" s="4"/>
      <c r="V39" s="4"/>
      <c r="W39" s="4"/>
      <c r="X39" s="4"/>
    </row>
    <row r="40" ht="21.0" customHeight="1">
      <c r="A40" s="650"/>
      <c r="B40" s="4"/>
      <c r="C40" s="650"/>
      <c r="D40" s="4"/>
      <c r="E40" s="4"/>
      <c r="F40" s="4"/>
      <c r="G40" s="4"/>
      <c r="H40" s="4"/>
      <c r="I40" s="4"/>
      <c r="J40" s="4"/>
      <c r="K40" s="4"/>
      <c r="L40" s="4"/>
      <c r="M40" s="4"/>
      <c r="N40" s="4"/>
      <c r="O40" s="4"/>
      <c r="P40" s="4"/>
      <c r="Q40" s="4"/>
      <c r="R40" s="4"/>
      <c r="S40" s="4"/>
      <c r="T40" s="4"/>
      <c r="U40" s="4"/>
      <c r="V40" s="4"/>
      <c r="W40" s="4"/>
      <c r="X40" s="4"/>
    </row>
    <row r="41" ht="21.0" customHeight="1">
      <c r="A41" s="650"/>
      <c r="B41" s="4"/>
      <c r="C41" s="650"/>
      <c r="D41" s="4"/>
      <c r="E41" s="4"/>
      <c r="F41" s="4"/>
      <c r="G41" s="4"/>
      <c r="H41" s="4"/>
      <c r="I41" s="4"/>
      <c r="J41" s="4"/>
      <c r="K41" s="4"/>
      <c r="L41" s="4"/>
      <c r="M41" s="4"/>
      <c r="N41" s="4"/>
      <c r="O41" s="4"/>
      <c r="P41" s="4"/>
      <c r="Q41" s="4"/>
      <c r="R41" s="4"/>
      <c r="S41" s="4"/>
      <c r="T41" s="4"/>
      <c r="U41" s="4"/>
      <c r="V41" s="4"/>
      <c r="W41" s="4"/>
      <c r="X41" s="4"/>
    </row>
    <row r="42" ht="21.0" customHeight="1">
      <c r="A42" s="650"/>
      <c r="B42" s="4"/>
      <c r="C42" s="650"/>
      <c r="D42" s="4"/>
      <c r="E42" s="4"/>
      <c r="F42" s="4"/>
      <c r="G42" s="4"/>
      <c r="H42" s="4"/>
      <c r="I42" s="4"/>
      <c r="J42" s="4"/>
      <c r="K42" s="4"/>
      <c r="L42" s="4"/>
      <c r="M42" s="4"/>
      <c r="N42" s="4"/>
      <c r="O42" s="4"/>
      <c r="P42" s="4"/>
      <c r="Q42" s="4"/>
      <c r="R42" s="4"/>
      <c r="S42" s="4"/>
      <c r="T42" s="4"/>
      <c r="U42" s="4"/>
      <c r="V42" s="4"/>
      <c r="W42" s="4"/>
      <c r="X42" s="4"/>
    </row>
    <row r="43" ht="21.0" customHeight="1">
      <c r="A43" s="650"/>
      <c r="B43" s="4"/>
      <c r="C43" s="650"/>
      <c r="D43" s="4"/>
      <c r="E43" s="4"/>
      <c r="F43" s="4"/>
      <c r="G43" s="4"/>
      <c r="H43" s="4"/>
      <c r="I43" s="4"/>
      <c r="J43" s="4"/>
      <c r="K43" s="4"/>
      <c r="L43" s="4"/>
      <c r="M43" s="4"/>
      <c r="N43" s="4"/>
      <c r="O43" s="4"/>
      <c r="P43" s="4"/>
      <c r="Q43" s="4"/>
      <c r="R43" s="4"/>
      <c r="S43" s="4"/>
      <c r="T43" s="4"/>
      <c r="U43" s="4"/>
      <c r="V43" s="4"/>
      <c r="W43" s="4"/>
      <c r="X43" s="4"/>
    </row>
    <row r="44" ht="21.0" customHeight="1">
      <c r="A44" s="650"/>
      <c r="B44" s="4"/>
      <c r="C44" s="650"/>
      <c r="D44" s="4"/>
      <c r="E44" s="4"/>
      <c r="F44" s="4"/>
      <c r="G44" s="4"/>
      <c r="H44" s="4"/>
      <c r="I44" s="4"/>
      <c r="J44" s="4"/>
      <c r="K44" s="4"/>
      <c r="L44" s="4"/>
      <c r="M44" s="4"/>
      <c r="N44" s="4"/>
      <c r="O44" s="4"/>
      <c r="P44" s="4"/>
      <c r="Q44" s="4"/>
      <c r="R44" s="4"/>
      <c r="S44" s="4"/>
      <c r="T44" s="4"/>
      <c r="U44" s="4"/>
      <c r="V44" s="4"/>
      <c r="W44" s="4"/>
      <c r="X44" s="4"/>
    </row>
    <row r="45" ht="21.0" customHeight="1">
      <c r="A45" s="650"/>
      <c r="B45" s="4"/>
      <c r="C45" s="650"/>
      <c r="D45" s="4"/>
      <c r="E45" s="4"/>
      <c r="F45" s="4"/>
      <c r="G45" s="4"/>
      <c r="H45" s="4"/>
      <c r="I45" s="4"/>
      <c r="J45" s="4"/>
      <c r="K45" s="4"/>
      <c r="L45" s="4"/>
      <c r="M45" s="4"/>
      <c r="N45" s="4"/>
      <c r="O45" s="4"/>
      <c r="P45" s="4"/>
      <c r="Q45" s="4"/>
      <c r="R45" s="4"/>
      <c r="S45" s="4"/>
      <c r="T45" s="4"/>
      <c r="U45" s="4"/>
      <c r="V45" s="4"/>
      <c r="W45" s="4"/>
      <c r="X45" s="4"/>
    </row>
    <row r="46" ht="21.0" customHeight="1">
      <c r="A46" s="650"/>
      <c r="B46" s="4"/>
      <c r="C46" s="650"/>
      <c r="D46" s="4"/>
      <c r="E46" s="4"/>
      <c r="F46" s="4"/>
      <c r="G46" s="4"/>
      <c r="H46" s="4"/>
      <c r="I46" s="4"/>
      <c r="J46" s="4"/>
      <c r="K46" s="4"/>
      <c r="L46" s="4"/>
      <c r="M46" s="4"/>
      <c r="N46" s="4"/>
      <c r="O46" s="4"/>
      <c r="P46" s="4"/>
      <c r="Q46" s="4"/>
      <c r="R46" s="4"/>
      <c r="S46" s="4"/>
      <c r="T46" s="4"/>
      <c r="U46" s="4"/>
      <c r="V46" s="4"/>
      <c r="W46" s="4"/>
      <c r="X46" s="4"/>
    </row>
    <row r="47" ht="21.0" customHeight="1">
      <c r="A47" s="650"/>
      <c r="B47" s="4"/>
      <c r="C47" s="650"/>
      <c r="D47" s="4"/>
      <c r="E47" s="4"/>
      <c r="F47" s="4"/>
      <c r="G47" s="4"/>
      <c r="H47" s="4"/>
      <c r="I47" s="4"/>
      <c r="J47" s="4"/>
      <c r="K47" s="4"/>
      <c r="L47" s="4"/>
      <c r="M47" s="4"/>
      <c r="N47" s="4"/>
      <c r="O47" s="4"/>
      <c r="P47" s="4"/>
      <c r="Q47" s="4"/>
      <c r="R47" s="4"/>
      <c r="S47" s="4"/>
      <c r="T47" s="4"/>
      <c r="U47" s="4"/>
      <c r="V47" s="4"/>
      <c r="W47" s="4"/>
      <c r="X47" s="4"/>
    </row>
    <row r="48" ht="21.0" customHeight="1">
      <c r="A48" s="650"/>
      <c r="B48" s="4"/>
      <c r="C48" s="650"/>
      <c r="D48" s="4"/>
      <c r="E48" s="4"/>
      <c r="F48" s="4"/>
      <c r="G48" s="4"/>
      <c r="H48" s="4"/>
      <c r="I48" s="4"/>
      <c r="J48" s="4"/>
      <c r="K48" s="4"/>
      <c r="L48" s="4"/>
      <c r="M48" s="4"/>
      <c r="N48" s="4"/>
      <c r="O48" s="4"/>
      <c r="P48" s="4"/>
      <c r="Q48" s="4"/>
      <c r="R48" s="4"/>
      <c r="S48" s="4"/>
      <c r="T48" s="4"/>
      <c r="U48" s="4"/>
      <c r="V48" s="4"/>
      <c r="W48" s="4"/>
      <c r="X48" s="4"/>
    </row>
    <row r="49" ht="21.0" customHeight="1">
      <c r="A49" s="650"/>
      <c r="B49" s="4"/>
      <c r="C49" s="650"/>
      <c r="D49" s="4"/>
      <c r="E49" s="4"/>
      <c r="F49" s="4"/>
      <c r="G49" s="4"/>
      <c r="H49" s="4"/>
      <c r="I49" s="4"/>
      <c r="J49" s="4"/>
      <c r="K49" s="4"/>
      <c r="L49" s="4"/>
      <c r="M49" s="4"/>
      <c r="N49" s="4"/>
      <c r="O49" s="4"/>
      <c r="P49" s="4"/>
      <c r="Q49" s="4"/>
      <c r="R49" s="4"/>
      <c r="S49" s="4"/>
      <c r="T49" s="4"/>
      <c r="U49" s="4"/>
      <c r="V49" s="4"/>
      <c r="W49" s="4"/>
      <c r="X49" s="4"/>
    </row>
    <row r="50" ht="21.0" customHeight="1">
      <c r="A50" s="650"/>
      <c r="B50" s="4"/>
      <c r="C50" s="650"/>
      <c r="D50" s="4"/>
      <c r="E50" s="4"/>
      <c r="F50" s="4"/>
      <c r="G50" s="4"/>
      <c r="H50" s="4"/>
      <c r="I50" s="4"/>
      <c r="J50" s="4"/>
      <c r="K50" s="4"/>
      <c r="L50" s="4"/>
      <c r="M50" s="4"/>
      <c r="N50" s="4"/>
      <c r="O50" s="4"/>
      <c r="P50" s="4"/>
      <c r="Q50" s="4"/>
      <c r="R50" s="4"/>
      <c r="S50" s="4"/>
      <c r="T50" s="4"/>
      <c r="U50" s="4"/>
      <c r="V50" s="4"/>
      <c r="W50" s="4"/>
      <c r="X50" s="4"/>
    </row>
    <row r="51" ht="21.0" customHeight="1">
      <c r="A51" s="650"/>
      <c r="B51" s="4"/>
      <c r="C51" s="650"/>
      <c r="D51" s="4"/>
      <c r="E51" s="4"/>
      <c r="F51" s="4"/>
      <c r="G51" s="4"/>
      <c r="H51" s="4"/>
      <c r="I51" s="4"/>
      <c r="J51" s="4"/>
      <c r="K51" s="4"/>
      <c r="L51" s="4"/>
      <c r="M51" s="4"/>
      <c r="N51" s="4"/>
      <c r="O51" s="4"/>
      <c r="P51" s="4"/>
      <c r="Q51" s="4"/>
      <c r="R51" s="4"/>
      <c r="S51" s="4"/>
      <c r="T51" s="4"/>
      <c r="U51" s="4"/>
      <c r="V51" s="4"/>
      <c r="W51" s="4"/>
      <c r="X51" s="4"/>
    </row>
    <row r="52" ht="21.0" customHeight="1">
      <c r="A52" s="650"/>
      <c r="B52" s="4"/>
      <c r="C52" s="650"/>
      <c r="D52" s="4"/>
      <c r="E52" s="4"/>
      <c r="F52" s="4"/>
      <c r="G52" s="4"/>
      <c r="H52" s="4"/>
      <c r="I52" s="4"/>
      <c r="J52" s="4"/>
      <c r="K52" s="4"/>
      <c r="L52" s="4"/>
      <c r="M52" s="4"/>
      <c r="N52" s="4"/>
      <c r="O52" s="4"/>
      <c r="P52" s="4"/>
      <c r="Q52" s="4"/>
      <c r="R52" s="4"/>
      <c r="S52" s="4"/>
      <c r="T52" s="4"/>
      <c r="U52" s="4"/>
      <c r="V52" s="4"/>
      <c r="W52" s="4"/>
      <c r="X52" s="4"/>
    </row>
    <row r="53" ht="21.0" customHeight="1">
      <c r="A53" s="650"/>
      <c r="B53" s="4"/>
      <c r="C53" s="650"/>
      <c r="D53" s="4"/>
      <c r="E53" s="4"/>
      <c r="F53" s="4"/>
      <c r="G53" s="4"/>
      <c r="H53" s="4"/>
      <c r="I53" s="4"/>
      <c r="J53" s="4"/>
      <c r="K53" s="4"/>
      <c r="L53" s="4"/>
      <c r="M53" s="4"/>
      <c r="N53" s="4"/>
      <c r="O53" s="4"/>
      <c r="P53" s="4"/>
      <c r="Q53" s="4"/>
      <c r="R53" s="4"/>
      <c r="S53" s="4"/>
      <c r="T53" s="4"/>
      <c r="U53" s="4"/>
      <c r="V53" s="4"/>
      <c r="W53" s="4"/>
      <c r="X53" s="4"/>
    </row>
    <row r="54" ht="21.0" customHeight="1">
      <c r="A54" s="650"/>
      <c r="B54" s="4"/>
      <c r="C54" s="650"/>
      <c r="D54" s="4"/>
      <c r="E54" s="4"/>
      <c r="F54" s="4"/>
      <c r="G54" s="4"/>
      <c r="H54" s="4"/>
      <c r="I54" s="4"/>
      <c r="J54" s="4"/>
      <c r="K54" s="4"/>
      <c r="L54" s="4"/>
      <c r="M54" s="4"/>
      <c r="N54" s="4"/>
      <c r="O54" s="4"/>
      <c r="P54" s="4"/>
      <c r="Q54" s="4"/>
      <c r="R54" s="4"/>
      <c r="S54" s="4"/>
      <c r="T54" s="4"/>
      <c r="U54" s="4"/>
      <c r="V54" s="4"/>
      <c r="W54" s="4"/>
      <c r="X54" s="4"/>
    </row>
    <row r="55" ht="21.0" customHeight="1">
      <c r="A55" s="650"/>
      <c r="B55" s="4"/>
      <c r="C55" s="650"/>
      <c r="D55" s="4"/>
      <c r="E55" s="4"/>
      <c r="F55" s="4"/>
      <c r="G55" s="4"/>
      <c r="H55" s="4"/>
      <c r="I55" s="4"/>
      <c r="J55" s="4"/>
      <c r="K55" s="4"/>
      <c r="L55" s="4"/>
      <c r="M55" s="4"/>
      <c r="N55" s="4"/>
      <c r="O55" s="4"/>
      <c r="P55" s="4"/>
      <c r="Q55" s="4"/>
      <c r="R55" s="4"/>
      <c r="S55" s="4"/>
      <c r="T55" s="4"/>
      <c r="U55" s="4"/>
      <c r="V55" s="4"/>
      <c r="W55" s="4"/>
      <c r="X55" s="4"/>
    </row>
    <row r="56" ht="21.0" customHeight="1">
      <c r="A56" s="650"/>
      <c r="B56" s="4"/>
      <c r="C56" s="650"/>
      <c r="D56" s="4"/>
      <c r="E56" s="4"/>
      <c r="F56" s="4"/>
      <c r="G56" s="4"/>
      <c r="H56" s="4"/>
      <c r="I56" s="4"/>
      <c r="J56" s="4"/>
      <c r="K56" s="4"/>
      <c r="L56" s="4"/>
      <c r="M56" s="4"/>
      <c r="N56" s="4"/>
      <c r="O56" s="4"/>
      <c r="P56" s="4"/>
      <c r="Q56" s="4"/>
      <c r="R56" s="4"/>
      <c r="S56" s="4"/>
      <c r="T56" s="4"/>
      <c r="U56" s="4"/>
      <c r="V56" s="4"/>
      <c r="W56" s="4"/>
      <c r="X56" s="4"/>
    </row>
    <row r="57" ht="21.0" customHeight="1">
      <c r="A57" s="650"/>
      <c r="B57" s="4"/>
      <c r="C57" s="650"/>
      <c r="D57" s="4"/>
      <c r="E57" s="4"/>
      <c r="F57" s="4"/>
      <c r="G57" s="4"/>
      <c r="H57" s="4"/>
      <c r="I57" s="4"/>
      <c r="J57" s="4"/>
      <c r="K57" s="4"/>
      <c r="L57" s="4"/>
      <c r="M57" s="4"/>
      <c r="N57" s="4"/>
      <c r="O57" s="4"/>
      <c r="P57" s="4"/>
      <c r="Q57" s="4"/>
      <c r="R57" s="4"/>
      <c r="S57" s="4"/>
      <c r="T57" s="4"/>
      <c r="U57" s="4"/>
      <c r="V57" s="4"/>
      <c r="W57" s="4"/>
      <c r="X57" s="4"/>
    </row>
    <row r="58" ht="21.0" customHeight="1">
      <c r="A58" s="650"/>
      <c r="B58" s="4"/>
      <c r="C58" s="650"/>
      <c r="D58" s="4"/>
      <c r="E58" s="4"/>
      <c r="F58" s="4"/>
      <c r="G58" s="4"/>
      <c r="H58" s="4"/>
      <c r="I58" s="4"/>
      <c r="J58" s="4"/>
      <c r="K58" s="4"/>
      <c r="L58" s="4"/>
      <c r="M58" s="4"/>
      <c r="N58" s="4"/>
      <c r="O58" s="4"/>
      <c r="P58" s="4"/>
      <c r="Q58" s="4"/>
      <c r="R58" s="4"/>
      <c r="S58" s="4"/>
      <c r="T58" s="4"/>
      <c r="U58" s="4"/>
      <c r="V58" s="4"/>
      <c r="W58" s="4"/>
      <c r="X58" s="4"/>
    </row>
    <row r="59" ht="21.0" customHeight="1">
      <c r="A59" s="650"/>
      <c r="B59" s="4"/>
      <c r="C59" s="650"/>
      <c r="D59" s="4"/>
      <c r="E59" s="4"/>
      <c r="F59" s="4"/>
      <c r="G59" s="4"/>
      <c r="H59" s="4"/>
      <c r="I59" s="4"/>
      <c r="J59" s="4"/>
      <c r="K59" s="4"/>
      <c r="L59" s="4"/>
      <c r="M59" s="4"/>
      <c r="N59" s="4"/>
      <c r="O59" s="4"/>
      <c r="P59" s="4"/>
      <c r="Q59" s="4"/>
      <c r="R59" s="4"/>
      <c r="S59" s="4"/>
      <c r="T59" s="4"/>
      <c r="U59" s="4"/>
      <c r="V59" s="4"/>
      <c r="W59" s="4"/>
      <c r="X59" s="4"/>
    </row>
    <row r="60" ht="21.0" customHeight="1">
      <c r="A60" s="650"/>
      <c r="B60" s="4"/>
      <c r="C60" s="650"/>
      <c r="D60" s="4"/>
      <c r="E60" s="4"/>
      <c r="F60" s="4"/>
      <c r="G60" s="4"/>
      <c r="H60" s="4"/>
      <c r="I60" s="4"/>
      <c r="J60" s="4"/>
      <c r="K60" s="4"/>
      <c r="L60" s="4"/>
      <c r="M60" s="4"/>
      <c r="N60" s="4"/>
      <c r="O60" s="4"/>
      <c r="P60" s="4"/>
      <c r="Q60" s="4"/>
      <c r="R60" s="4"/>
      <c r="S60" s="4"/>
      <c r="T60" s="4"/>
      <c r="U60" s="4"/>
      <c r="V60" s="4"/>
      <c r="W60" s="4"/>
      <c r="X60" s="4"/>
    </row>
    <row r="61" ht="21.0" customHeight="1">
      <c r="A61" s="650"/>
      <c r="B61" s="4"/>
      <c r="C61" s="650"/>
      <c r="D61" s="4"/>
      <c r="E61" s="4"/>
      <c r="F61" s="4"/>
      <c r="G61" s="4"/>
      <c r="H61" s="4"/>
      <c r="I61" s="4"/>
      <c r="J61" s="4"/>
      <c r="K61" s="4"/>
      <c r="L61" s="4"/>
      <c r="M61" s="4"/>
      <c r="N61" s="4"/>
      <c r="O61" s="4"/>
      <c r="P61" s="4"/>
      <c r="Q61" s="4"/>
      <c r="R61" s="4"/>
      <c r="S61" s="4"/>
      <c r="T61" s="4"/>
      <c r="U61" s="4"/>
      <c r="V61" s="4"/>
      <c r="W61" s="4"/>
      <c r="X61" s="4"/>
    </row>
    <row r="62" ht="21.0" customHeight="1">
      <c r="A62" s="650"/>
      <c r="B62" s="4"/>
      <c r="C62" s="650"/>
      <c r="D62" s="4"/>
      <c r="E62" s="4"/>
      <c r="F62" s="4"/>
      <c r="G62" s="4"/>
      <c r="H62" s="4"/>
      <c r="I62" s="4"/>
      <c r="J62" s="4"/>
      <c r="K62" s="4"/>
      <c r="L62" s="4"/>
      <c r="M62" s="4"/>
      <c r="N62" s="4"/>
      <c r="O62" s="4"/>
      <c r="P62" s="4"/>
      <c r="Q62" s="4"/>
      <c r="R62" s="4"/>
      <c r="S62" s="4"/>
      <c r="T62" s="4"/>
      <c r="U62" s="4"/>
      <c r="V62" s="4"/>
      <c r="W62" s="4"/>
      <c r="X62" s="4"/>
    </row>
    <row r="63" ht="21.0" customHeight="1">
      <c r="A63" s="650"/>
      <c r="B63" s="4"/>
      <c r="C63" s="650"/>
      <c r="D63" s="4"/>
      <c r="E63" s="4"/>
      <c r="F63" s="4"/>
      <c r="G63" s="4"/>
      <c r="H63" s="4"/>
      <c r="I63" s="4"/>
      <c r="J63" s="4"/>
      <c r="K63" s="4"/>
      <c r="L63" s="4"/>
      <c r="M63" s="4"/>
      <c r="N63" s="4"/>
      <c r="O63" s="4"/>
      <c r="P63" s="4"/>
      <c r="Q63" s="4"/>
      <c r="R63" s="4"/>
      <c r="S63" s="4"/>
      <c r="T63" s="4"/>
      <c r="U63" s="4"/>
      <c r="V63" s="4"/>
      <c r="W63" s="4"/>
      <c r="X63" s="4"/>
    </row>
    <row r="64" ht="21.0" customHeight="1">
      <c r="A64" s="650"/>
      <c r="B64" s="4"/>
      <c r="C64" s="650"/>
      <c r="D64" s="4"/>
      <c r="E64" s="4"/>
      <c r="F64" s="4"/>
      <c r="G64" s="4"/>
      <c r="H64" s="4"/>
      <c r="I64" s="4"/>
      <c r="J64" s="4"/>
      <c r="K64" s="4"/>
      <c r="L64" s="4"/>
      <c r="M64" s="4"/>
      <c r="N64" s="4"/>
      <c r="O64" s="4"/>
      <c r="P64" s="4"/>
      <c r="Q64" s="4"/>
      <c r="R64" s="4"/>
      <c r="S64" s="4"/>
      <c r="T64" s="4"/>
      <c r="U64" s="4"/>
      <c r="V64" s="4"/>
      <c r="W64" s="4"/>
      <c r="X64" s="4"/>
    </row>
    <row r="65" ht="21.0" customHeight="1">
      <c r="A65" s="650"/>
      <c r="B65" s="4"/>
      <c r="C65" s="650"/>
      <c r="D65" s="4"/>
      <c r="E65" s="4"/>
      <c r="F65" s="4"/>
      <c r="G65" s="4"/>
      <c r="H65" s="4"/>
      <c r="I65" s="4"/>
      <c r="J65" s="4"/>
      <c r="K65" s="4"/>
      <c r="L65" s="4"/>
      <c r="M65" s="4"/>
      <c r="N65" s="4"/>
      <c r="O65" s="4"/>
      <c r="P65" s="4"/>
      <c r="Q65" s="4"/>
      <c r="R65" s="4"/>
      <c r="S65" s="4"/>
      <c r="T65" s="4"/>
      <c r="U65" s="4"/>
      <c r="V65" s="4"/>
      <c r="W65" s="4"/>
      <c r="X65" s="4"/>
    </row>
    <row r="66" ht="21.0" customHeight="1">
      <c r="A66" s="650"/>
      <c r="B66" s="4"/>
      <c r="C66" s="650"/>
      <c r="D66" s="4"/>
      <c r="E66" s="4"/>
      <c r="F66" s="4"/>
      <c r="G66" s="4"/>
      <c r="H66" s="4"/>
      <c r="I66" s="4"/>
      <c r="J66" s="4"/>
      <c r="K66" s="4"/>
      <c r="L66" s="4"/>
      <c r="M66" s="4"/>
      <c r="N66" s="4"/>
      <c r="O66" s="4"/>
      <c r="P66" s="4"/>
      <c r="Q66" s="4"/>
      <c r="R66" s="4"/>
      <c r="S66" s="4"/>
      <c r="T66" s="4"/>
      <c r="U66" s="4"/>
      <c r="V66" s="4"/>
      <c r="W66" s="4"/>
      <c r="X66" s="4"/>
    </row>
    <row r="67" ht="21.0" customHeight="1">
      <c r="A67" s="650"/>
      <c r="B67" s="4"/>
      <c r="C67" s="650"/>
      <c r="D67" s="4"/>
      <c r="E67" s="4"/>
      <c r="F67" s="4"/>
      <c r="G67" s="4"/>
      <c r="H67" s="4"/>
      <c r="I67" s="4"/>
      <c r="J67" s="4"/>
      <c r="K67" s="4"/>
      <c r="L67" s="4"/>
      <c r="M67" s="4"/>
      <c r="N67" s="4"/>
      <c r="O67" s="4"/>
      <c r="P67" s="4"/>
      <c r="Q67" s="4"/>
      <c r="R67" s="4"/>
      <c r="S67" s="4"/>
      <c r="T67" s="4"/>
      <c r="U67" s="4"/>
      <c r="V67" s="4"/>
      <c r="W67" s="4"/>
      <c r="X67" s="4"/>
    </row>
    <row r="68" ht="21.0" customHeight="1">
      <c r="A68" s="650"/>
      <c r="B68" s="4"/>
      <c r="C68" s="650"/>
      <c r="D68" s="4"/>
      <c r="E68" s="4"/>
      <c r="F68" s="4"/>
      <c r="G68" s="4"/>
      <c r="H68" s="4"/>
      <c r="I68" s="4"/>
      <c r="J68" s="4"/>
      <c r="K68" s="4"/>
      <c r="L68" s="4"/>
      <c r="M68" s="4"/>
      <c r="N68" s="4"/>
      <c r="O68" s="4"/>
      <c r="P68" s="4"/>
      <c r="Q68" s="4"/>
      <c r="R68" s="4"/>
      <c r="S68" s="4"/>
      <c r="T68" s="4"/>
      <c r="U68" s="4"/>
      <c r="V68" s="4"/>
      <c r="W68" s="4"/>
      <c r="X68" s="4"/>
    </row>
    <row r="69" ht="21.0" customHeight="1">
      <c r="A69" s="650"/>
      <c r="B69" s="4"/>
      <c r="C69" s="650"/>
      <c r="D69" s="4"/>
      <c r="E69" s="4"/>
      <c r="F69" s="4"/>
      <c r="G69" s="4"/>
      <c r="H69" s="4"/>
      <c r="I69" s="4"/>
      <c r="J69" s="4"/>
      <c r="K69" s="4"/>
      <c r="L69" s="4"/>
      <c r="M69" s="4"/>
      <c r="N69" s="4"/>
      <c r="O69" s="4"/>
      <c r="P69" s="4"/>
      <c r="Q69" s="4"/>
      <c r="R69" s="4"/>
      <c r="S69" s="4"/>
      <c r="T69" s="4"/>
      <c r="U69" s="4"/>
      <c r="V69" s="4"/>
      <c r="W69" s="4"/>
      <c r="X69" s="4"/>
    </row>
    <row r="70" ht="21.0" customHeight="1">
      <c r="A70" s="650"/>
      <c r="B70" s="4"/>
      <c r="C70" s="650"/>
      <c r="D70" s="4"/>
      <c r="E70" s="4"/>
      <c r="F70" s="4"/>
      <c r="G70" s="4"/>
      <c r="H70" s="4"/>
      <c r="I70" s="4"/>
      <c r="J70" s="4"/>
      <c r="K70" s="4"/>
      <c r="L70" s="4"/>
      <c r="M70" s="4"/>
      <c r="N70" s="4"/>
      <c r="O70" s="4"/>
      <c r="P70" s="4"/>
      <c r="Q70" s="4"/>
      <c r="R70" s="4"/>
      <c r="S70" s="4"/>
      <c r="T70" s="4"/>
      <c r="U70" s="4"/>
      <c r="V70" s="4"/>
      <c r="W70" s="4"/>
      <c r="X70" s="4"/>
    </row>
    <row r="71" ht="21.0" customHeight="1">
      <c r="A71" s="650"/>
      <c r="B71" s="4"/>
      <c r="C71" s="650"/>
      <c r="D71" s="4"/>
      <c r="E71" s="4"/>
      <c r="F71" s="4"/>
      <c r="G71" s="4"/>
      <c r="H71" s="4"/>
      <c r="I71" s="4"/>
      <c r="J71" s="4"/>
      <c r="K71" s="4"/>
      <c r="L71" s="4"/>
      <c r="M71" s="4"/>
      <c r="N71" s="4"/>
      <c r="O71" s="4"/>
      <c r="P71" s="4"/>
      <c r="Q71" s="4"/>
      <c r="R71" s="4"/>
      <c r="S71" s="4"/>
      <c r="T71" s="4"/>
      <c r="U71" s="4"/>
      <c r="V71" s="4"/>
      <c r="W71" s="4"/>
      <c r="X71" s="4"/>
    </row>
    <row r="72" ht="21.0" customHeight="1">
      <c r="A72" s="650"/>
      <c r="B72" s="4"/>
      <c r="C72" s="650"/>
      <c r="D72" s="4"/>
      <c r="E72" s="4"/>
      <c r="F72" s="4"/>
      <c r="G72" s="4"/>
      <c r="H72" s="4"/>
      <c r="I72" s="4"/>
      <c r="J72" s="4"/>
      <c r="K72" s="4"/>
      <c r="L72" s="4"/>
      <c r="M72" s="4"/>
      <c r="N72" s="4"/>
      <c r="O72" s="4"/>
      <c r="P72" s="4"/>
      <c r="Q72" s="4"/>
      <c r="R72" s="4"/>
      <c r="S72" s="4"/>
      <c r="T72" s="4"/>
      <c r="U72" s="4"/>
      <c r="V72" s="4"/>
      <c r="W72" s="4"/>
      <c r="X72" s="4"/>
    </row>
    <row r="73" ht="21.0" customHeight="1">
      <c r="A73" s="650"/>
      <c r="B73" s="4"/>
      <c r="C73" s="650"/>
      <c r="D73" s="4"/>
      <c r="E73" s="4"/>
      <c r="F73" s="4"/>
      <c r="G73" s="4"/>
      <c r="H73" s="4"/>
      <c r="I73" s="4"/>
      <c r="J73" s="4"/>
      <c r="K73" s="4"/>
      <c r="L73" s="4"/>
      <c r="M73" s="4"/>
      <c r="N73" s="4"/>
      <c r="O73" s="4"/>
      <c r="P73" s="4"/>
      <c r="Q73" s="4"/>
      <c r="R73" s="4"/>
      <c r="S73" s="4"/>
      <c r="T73" s="4"/>
      <c r="U73" s="4"/>
      <c r="V73" s="4"/>
      <c r="W73" s="4"/>
      <c r="X73" s="4"/>
    </row>
    <row r="74" ht="21.0" customHeight="1">
      <c r="A74" s="650"/>
      <c r="B74" s="4"/>
      <c r="C74" s="650"/>
      <c r="D74" s="4"/>
      <c r="E74" s="4"/>
      <c r="F74" s="4"/>
      <c r="G74" s="4"/>
      <c r="H74" s="4"/>
      <c r="I74" s="4"/>
      <c r="J74" s="4"/>
      <c r="K74" s="4"/>
      <c r="L74" s="4"/>
      <c r="M74" s="4"/>
      <c r="N74" s="4"/>
      <c r="O74" s="4"/>
      <c r="P74" s="4"/>
      <c r="Q74" s="4"/>
      <c r="R74" s="4"/>
      <c r="S74" s="4"/>
      <c r="T74" s="4"/>
      <c r="U74" s="4"/>
      <c r="V74" s="4"/>
      <c r="W74" s="4"/>
      <c r="X74" s="4"/>
    </row>
    <row r="75" ht="21.0" customHeight="1">
      <c r="A75" s="650"/>
      <c r="B75" s="4"/>
      <c r="C75" s="650"/>
      <c r="D75" s="4"/>
      <c r="E75" s="4"/>
      <c r="F75" s="4"/>
      <c r="G75" s="4"/>
      <c r="H75" s="4"/>
      <c r="I75" s="4"/>
      <c r="J75" s="4"/>
      <c r="K75" s="4"/>
      <c r="L75" s="4"/>
      <c r="M75" s="4"/>
      <c r="N75" s="4"/>
      <c r="O75" s="4"/>
      <c r="P75" s="4"/>
      <c r="Q75" s="4"/>
      <c r="R75" s="4"/>
      <c r="S75" s="4"/>
      <c r="T75" s="4"/>
      <c r="U75" s="4"/>
      <c r="V75" s="4"/>
      <c r="W75" s="4"/>
      <c r="X75" s="4"/>
    </row>
    <row r="76" ht="21.0" customHeight="1">
      <c r="A76" s="650"/>
      <c r="B76" s="4"/>
      <c r="C76" s="650"/>
      <c r="D76" s="4"/>
      <c r="E76" s="4"/>
      <c r="F76" s="4"/>
      <c r="G76" s="4"/>
      <c r="H76" s="4"/>
      <c r="I76" s="4"/>
      <c r="J76" s="4"/>
      <c r="K76" s="4"/>
      <c r="L76" s="4"/>
      <c r="M76" s="4"/>
      <c r="N76" s="4"/>
      <c r="O76" s="4"/>
      <c r="P76" s="4"/>
      <c r="Q76" s="4"/>
      <c r="R76" s="4"/>
      <c r="S76" s="4"/>
      <c r="T76" s="4"/>
      <c r="U76" s="4"/>
      <c r="V76" s="4"/>
      <c r="W76" s="4"/>
      <c r="X76" s="4"/>
    </row>
    <row r="77" ht="21.0" customHeight="1">
      <c r="A77" s="650"/>
      <c r="B77" s="4"/>
      <c r="C77" s="650"/>
      <c r="D77" s="4"/>
      <c r="E77" s="4"/>
      <c r="F77" s="4"/>
      <c r="G77" s="4"/>
      <c r="H77" s="4"/>
      <c r="I77" s="4"/>
      <c r="J77" s="4"/>
      <c r="K77" s="4"/>
      <c r="L77" s="4"/>
      <c r="M77" s="4"/>
      <c r="N77" s="4"/>
      <c r="O77" s="4"/>
      <c r="P77" s="4"/>
      <c r="Q77" s="4"/>
      <c r="R77" s="4"/>
      <c r="S77" s="4"/>
      <c r="T77" s="4"/>
      <c r="U77" s="4"/>
      <c r="V77" s="4"/>
      <c r="W77" s="4"/>
      <c r="X77" s="4"/>
    </row>
    <row r="78" ht="21.0" customHeight="1">
      <c r="A78" s="650"/>
      <c r="B78" s="4"/>
      <c r="C78" s="650"/>
      <c r="D78" s="4"/>
      <c r="E78" s="4"/>
      <c r="F78" s="4"/>
      <c r="G78" s="4"/>
      <c r="H78" s="4"/>
      <c r="I78" s="4"/>
      <c r="J78" s="4"/>
      <c r="K78" s="4"/>
      <c r="L78" s="4"/>
      <c r="M78" s="4"/>
      <c r="N78" s="4"/>
      <c r="O78" s="4"/>
      <c r="P78" s="4"/>
      <c r="Q78" s="4"/>
      <c r="R78" s="4"/>
      <c r="S78" s="4"/>
      <c r="T78" s="4"/>
      <c r="U78" s="4"/>
      <c r="V78" s="4"/>
      <c r="W78" s="4"/>
      <c r="X78" s="4"/>
    </row>
    <row r="79" ht="21.0" customHeight="1">
      <c r="A79" s="650"/>
      <c r="B79" s="4"/>
      <c r="C79" s="650"/>
      <c r="D79" s="4"/>
      <c r="E79" s="4"/>
      <c r="F79" s="4"/>
      <c r="G79" s="4"/>
      <c r="H79" s="4"/>
      <c r="I79" s="4"/>
      <c r="J79" s="4"/>
      <c r="K79" s="4"/>
      <c r="L79" s="4"/>
      <c r="M79" s="4"/>
      <c r="N79" s="4"/>
      <c r="O79" s="4"/>
      <c r="P79" s="4"/>
      <c r="Q79" s="4"/>
      <c r="R79" s="4"/>
      <c r="S79" s="4"/>
      <c r="T79" s="4"/>
      <c r="U79" s="4"/>
      <c r="V79" s="4"/>
      <c r="W79" s="4"/>
      <c r="X79" s="4"/>
    </row>
    <row r="80" ht="21.0" customHeight="1">
      <c r="A80" s="650"/>
      <c r="B80" s="4"/>
      <c r="C80" s="650"/>
      <c r="D80" s="4"/>
      <c r="E80" s="4"/>
      <c r="F80" s="4"/>
      <c r="G80" s="4"/>
      <c r="H80" s="4"/>
      <c r="I80" s="4"/>
      <c r="J80" s="4"/>
      <c r="K80" s="4"/>
      <c r="L80" s="4"/>
      <c r="M80" s="4"/>
      <c r="N80" s="4"/>
      <c r="O80" s="4"/>
      <c r="P80" s="4"/>
      <c r="Q80" s="4"/>
      <c r="R80" s="4"/>
      <c r="S80" s="4"/>
      <c r="T80" s="4"/>
      <c r="U80" s="4"/>
      <c r="V80" s="4"/>
      <c r="W80" s="4"/>
      <c r="X80" s="4"/>
    </row>
    <row r="81" ht="21.0" customHeight="1">
      <c r="A81" s="650"/>
      <c r="B81" s="4"/>
      <c r="C81" s="650"/>
      <c r="D81" s="4"/>
      <c r="E81" s="4"/>
      <c r="F81" s="4"/>
      <c r="G81" s="4"/>
      <c r="H81" s="4"/>
      <c r="I81" s="4"/>
      <c r="J81" s="4"/>
      <c r="K81" s="4"/>
      <c r="L81" s="4"/>
      <c r="M81" s="4"/>
      <c r="N81" s="4"/>
      <c r="O81" s="4"/>
      <c r="P81" s="4"/>
      <c r="Q81" s="4"/>
      <c r="R81" s="4"/>
      <c r="S81" s="4"/>
      <c r="T81" s="4"/>
      <c r="U81" s="4"/>
      <c r="V81" s="4"/>
      <c r="W81" s="4"/>
      <c r="X81" s="4"/>
    </row>
    <row r="82" ht="21.0" customHeight="1">
      <c r="A82" s="650"/>
      <c r="B82" s="4"/>
      <c r="C82" s="650"/>
      <c r="D82" s="4"/>
      <c r="E82" s="4"/>
      <c r="F82" s="4"/>
      <c r="G82" s="4"/>
      <c r="H82" s="4"/>
      <c r="I82" s="4"/>
      <c r="J82" s="4"/>
      <c r="K82" s="4"/>
      <c r="L82" s="4"/>
      <c r="M82" s="4"/>
      <c r="N82" s="4"/>
      <c r="O82" s="4"/>
      <c r="P82" s="4"/>
      <c r="Q82" s="4"/>
      <c r="R82" s="4"/>
      <c r="S82" s="4"/>
      <c r="T82" s="4"/>
      <c r="U82" s="4"/>
      <c r="V82" s="4"/>
      <c r="W82" s="4"/>
      <c r="X82" s="4"/>
    </row>
    <row r="83" ht="21.0" customHeight="1">
      <c r="A83" s="650"/>
      <c r="B83" s="4"/>
      <c r="C83" s="650"/>
      <c r="D83" s="4"/>
      <c r="E83" s="4"/>
      <c r="F83" s="4"/>
      <c r="G83" s="4"/>
      <c r="H83" s="4"/>
      <c r="I83" s="4"/>
      <c r="J83" s="4"/>
      <c r="K83" s="4"/>
      <c r="L83" s="4"/>
      <c r="M83" s="4"/>
      <c r="N83" s="4"/>
      <c r="O83" s="4"/>
      <c r="P83" s="4"/>
      <c r="Q83" s="4"/>
      <c r="R83" s="4"/>
      <c r="S83" s="4"/>
      <c r="T83" s="4"/>
      <c r="U83" s="4"/>
      <c r="V83" s="4"/>
      <c r="W83" s="4"/>
      <c r="X83" s="4"/>
    </row>
    <row r="84" ht="21.0" customHeight="1">
      <c r="A84" s="650"/>
      <c r="B84" s="4"/>
      <c r="C84" s="650"/>
      <c r="D84" s="4"/>
      <c r="E84" s="4"/>
      <c r="F84" s="4"/>
      <c r="G84" s="4"/>
      <c r="H84" s="4"/>
      <c r="I84" s="4"/>
      <c r="J84" s="4"/>
      <c r="K84" s="4"/>
      <c r="L84" s="4"/>
      <c r="M84" s="4"/>
      <c r="N84" s="4"/>
      <c r="O84" s="4"/>
      <c r="P84" s="4"/>
      <c r="Q84" s="4"/>
      <c r="R84" s="4"/>
      <c r="S84" s="4"/>
      <c r="T84" s="4"/>
      <c r="U84" s="4"/>
      <c r="V84" s="4"/>
      <c r="W84" s="4"/>
      <c r="X84" s="4"/>
    </row>
    <row r="85" ht="21.0" customHeight="1">
      <c r="A85" s="650"/>
      <c r="B85" s="4"/>
      <c r="C85" s="650"/>
      <c r="D85" s="4"/>
      <c r="E85" s="4"/>
      <c r="F85" s="4"/>
      <c r="G85" s="4"/>
      <c r="H85" s="4"/>
      <c r="I85" s="4"/>
      <c r="J85" s="4"/>
      <c r="K85" s="4"/>
      <c r="L85" s="4"/>
      <c r="M85" s="4"/>
      <c r="N85" s="4"/>
      <c r="O85" s="4"/>
      <c r="P85" s="4"/>
      <c r="Q85" s="4"/>
      <c r="R85" s="4"/>
      <c r="S85" s="4"/>
      <c r="T85" s="4"/>
      <c r="U85" s="4"/>
      <c r="V85" s="4"/>
      <c r="W85" s="4"/>
      <c r="X85" s="4"/>
    </row>
    <row r="86" ht="21.0" customHeight="1">
      <c r="A86" s="650"/>
      <c r="B86" s="4"/>
      <c r="C86" s="650"/>
      <c r="D86" s="4"/>
      <c r="E86" s="4"/>
      <c r="F86" s="4"/>
      <c r="G86" s="4"/>
      <c r="H86" s="4"/>
      <c r="I86" s="4"/>
      <c r="J86" s="4"/>
      <c r="K86" s="4"/>
      <c r="L86" s="4"/>
      <c r="M86" s="4"/>
      <c r="N86" s="4"/>
      <c r="O86" s="4"/>
      <c r="P86" s="4"/>
      <c r="Q86" s="4"/>
      <c r="R86" s="4"/>
      <c r="S86" s="4"/>
      <c r="T86" s="4"/>
      <c r="U86" s="4"/>
      <c r="V86" s="4"/>
      <c r="W86" s="4"/>
      <c r="X86" s="4"/>
    </row>
    <row r="87" ht="21.0" customHeight="1">
      <c r="A87" s="650"/>
      <c r="B87" s="4"/>
      <c r="C87" s="650"/>
      <c r="D87" s="4"/>
      <c r="E87" s="4"/>
      <c r="F87" s="4"/>
      <c r="G87" s="4"/>
      <c r="H87" s="4"/>
      <c r="I87" s="4"/>
      <c r="J87" s="4"/>
      <c r="K87" s="4"/>
      <c r="L87" s="4"/>
      <c r="M87" s="4"/>
      <c r="N87" s="4"/>
      <c r="O87" s="4"/>
      <c r="P87" s="4"/>
      <c r="Q87" s="4"/>
      <c r="R87" s="4"/>
      <c r="S87" s="4"/>
      <c r="T87" s="4"/>
      <c r="U87" s="4"/>
      <c r="V87" s="4"/>
      <c r="W87" s="4"/>
      <c r="X87" s="4"/>
    </row>
    <row r="88" ht="21.0" customHeight="1">
      <c r="A88" s="650"/>
      <c r="B88" s="4"/>
      <c r="C88" s="650"/>
      <c r="D88" s="4"/>
      <c r="E88" s="4"/>
      <c r="F88" s="4"/>
      <c r="G88" s="4"/>
      <c r="H88" s="4"/>
      <c r="I88" s="4"/>
      <c r="J88" s="4"/>
      <c r="K88" s="4"/>
      <c r="L88" s="4"/>
      <c r="M88" s="4"/>
      <c r="N88" s="4"/>
      <c r="O88" s="4"/>
      <c r="P88" s="4"/>
      <c r="Q88" s="4"/>
      <c r="R88" s="4"/>
      <c r="S88" s="4"/>
      <c r="T88" s="4"/>
      <c r="U88" s="4"/>
      <c r="V88" s="4"/>
      <c r="W88" s="4"/>
      <c r="X88" s="4"/>
    </row>
    <row r="89" ht="21.0" customHeight="1">
      <c r="A89" s="650"/>
      <c r="B89" s="4"/>
      <c r="C89" s="650"/>
      <c r="D89" s="4"/>
      <c r="E89" s="4"/>
      <c r="F89" s="4"/>
      <c r="G89" s="4"/>
      <c r="H89" s="4"/>
      <c r="I89" s="4"/>
      <c r="J89" s="4"/>
      <c r="K89" s="4"/>
      <c r="L89" s="4"/>
      <c r="M89" s="4"/>
      <c r="N89" s="4"/>
      <c r="O89" s="4"/>
      <c r="P89" s="4"/>
      <c r="Q89" s="4"/>
      <c r="R89" s="4"/>
      <c r="S89" s="4"/>
      <c r="T89" s="4"/>
      <c r="U89" s="4"/>
      <c r="V89" s="4"/>
      <c r="W89" s="4"/>
      <c r="X89" s="4"/>
    </row>
    <row r="90" ht="21.0" customHeight="1">
      <c r="A90" s="650"/>
      <c r="B90" s="4"/>
      <c r="C90" s="650"/>
      <c r="D90" s="4"/>
      <c r="E90" s="4"/>
      <c r="F90" s="4"/>
      <c r="G90" s="4"/>
      <c r="H90" s="4"/>
      <c r="I90" s="4"/>
      <c r="J90" s="4"/>
      <c r="K90" s="4"/>
      <c r="L90" s="4"/>
      <c r="M90" s="4"/>
      <c r="N90" s="4"/>
      <c r="O90" s="4"/>
      <c r="P90" s="4"/>
      <c r="Q90" s="4"/>
      <c r="R90" s="4"/>
      <c r="S90" s="4"/>
      <c r="T90" s="4"/>
      <c r="U90" s="4"/>
      <c r="V90" s="4"/>
      <c r="W90" s="4"/>
      <c r="X90" s="4"/>
    </row>
    <row r="91" ht="21.0" customHeight="1">
      <c r="A91" s="650"/>
      <c r="B91" s="4"/>
      <c r="C91" s="650"/>
      <c r="D91" s="4"/>
      <c r="E91" s="4"/>
      <c r="F91" s="4"/>
      <c r="G91" s="4"/>
      <c r="H91" s="4"/>
      <c r="I91" s="4"/>
      <c r="J91" s="4"/>
      <c r="K91" s="4"/>
      <c r="L91" s="4"/>
      <c r="M91" s="4"/>
      <c r="N91" s="4"/>
      <c r="O91" s="4"/>
      <c r="P91" s="4"/>
      <c r="Q91" s="4"/>
      <c r="R91" s="4"/>
      <c r="S91" s="4"/>
      <c r="T91" s="4"/>
      <c r="U91" s="4"/>
      <c r="V91" s="4"/>
      <c r="W91" s="4"/>
      <c r="X91" s="4"/>
    </row>
    <row r="92" ht="21.0" customHeight="1">
      <c r="A92" s="650"/>
      <c r="B92" s="4"/>
      <c r="C92" s="650"/>
      <c r="D92" s="4"/>
      <c r="E92" s="4"/>
      <c r="F92" s="4"/>
      <c r="G92" s="4"/>
      <c r="H92" s="4"/>
      <c r="I92" s="4"/>
      <c r="J92" s="4"/>
      <c r="K92" s="4"/>
      <c r="L92" s="4"/>
      <c r="M92" s="4"/>
      <c r="N92" s="4"/>
      <c r="O92" s="4"/>
      <c r="P92" s="4"/>
      <c r="Q92" s="4"/>
      <c r="R92" s="4"/>
      <c r="S92" s="4"/>
      <c r="T92" s="4"/>
      <c r="U92" s="4"/>
      <c r="V92" s="4"/>
      <c r="W92" s="4"/>
      <c r="X92" s="4"/>
    </row>
    <row r="93" ht="21.0" customHeight="1">
      <c r="A93" s="650"/>
      <c r="B93" s="4"/>
      <c r="C93" s="650"/>
      <c r="D93" s="4"/>
      <c r="E93" s="4"/>
      <c r="F93" s="4"/>
      <c r="G93" s="4"/>
      <c r="H93" s="4"/>
      <c r="I93" s="4"/>
      <c r="J93" s="4"/>
      <c r="K93" s="4"/>
      <c r="L93" s="4"/>
      <c r="M93" s="4"/>
      <c r="N93" s="4"/>
      <c r="O93" s="4"/>
      <c r="P93" s="4"/>
      <c r="Q93" s="4"/>
      <c r="R93" s="4"/>
      <c r="S93" s="4"/>
      <c r="T93" s="4"/>
      <c r="U93" s="4"/>
      <c r="V93" s="4"/>
      <c r="W93" s="4"/>
      <c r="X93" s="4"/>
    </row>
    <row r="94" ht="21.0" customHeight="1">
      <c r="A94" s="650"/>
      <c r="B94" s="4"/>
      <c r="C94" s="650"/>
      <c r="D94" s="4"/>
      <c r="E94" s="4"/>
      <c r="F94" s="4"/>
      <c r="G94" s="4"/>
      <c r="H94" s="4"/>
      <c r="I94" s="4"/>
      <c r="J94" s="4"/>
      <c r="K94" s="4"/>
      <c r="L94" s="4"/>
      <c r="M94" s="4"/>
      <c r="N94" s="4"/>
      <c r="O94" s="4"/>
      <c r="P94" s="4"/>
      <c r="Q94" s="4"/>
      <c r="R94" s="4"/>
      <c r="S94" s="4"/>
      <c r="T94" s="4"/>
      <c r="U94" s="4"/>
      <c r="V94" s="4"/>
      <c r="W94" s="4"/>
      <c r="X94" s="4"/>
    </row>
    <row r="95" ht="21.0" customHeight="1">
      <c r="A95" s="650"/>
      <c r="B95" s="4"/>
      <c r="C95" s="650"/>
      <c r="D95" s="4"/>
      <c r="E95" s="4"/>
      <c r="F95" s="4"/>
      <c r="G95" s="4"/>
      <c r="H95" s="4"/>
      <c r="I95" s="4"/>
      <c r="J95" s="4"/>
      <c r="K95" s="4"/>
      <c r="L95" s="4"/>
      <c r="M95" s="4"/>
      <c r="N95" s="4"/>
      <c r="O95" s="4"/>
      <c r="P95" s="4"/>
      <c r="Q95" s="4"/>
      <c r="R95" s="4"/>
      <c r="S95" s="4"/>
      <c r="T95" s="4"/>
      <c r="U95" s="4"/>
      <c r="V95" s="4"/>
      <c r="W95" s="4"/>
      <c r="X95" s="4"/>
    </row>
    <row r="96" ht="21.0" customHeight="1">
      <c r="A96" s="650"/>
      <c r="B96" s="4"/>
      <c r="C96" s="650"/>
      <c r="D96" s="4"/>
      <c r="E96" s="4"/>
      <c r="F96" s="4"/>
      <c r="G96" s="4"/>
      <c r="H96" s="4"/>
      <c r="I96" s="4"/>
      <c r="J96" s="4"/>
      <c r="K96" s="4"/>
      <c r="L96" s="4"/>
      <c r="M96" s="4"/>
      <c r="N96" s="4"/>
      <c r="O96" s="4"/>
      <c r="P96" s="4"/>
      <c r="Q96" s="4"/>
      <c r="R96" s="4"/>
      <c r="S96" s="4"/>
      <c r="T96" s="4"/>
      <c r="U96" s="4"/>
      <c r="V96" s="4"/>
      <c r="W96" s="4"/>
      <c r="X96" s="4"/>
    </row>
    <row r="97" ht="21.0" customHeight="1">
      <c r="A97" s="650"/>
      <c r="B97" s="4"/>
      <c r="C97" s="650"/>
      <c r="D97" s="4"/>
      <c r="E97" s="4"/>
      <c r="F97" s="4"/>
      <c r="G97" s="4"/>
      <c r="H97" s="4"/>
      <c r="I97" s="4"/>
      <c r="J97" s="4"/>
      <c r="K97" s="4"/>
      <c r="L97" s="4"/>
      <c r="M97" s="4"/>
      <c r="N97" s="4"/>
      <c r="O97" s="4"/>
      <c r="P97" s="4"/>
      <c r="Q97" s="4"/>
      <c r="R97" s="4"/>
      <c r="S97" s="4"/>
      <c r="T97" s="4"/>
      <c r="U97" s="4"/>
      <c r="V97" s="4"/>
      <c r="W97" s="4"/>
      <c r="X97" s="4"/>
    </row>
    <row r="98" ht="21.0" customHeight="1">
      <c r="A98" s="650"/>
      <c r="B98" s="4"/>
      <c r="C98" s="650"/>
      <c r="D98" s="4"/>
      <c r="E98" s="4"/>
      <c r="F98" s="4"/>
      <c r="G98" s="4"/>
      <c r="H98" s="4"/>
      <c r="I98" s="4"/>
      <c r="J98" s="4"/>
      <c r="K98" s="4"/>
      <c r="L98" s="4"/>
      <c r="M98" s="4"/>
      <c r="N98" s="4"/>
      <c r="O98" s="4"/>
      <c r="P98" s="4"/>
      <c r="Q98" s="4"/>
      <c r="R98" s="4"/>
      <c r="S98" s="4"/>
      <c r="T98" s="4"/>
      <c r="U98" s="4"/>
      <c r="V98" s="4"/>
      <c r="W98" s="4"/>
      <c r="X98" s="4"/>
    </row>
    <row r="99" ht="21.0" customHeight="1">
      <c r="A99" s="650"/>
      <c r="B99" s="4"/>
      <c r="C99" s="650"/>
      <c r="D99" s="4"/>
      <c r="E99" s="4"/>
      <c r="F99" s="4"/>
      <c r="G99" s="4"/>
      <c r="H99" s="4"/>
      <c r="I99" s="4"/>
      <c r="J99" s="4"/>
      <c r="K99" s="4"/>
      <c r="L99" s="4"/>
      <c r="M99" s="4"/>
      <c r="N99" s="4"/>
      <c r="O99" s="4"/>
      <c r="P99" s="4"/>
      <c r="Q99" s="4"/>
      <c r="R99" s="4"/>
      <c r="S99" s="4"/>
      <c r="T99" s="4"/>
      <c r="U99" s="4"/>
      <c r="V99" s="4"/>
      <c r="W99" s="4"/>
      <c r="X99" s="4"/>
    </row>
    <row r="100" ht="21.0" customHeight="1">
      <c r="A100" s="650"/>
      <c r="B100" s="4"/>
      <c r="C100" s="650"/>
      <c r="D100" s="4"/>
      <c r="E100" s="4"/>
      <c r="F100" s="4"/>
      <c r="G100" s="4"/>
      <c r="H100" s="4"/>
      <c r="I100" s="4"/>
      <c r="J100" s="4"/>
      <c r="K100" s="4"/>
      <c r="L100" s="4"/>
      <c r="M100" s="4"/>
      <c r="N100" s="4"/>
      <c r="O100" s="4"/>
      <c r="P100" s="4"/>
      <c r="Q100" s="4"/>
      <c r="R100" s="4"/>
      <c r="S100" s="4"/>
      <c r="T100" s="4"/>
      <c r="U100" s="4"/>
      <c r="V100" s="4"/>
      <c r="W100" s="4"/>
      <c r="X100" s="4"/>
    </row>
    <row r="101" ht="21.0" customHeight="1">
      <c r="A101" s="650"/>
      <c r="B101" s="4"/>
      <c r="C101" s="650"/>
      <c r="D101" s="4"/>
      <c r="E101" s="4"/>
      <c r="F101" s="4"/>
      <c r="G101" s="4"/>
      <c r="H101" s="4"/>
      <c r="I101" s="4"/>
      <c r="J101" s="4"/>
      <c r="K101" s="4"/>
      <c r="L101" s="4"/>
      <c r="M101" s="4"/>
      <c r="N101" s="4"/>
      <c r="O101" s="4"/>
      <c r="P101" s="4"/>
      <c r="Q101" s="4"/>
      <c r="R101" s="4"/>
      <c r="S101" s="4"/>
      <c r="T101" s="4"/>
      <c r="U101" s="4"/>
      <c r="V101" s="4"/>
      <c r="W101" s="4"/>
      <c r="X101" s="4"/>
    </row>
    <row r="102" ht="21.0" customHeight="1">
      <c r="A102" s="650"/>
      <c r="B102" s="4"/>
      <c r="C102" s="650"/>
      <c r="D102" s="4"/>
      <c r="E102" s="4"/>
      <c r="F102" s="4"/>
      <c r="G102" s="4"/>
      <c r="H102" s="4"/>
      <c r="I102" s="4"/>
      <c r="J102" s="4"/>
      <c r="K102" s="4"/>
      <c r="L102" s="4"/>
      <c r="M102" s="4"/>
      <c r="N102" s="4"/>
      <c r="O102" s="4"/>
      <c r="P102" s="4"/>
      <c r="Q102" s="4"/>
      <c r="R102" s="4"/>
      <c r="S102" s="4"/>
      <c r="T102" s="4"/>
      <c r="U102" s="4"/>
      <c r="V102" s="4"/>
      <c r="W102" s="4"/>
      <c r="X102" s="4"/>
    </row>
    <row r="103" ht="21.0" customHeight="1">
      <c r="A103" s="650"/>
      <c r="B103" s="4"/>
      <c r="C103" s="650"/>
      <c r="D103" s="4"/>
      <c r="E103" s="4"/>
      <c r="F103" s="4"/>
      <c r="G103" s="4"/>
      <c r="H103" s="4"/>
      <c r="I103" s="4"/>
      <c r="J103" s="4"/>
      <c r="K103" s="4"/>
      <c r="L103" s="4"/>
      <c r="M103" s="4"/>
      <c r="N103" s="4"/>
      <c r="O103" s="4"/>
      <c r="P103" s="4"/>
      <c r="Q103" s="4"/>
      <c r="R103" s="4"/>
      <c r="S103" s="4"/>
      <c r="T103" s="4"/>
      <c r="U103" s="4"/>
      <c r="V103" s="4"/>
      <c r="W103" s="4"/>
      <c r="X103" s="4"/>
    </row>
    <row r="104" ht="21.0" customHeight="1">
      <c r="A104" s="650"/>
      <c r="B104" s="4"/>
      <c r="C104" s="650"/>
      <c r="D104" s="4"/>
      <c r="E104" s="4"/>
      <c r="F104" s="4"/>
      <c r="G104" s="4"/>
      <c r="H104" s="4"/>
      <c r="I104" s="4"/>
      <c r="J104" s="4"/>
      <c r="K104" s="4"/>
      <c r="L104" s="4"/>
      <c r="M104" s="4"/>
      <c r="N104" s="4"/>
      <c r="O104" s="4"/>
      <c r="P104" s="4"/>
      <c r="Q104" s="4"/>
      <c r="R104" s="4"/>
      <c r="S104" s="4"/>
      <c r="T104" s="4"/>
      <c r="U104" s="4"/>
      <c r="V104" s="4"/>
      <c r="W104" s="4"/>
      <c r="X104" s="4"/>
    </row>
    <row r="105" ht="21.0" customHeight="1">
      <c r="A105" s="650"/>
      <c r="B105" s="4"/>
      <c r="C105" s="650"/>
      <c r="D105" s="4"/>
      <c r="E105" s="4"/>
      <c r="F105" s="4"/>
      <c r="G105" s="4"/>
      <c r="H105" s="4"/>
      <c r="I105" s="4"/>
      <c r="J105" s="4"/>
      <c r="K105" s="4"/>
      <c r="L105" s="4"/>
      <c r="M105" s="4"/>
      <c r="N105" s="4"/>
      <c r="O105" s="4"/>
      <c r="P105" s="4"/>
      <c r="Q105" s="4"/>
      <c r="R105" s="4"/>
      <c r="S105" s="4"/>
      <c r="T105" s="4"/>
      <c r="U105" s="4"/>
      <c r="V105" s="4"/>
      <c r="W105" s="4"/>
      <c r="X105" s="4"/>
    </row>
    <row r="106" ht="21.0" customHeight="1">
      <c r="A106" s="650"/>
      <c r="B106" s="4"/>
      <c r="C106" s="650"/>
      <c r="D106" s="4"/>
      <c r="E106" s="4"/>
      <c r="F106" s="4"/>
      <c r="G106" s="4"/>
      <c r="H106" s="4"/>
      <c r="I106" s="4"/>
      <c r="J106" s="4"/>
      <c r="K106" s="4"/>
      <c r="L106" s="4"/>
      <c r="M106" s="4"/>
      <c r="N106" s="4"/>
      <c r="O106" s="4"/>
      <c r="P106" s="4"/>
      <c r="Q106" s="4"/>
      <c r="R106" s="4"/>
      <c r="S106" s="4"/>
      <c r="T106" s="4"/>
      <c r="U106" s="4"/>
      <c r="V106" s="4"/>
      <c r="W106" s="4"/>
      <c r="X106" s="4"/>
    </row>
    <row r="107" ht="21.0" customHeight="1">
      <c r="A107" s="650"/>
      <c r="B107" s="4"/>
      <c r="C107" s="650"/>
      <c r="D107" s="4"/>
      <c r="E107" s="4"/>
      <c r="F107" s="4"/>
      <c r="G107" s="4"/>
      <c r="H107" s="4"/>
      <c r="I107" s="4"/>
      <c r="J107" s="4"/>
      <c r="K107" s="4"/>
      <c r="L107" s="4"/>
      <c r="M107" s="4"/>
      <c r="N107" s="4"/>
      <c r="O107" s="4"/>
      <c r="P107" s="4"/>
      <c r="Q107" s="4"/>
      <c r="R107" s="4"/>
      <c r="S107" s="4"/>
      <c r="T107" s="4"/>
      <c r="U107" s="4"/>
      <c r="V107" s="4"/>
      <c r="W107" s="4"/>
      <c r="X107" s="4"/>
    </row>
    <row r="108" ht="21.0" customHeight="1">
      <c r="A108" s="650"/>
      <c r="B108" s="4"/>
      <c r="C108" s="650"/>
      <c r="D108" s="4"/>
      <c r="E108" s="4"/>
      <c r="F108" s="4"/>
      <c r="G108" s="4"/>
      <c r="H108" s="4"/>
      <c r="I108" s="4"/>
      <c r="J108" s="4"/>
      <c r="K108" s="4"/>
      <c r="L108" s="4"/>
      <c r="M108" s="4"/>
      <c r="N108" s="4"/>
      <c r="O108" s="4"/>
      <c r="P108" s="4"/>
      <c r="Q108" s="4"/>
      <c r="R108" s="4"/>
      <c r="S108" s="4"/>
      <c r="T108" s="4"/>
      <c r="U108" s="4"/>
      <c r="V108" s="4"/>
      <c r="W108" s="4"/>
      <c r="X108" s="4"/>
    </row>
    <row r="109" ht="21.0" customHeight="1">
      <c r="A109" s="650"/>
      <c r="B109" s="4"/>
      <c r="C109" s="650"/>
      <c r="D109" s="4"/>
      <c r="E109" s="4"/>
      <c r="F109" s="4"/>
      <c r="G109" s="4"/>
      <c r="H109" s="4"/>
      <c r="I109" s="4"/>
      <c r="J109" s="4"/>
      <c r="K109" s="4"/>
      <c r="L109" s="4"/>
      <c r="M109" s="4"/>
      <c r="N109" s="4"/>
      <c r="O109" s="4"/>
      <c r="P109" s="4"/>
      <c r="Q109" s="4"/>
      <c r="R109" s="4"/>
      <c r="S109" s="4"/>
      <c r="T109" s="4"/>
      <c r="U109" s="4"/>
      <c r="V109" s="4"/>
      <c r="W109" s="4"/>
      <c r="X109" s="4"/>
    </row>
    <row r="110" ht="21.0" customHeight="1">
      <c r="A110" s="650"/>
      <c r="B110" s="4"/>
      <c r="C110" s="650"/>
      <c r="D110" s="4"/>
      <c r="E110" s="4"/>
      <c r="F110" s="4"/>
      <c r="G110" s="4"/>
      <c r="H110" s="4"/>
      <c r="I110" s="4"/>
      <c r="J110" s="4"/>
      <c r="K110" s="4"/>
      <c r="L110" s="4"/>
      <c r="M110" s="4"/>
      <c r="N110" s="4"/>
      <c r="O110" s="4"/>
      <c r="P110" s="4"/>
      <c r="Q110" s="4"/>
      <c r="R110" s="4"/>
      <c r="S110" s="4"/>
      <c r="T110" s="4"/>
      <c r="U110" s="4"/>
      <c r="V110" s="4"/>
      <c r="W110" s="4"/>
      <c r="X110" s="4"/>
    </row>
    <row r="111" ht="21.0" customHeight="1">
      <c r="A111" s="650"/>
      <c r="B111" s="4"/>
      <c r="C111" s="650"/>
      <c r="D111" s="4"/>
      <c r="E111" s="4"/>
      <c r="F111" s="4"/>
      <c r="G111" s="4"/>
      <c r="H111" s="4"/>
      <c r="I111" s="4"/>
      <c r="J111" s="4"/>
      <c r="K111" s="4"/>
      <c r="L111" s="4"/>
      <c r="M111" s="4"/>
      <c r="N111" s="4"/>
      <c r="O111" s="4"/>
      <c r="P111" s="4"/>
      <c r="Q111" s="4"/>
      <c r="R111" s="4"/>
      <c r="S111" s="4"/>
      <c r="T111" s="4"/>
      <c r="U111" s="4"/>
      <c r="V111" s="4"/>
      <c r="W111" s="4"/>
      <c r="X111" s="4"/>
    </row>
    <row r="112" ht="21.0" customHeight="1">
      <c r="A112" s="650"/>
      <c r="B112" s="4"/>
      <c r="C112" s="650"/>
      <c r="D112" s="4"/>
      <c r="E112" s="4"/>
      <c r="F112" s="4"/>
      <c r="G112" s="4"/>
      <c r="H112" s="4"/>
      <c r="I112" s="4"/>
      <c r="J112" s="4"/>
      <c r="K112" s="4"/>
      <c r="L112" s="4"/>
      <c r="M112" s="4"/>
      <c r="N112" s="4"/>
      <c r="O112" s="4"/>
      <c r="P112" s="4"/>
      <c r="Q112" s="4"/>
      <c r="R112" s="4"/>
      <c r="S112" s="4"/>
      <c r="T112" s="4"/>
      <c r="U112" s="4"/>
      <c r="V112" s="4"/>
      <c r="W112" s="4"/>
      <c r="X112" s="4"/>
    </row>
    <row r="113" ht="21.0" customHeight="1">
      <c r="A113" s="650"/>
      <c r="B113" s="4"/>
      <c r="C113" s="650"/>
      <c r="D113" s="4"/>
      <c r="E113" s="4"/>
      <c r="F113" s="4"/>
      <c r="G113" s="4"/>
      <c r="H113" s="4"/>
      <c r="I113" s="4"/>
      <c r="J113" s="4"/>
      <c r="K113" s="4"/>
      <c r="L113" s="4"/>
      <c r="M113" s="4"/>
      <c r="N113" s="4"/>
      <c r="O113" s="4"/>
      <c r="P113" s="4"/>
      <c r="Q113" s="4"/>
      <c r="R113" s="4"/>
      <c r="S113" s="4"/>
      <c r="T113" s="4"/>
      <c r="U113" s="4"/>
      <c r="V113" s="4"/>
      <c r="W113" s="4"/>
      <c r="X113" s="4"/>
    </row>
    <row r="114" ht="21.0" customHeight="1">
      <c r="A114" s="650"/>
      <c r="B114" s="4"/>
      <c r="C114" s="650"/>
      <c r="D114" s="4"/>
      <c r="E114" s="4"/>
      <c r="F114" s="4"/>
      <c r="G114" s="4"/>
      <c r="H114" s="4"/>
      <c r="I114" s="4"/>
      <c r="J114" s="4"/>
      <c r="K114" s="4"/>
      <c r="L114" s="4"/>
      <c r="M114" s="4"/>
      <c r="N114" s="4"/>
      <c r="O114" s="4"/>
      <c r="P114" s="4"/>
      <c r="Q114" s="4"/>
      <c r="R114" s="4"/>
      <c r="S114" s="4"/>
      <c r="T114" s="4"/>
      <c r="U114" s="4"/>
      <c r="V114" s="4"/>
      <c r="W114" s="4"/>
      <c r="X114" s="4"/>
    </row>
    <row r="115" ht="21.0" customHeight="1">
      <c r="A115" s="650"/>
      <c r="B115" s="4"/>
      <c r="C115" s="650"/>
      <c r="D115" s="4"/>
      <c r="E115" s="4"/>
      <c r="F115" s="4"/>
      <c r="G115" s="4"/>
      <c r="H115" s="4"/>
      <c r="I115" s="4"/>
      <c r="J115" s="4"/>
      <c r="K115" s="4"/>
      <c r="L115" s="4"/>
      <c r="M115" s="4"/>
      <c r="N115" s="4"/>
      <c r="O115" s="4"/>
      <c r="P115" s="4"/>
      <c r="Q115" s="4"/>
      <c r="R115" s="4"/>
      <c r="S115" s="4"/>
      <c r="T115" s="4"/>
      <c r="U115" s="4"/>
      <c r="V115" s="4"/>
      <c r="W115" s="4"/>
      <c r="X115" s="4"/>
    </row>
    <row r="116" ht="21.0" customHeight="1">
      <c r="A116" s="650"/>
      <c r="B116" s="4"/>
      <c r="C116" s="650"/>
      <c r="D116" s="4"/>
      <c r="E116" s="4"/>
      <c r="F116" s="4"/>
      <c r="G116" s="4"/>
      <c r="H116" s="4"/>
      <c r="I116" s="4"/>
      <c r="J116" s="4"/>
      <c r="K116" s="4"/>
      <c r="L116" s="4"/>
      <c r="M116" s="4"/>
      <c r="N116" s="4"/>
      <c r="O116" s="4"/>
      <c r="P116" s="4"/>
      <c r="Q116" s="4"/>
      <c r="R116" s="4"/>
      <c r="S116" s="4"/>
      <c r="T116" s="4"/>
      <c r="U116" s="4"/>
      <c r="V116" s="4"/>
      <c r="W116" s="4"/>
      <c r="X116" s="4"/>
    </row>
    <row r="117" ht="21.0" customHeight="1">
      <c r="A117" s="650"/>
      <c r="B117" s="4"/>
      <c r="C117" s="650"/>
      <c r="D117" s="4"/>
      <c r="E117" s="4"/>
      <c r="F117" s="4"/>
      <c r="G117" s="4"/>
      <c r="H117" s="4"/>
      <c r="I117" s="4"/>
      <c r="J117" s="4"/>
      <c r="K117" s="4"/>
      <c r="L117" s="4"/>
      <c r="M117" s="4"/>
      <c r="N117" s="4"/>
      <c r="O117" s="4"/>
      <c r="P117" s="4"/>
      <c r="Q117" s="4"/>
      <c r="R117" s="4"/>
      <c r="S117" s="4"/>
      <c r="T117" s="4"/>
      <c r="U117" s="4"/>
      <c r="V117" s="4"/>
      <c r="W117" s="4"/>
      <c r="X117" s="4"/>
    </row>
    <row r="118" ht="21.0" customHeight="1">
      <c r="A118" s="650"/>
      <c r="B118" s="4"/>
      <c r="C118" s="650"/>
      <c r="D118" s="4"/>
      <c r="E118" s="4"/>
      <c r="F118" s="4"/>
      <c r="G118" s="4"/>
      <c r="H118" s="4"/>
      <c r="I118" s="4"/>
      <c r="J118" s="4"/>
      <c r="K118" s="4"/>
      <c r="L118" s="4"/>
      <c r="M118" s="4"/>
      <c r="N118" s="4"/>
      <c r="O118" s="4"/>
      <c r="P118" s="4"/>
      <c r="Q118" s="4"/>
      <c r="R118" s="4"/>
      <c r="S118" s="4"/>
      <c r="T118" s="4"/>
      <c r="U118" s="4"/>
      <c r="V118" s="4"/>
      <c r="W118" s="4"/>
      <c r="X118" s="4"/>
    </row>
    <row r="119" ht="21.0" customHeight="1">
      <c r="A119" s="650"/>
      <c r="B119" s="4"/>
      <c r="C119" s="650"/>
      <c r="D119" s="4"/>
      <c r="E119" s="4"/>
      <c r="F119" s="4"/>
      <c r="G119" s="4"/>
      <c r="H119" s="4"/>
      <c r="I119" s="4"/>
      <c r="J119" s="4"/>
      <c r="K119" s="4"/>
      <c r="L119" s="4"/>
      <c r="M119" s="4"/>
      <c r="N119" s="4"/>
      <c r="O119" s="4"/>
      <c r="P119" s="4"/>
      <c r="Q119" s="4"/>
      <c r="R119" s="4"/>
      <c r="S119" s="4"/>
      <c r="T119" s="4"/>
      <c r="U119" s="4"/>
      <c r="V119" s="4"/>
      <c r="W119" s="4"/>
      <c r="X119" s="4"/>
    </row>
    <row r="120" ht="21.0" customHeight="1">
      <c r="A120" s="650"/>
      <c r="B120" s="4"/>
      <c r="C120" s="650"/>
      <c r="D120" s="4"/>
      <c r="E120" s="4"/>
      <c r="F120" s="4"/>
      <c r="G120" s="4"/>
      <c r="H120" s="4"/>
      <c r="I120" s="4"/>
      <c r="J120" s="4"/>
      <c r="K120" s="4"/>
      <c r="L120" s="4"/>
      <c r="M120" s="4"/>
      <c r="N120" s="4"/>
      <c r="O120" s="4"/>
      <c r="P120" s="4"/>
      <c r="Q120" s="4"/>
      <c r="R120" s="4"/>
      <c r="S120" s="4"/>
      <c r="T120" s="4"/>
      <c r="U120" s="4"/>
      <c r="V120" s="4"/>
      <c r="W120" s="4"/>
      <c r="X120" s="4"/>
    </row>
    <row r="121" ht="21.0" customHeight="1">
      <c r="A121" s="650"/>
      <c r="B121" s="4"/>
      <c r="C121" s="650"/>
      <c r="D121" s="4"/>
      <c r="E121" s="4"/>
      <c r="F121" s="4"/>
      <c r="G121" s="4"/>
      <c r="H121" s="4"/>
      <c r="I121" s="4"/>
      <c r="J121" s="4"/>
      <c r="K121" s="4"/>
      <c r="L121" s="4"/>
      <c r="M121" s="4"/>
      <c r="N121" s="4"/>
      <c r="O121" s="4"/>
      <c r="P121" s="4"/>
      <c r="Q121" s="4"/>
      <c r="R121" s="4"/>
      <c r="S121" s="4"/>
      <c r="T121" s="4"/>
      <c r="U121" s="4"/>
      <c r="V121" s="4"/>
      <c r="W121" s="4"/>
      <c r="X121" s="4"/>
    </row>
    <row r="122" ht="21.0" customHeight="1">
      <c r="A122" s="650"/>
      <c r="B122" s="4"/>
      <c r="C122" s="650"/>
      <c r="D122" s="4"/>
      <c r="E122" s="4"/>
      <c r="F122" s="4"/>
      <c r="G122" s="4"/>
      <c r="H122" s="4"/>
      <c r="I122" s="4"/>
      <c r="J122" s="4"/>
      <c r="K122" s="4"/>
      <c r="L122" s="4"/>
      <c r="M122" s="4"/>
      <c r="N122" s="4"/>
      <c r="O122" s="4"/>
      <c r="P122" s="4"/>
      <c r="Q122" s="4"/>
      <c r="R122" s="4"/>
      <c r="S122" s="4"/>
      <c r="T122" s="4"/>
      <c r="U122" s="4"/>
      <c r="V122" s="4"/>
      <c r="W122" s="4"/>
      <c r="X122" s="4"/>
    </row>
    <row r="123" ht="21.0" customHeight="1">
      <c r="A123" s="650"/>
      <c r="B123" s="4"/>
      <c r="C123" s="650"/>
      <c r="D123" s="4"/>
      <c r="E123" s="4"/>
      <c r="F123" s="4"/>
      <c r="G123" s="4"/>
      <c r="H123" s="4"/>
      <c r="I123" s="4"/>
      <c r="J123" s="4"/>
      <c r="K123" s="4"/>
      <c r="L123" s="4"/>
      <c r="M123" s="4"/>
      <c r="N123" s="4"/>
      <c r="O123" s="4"/>
      <c r="P123" s="4"/>
      <c r="Q123" s="4"/>
      <c r="R123" s="4"/>
      <c r="S123" s="4"/>
      <c r="T123" s="4"/>
      <c r="U123" s="4"/>
      <c r="V123" s="4"/>
      <c r="W123" s="4"/>
      <c r="X123" s="4"/>
    </row>
    <row r="124" ht="21.0" customHeight="1">
      <c r="A124" s="650"/>
      <c r="B124" s="4"/>
      <c r="C124" s="650"/>
      <c r="D124" s="4"/>
      <c r="E124" s="4"/>
      <c r="F124" s="4"/>
      <c r="G124" s="4"/>
      <c r="H124" s="4"/>
      <c r="I124" s="4"/>
      <c r="J124" s="4"/>
      <c r="K124" s="4"/>
      <c r="L124" s="4"/>
      <c r="M124" s="4"/>
      <c r="N124" s="4"/>
      <c r="O124" s="4"/>
      <c r="P124" s="4"/>
      <c r="Q124" s="4"/>
      <c r="R124" s="4"/>
      <c r="S124" s="4"/>
      <c r="T124" s="4"/>
      <c r="U124" s="4"/>
      <c r="V124" s="4"/>
      <c r="W124" s="4"/>
      <c r="X124" s="4"/>
    </row>
    <row r="125" ht="21.0" customHeight="1">
      <c r="A125" s="650"/>
      <c r="B125" s="4"/>
      <c r="C125" s="650"/>
      <c r="D125" s="4"/>
      <c r="E125" s="4"/>
      <c r="F125" s="4"/>
      <c r="G125" s="4"/>
      <c r="H125" s="4"/>
      <c r="I125" s="4"/>
      <c r="J125" s="4"/>
      <c r="K125" s="4"/>
      <c r="L125" s="4"/>
      <c r="M125" s="4"/>
      <c r="N125" s="4"/>
      <c r="O125" s="4"/>
      <c r="P125" s="4"/>
      <c r="Q125" s="4"/>
      <c r="R125" s="4"/>
      <c r="S125" s="4"/>
      <c r="T125" s="4"/>
      <c r="U125" s="4"/>
      <c r="V125" s="4"/>
      <c r="W125" s="4"/>
      <c r="X125" s="4"/>
    </row>
    <row r="126" ht="21.0" customHeight="1">
      <c r="A126" s="650"/>
      <c r="B126" s="4"/>
      <c r="C126" s="650"/>
      <c r="D126" s="4"/>
      <c r="E126" s="4"/>
      <c r="F126" s="4"/>
      <c r="G126" s="4"/>
      <c r="H126" s="4"/>
      <c r="I126" s="4"/>
      <c r="J126" s="4"/>
      <c r="K126" s="4"/>
      <c r="L126" s="4"/>
      <c r="M126" s="4"/>
      <c r="N126" s="4"/>
      <c r="O126" s="4"/>
      <c r="P126" s="4"/>
      <c r="Q126" s="4"/>
      <c r="R126" s="4"/>
      <c r="S126" s="4"/>
      <c r="T126" s="4"/>
      <c r="U126" s="4"/>
      <c r="V126" s="4"/>
      <c r="W126" s="4"/>
      <c r="X126" s="4"/>
    </row>
    <row r="127" ht="21.0" customHeight="1">
      <c r="A127" s="650"/>
      <c r="B127" s="4"/>
      <c r="C127" s="650"/>
      <c r="D127" s="4"/>
      <c r="E127" s="4"/>
      <c r="F127" s="4"/>
      <c r="G127" s="4"/>
      <c r="H127" s="4"/>
      <c r="I127" s="4"/>
      <c r="J127" s="4"/>
      <c r="K127" s="4"/>
      <c r="L127" s="4"/>
      <c r="M127" s="4"/>
      <c r="N127" s="4"/>
      <c r="O127" s="4"/>
      <c r="P127" s="4"/>
      <c r="Q127" s="4"/>
      <c r="R127" s="4"/>
      <c r="S127" s="4"/>
      <c r="T127" s="4"/>
      <c r="U127" s="4"/>
      <c r="V127" s="4"/>
      <c r="W127" s="4"/>
      <c r="X127" s="4"/>
    </row>
    <row r="128" ht="21.0" customHeight="1">
      <c r="A128" s="650"/>
      <c r="B128" s="4"/>
      <c r="C128" s="650"/>
      <c r="D128" s="4"/>
      <c r="E128" s="4"/>
      <c r="F128" s="4"/>
      <c r="G128" s="4"/>
      <c r="H128" s="4"/>
      <c r="I128" s="4"/>
      <c r="J128" s="4"/>
      <c r="K128" s="4"/>
      <c r="L128" s="4"/>
      <c r="M128" s="4"/>
      <c r="N128" s="4"/>
      <c r="O128" s="4"/>
      <c r="P128" s="4"/>
      <c r="Q128" s="4"/>
      <c r="R128" s="4"/>
      <c r="S128" s="4"/>
      <c r="T128" s="4"/>
      <c r="U128" s="4"/>
      <c r="V128" s="4"/>
      <c r="W128" s="4"/>
      <c r="X128" s="4"/>
    </row>
    <row r="129" ht="21.0" customHeight="1">
      <c r="A129" s="650"/>
      <c r="B129" s="4"/>
      <c r="C129" s="650"/>
      <c r="D129" s="4"/>
      <c r="E129" s="4"/>
      <c r="F129" s="4"/>
      <c r="G129" s="4"/>
      <c r="H129" s="4"/>
      <c r="I129" s="4"/>
      <c r="J129" s="4"/>
      <c r="K129" s="4"/>
      <c r="L129" s="4"/>
      <c r="M129" s="4"/>
      <c r="N129" s="4"/>
      <c r="O129" s="4"/>
      <c r="P129" s="4"/>
      <c r="Q129" s="4"/>
      <c r="R129" s="4"/>
      <c r="S129" s="4"/>
      <c r="T129" s="4"/>
      <c r="U129" s="4"/>
      <c r="V129" s="4"/>
      <c r="W129" s="4"/>
      <c r="X129" s="4"/>
    </row>
    <row r="130" ht="21.0" customHeight="1">
      <c r="A130" s="650"/>
      <c r="B130" s="4"/>
      <c r="C130" s="650"/>
      <c r="D130" s="4"/>
      <c r="E130" s="4"/>
      <c r="F130" s="4"/>
      <c r="G130" s="4"/>
      <c r="H130" s="4"/>
      <c r="I130" s="4"/>
      <c r="J130" s="4"/>
      <c r="K130" s="4"/>
      <c r="L130" s="4"/>
      <c r="M130" s="4"/>
      <c r="N130" s="4"/>
      <c r="O130" s="4"/>
      <c r="P130" s="4"/>
      <c r="Q130" s="4"/>
      <c r="R130" s="4"/>
      <c r="S130" s="4"/>
      <c r="T130" s="4"/>
      <c r="U130" s="4"/>
      <c r="V130" s="4"/>
      <c r="W130" s="4"/>
      <c r="X130" s="4"/>
    </row>
    <row r="131" ht="21.0" customHeight="1">
      <c r="A131" s="650"/>
      <c r="B131" s="4"/>
      <c r="C131" s="650"/>
      <c r="D131" s="4"/>
      <c r="E131" s="4"/>
      <c r="F131" s="4"/>
      <c r="G131" s="4"/>
      <c r="H131" s="4"/>
      <c r="I131" s="4"/>
      <c r="J131" s="4"/>
      <c r="K131" s="4"/>
      <c r="L131" s="4"/>
      <c r="M131" s="4"/>
      <c r="N131" s="4"/>
      <c r="O131" s="4"/>
      <c r="P131" s="4"/>
      <c r="Q131" s="4"/>
      <c r="R131" s="4"/>
      <c r="S131" s="4"/>
      <c r="T131" s="4"/>
      <c r="U131" s="4"/>
      <c r="V131" s="4"/>
      <c r="W131" s="4"/>
      <c r="X131" s="4"/>
    </row>
    <row r="132" ht="21.0" customHeight="1">
      <c r="A132" s="650"/>
      <c r="B132" s="4"/>
      <c r="C132" s="650"/>
      <c r="D132" s="4"/>
      <c r="E132" s="4"/>
      <c r="F132" s="4"/>
      <c r="G132" s="4"/>
      <c r="H132" s="4"/>
      <c r="I132" s="4"/>
      <c r="J132" s="4"/>
      <c r="K132" s="4"/>
      <c r="L132" s="4"/>
      <c r="M132" s="4"/>
      <c r="N132" s="4"/>
      <c r="O132" s="4"/>
      <c r="P132" s="4"/>
      <c r="Q132" s="4"/>
      <c r="R132" s="4"/>
      <c r="S132" s="4"/>
      <c r="T132" s="4"/>
      <c r="U132" s="4"/>
      <c r="V132" s="4"/>
      <c r="W132" s="4"/>
      <c r="X132" s="4"/>
    </row>
    <row r="133" ht="21.0" customHeight="1">
      <c r="A133" s="650"/>
      <c r="B133" s="4"/>
      <c r="C133" s="650"/>
      <c r="D133" s="4"/>
      <c r="E133" s="4"/>
      <c r="F133" s="4"/>
      <c r="G133" s="4"/>
      <c r="H133" s="4"/>
      <c r="I133" s="4"/>
      <c r="J133" s="4"/>
      <c r="K133" s="4"/>
      <c r="L133" s="4"/>
      <c r="M133" s="4"/>
      <c r="N133" s="4"/>
      <c r="O133" s="4"/>
      <c r="P133" s="4"/>
      <c r="Q133" s="4"/>
      <c r="R133" s="4"/>
      <c r="S133" s="4"/>
      <c r="T133" s="4"/>
      <c r="U133" s="4"/>
      <c r="V133" s="4"/>
      <c r="W133" s="4"/>
      <c r="X133" s="4"/>
    </row>
    <row r="134" ht="21.0" customHeight="1">
      <c r="A134" s="650"/>
      <c r="B134" s="4"/>
      <c r="C134" s="650"/>
      <c r="D134" s="4"/>
      <c r="E134" s="4"/>
      <c r="F134" s="4"/>
      <c r="G134" s="4"/>
      <c r="H134" s="4"/>
      <c r="I134" s="4"/>
      <c r="J134" s="4"/>
      <c r="K134" s="4"/>
      <c r="L134" s="4"/>
      <c r="M134" s="4"/>
      <c r="N134" s="4"/>
      <c r="O134" s="4"/>
      <c r="P134" s="4"/>
      <c r="Q134" s="4"/>
      <c r="R134" s="4"/>
      <c r="S134" s="4"/>
      <c r="T134" s="4"/>
      <c r="U134" s="4"/>
      <c r="V134" s="4"/>
      <c r="W134" s="4"/>
      <c r="X134" s="4"/>
    </row>
    <row r="135" ht="21.0" customHeight="1">
      <c r="A135" s="650"/>
      <c r="B135" s="4"/>
      <c r="C135" s="650"/>
      <c r="D135" s="4"/>
      <c r="E135" s="4"/>
      <c r="F135" s="4"/>
      <c r="G135" s="4"/>
      <c r="H135" s="4"/>
      <c r="I135" s="4"/>
      <c r="J135" s="4"/>
      <c r="K135" s="4"/>
      <c r="L135" s="4"/>
      <c r="M135" s="4"/>
      <c r="N135" s="4"/>
      <c r="O135" s="4"/>
      <c r="P135" s="4"/>
      <c r="Q135" s="4"/>
      <c r="R135" s="4"/>
      <c r="S135" s="4"/>
      <c r="T135" s="4"/>
      <c r="U135" s="4"/>
      <c r="V135" s="4"/>
      <c r="W135" s="4"/>
      <c r="X135" s="4"/>
    </row>
    <row r="136" ht="21.0" customHeight="1">
      <c r="A136" s="650"/>
      <c r="B136" s="4"/>
      <c r="C136" s="650"/>
      <c r="D136" s="4"/>
      <c r="E136" s="4"/>
      <c r="F136" s="4"/>
      <c r="G136" s="4"/>
      <c r="H136" s="4"/>
      <c r="I136" s="4"/>
      <c r="J136" s="4"/>
      <c r="K136" s="4"/>
      <c r="L136" s="4"/>
      <c r="M136" s="4"/>
      <c r="N136" s="4"/>
      <c r="O136" s="4"/>
      <c r="P136" s="4"/>
      <c r="Q136" s="4"/>
      <c r="R136" s="4"/>
      <c r="S136" s="4"/>
      <c r="T136" s="4"/>
      <c r="U136" s="4"/>
      <c r="V136" s="4"/>
      <c r="W136" s="4"/>
      <c r="X136" s="4"/>
    </row>
    <row r="137" ht="21.0" customHeight="1">
      <c r="A137" s="650"/>
      <c r="B137" s="4"/>
      <c r="C137" s="650"/>
      <c r="D137" s="4"/>
      <c r="E137" s="4"/>
      <c r="F137" s="4"/>
      <c r="G137" s="4"/>
      <c r="H137" s="4"/>
      <c r="I137" s="4"/>
      <c r="J137" s="4"/>
      <c r="K137" s="4"/>
      <c r="L137" s="4"/>
      <c r="M137" s="4"/>
      <c r="N137" s="4"/>
      <c r="O137" s="4"/>
      <c r="P137" s="4"/>
      <c r="Q137" s="4"/>
      <c r="R137" s="4"/>
      <c r="S137" s="4"/>
      <c r="T137" s="4"/>
      <c r="U137" s="4"/>
      <c r="V137" s="4"/>
      <c r="W137" s="4"/>
      <c r="X137" s="4"/>
    </row>
    <row r="138" ht="21.0" customHeight="1">
      <c r="A138" s="650"/>
      <c r="B138" s="4"/>
      <c r="C138" s="650"/>
      <c r="D138" s="4"/>
      <c r="E138" s="4"/>
      <c r="F138" s="4"/>
      <c r="G138" s="4"/>
      <c r="H138" s="4"/>
      <c r="I138" s="4"/>
      <c r="J138" s="4"/>
      <c r="K138" s="4"/>
      <c r="L138" s="4"/>
      <c r="M138" s="4"/>
      <c r="N138" s="4"/>
      <c r="O138" s="4"/>
      <c r="P138" s="4"/>
      <c r="Q138" s="4"/>
      <c r="R138" s="4"/>
      <c r="S138" s="4"/>
      <c r="T138" s="4"/>
      <c r="U138" s="4"/>
      <c r="V138" s="4"/>
      <c r="W138" s="4"/>
      <c r="X138" s="4"/>
    </row>
    <row r="139" ht="21.0" customHeight="1">
      <c r="A139" s="650"/>
      <c r="B139" s="4"/>
      <c r="C139" s="650"/>
      <c r="D139" s="4"/>
      <c r="E139" s="4"/>
      <c r="F139" s="4"/>
      <c r="G139" s="4"/>
      <c r="H139" s="4"/>
      <c r="I139" s="4"/>
      <c r="J139" s="4"/>
      <c r="K139" s="4"/>
      <c r="L139" s="4"/>
      <c r="M139" s="4"/>
      <c r="N139" s="4"/>
      <c r="O139" s="4"/>
      <c r="P139" s="4"/>
      <c r="Q139" s="4"/>
      <c r="R139" s="4"/>
      <c r="S139" s="4"/>
      <c r="T139" s="4"/>
      <c r="U139" s="4"/>
      <c r="V139" s="4"/>
      <c r="W139" s="4"/>
      <c r="X139" s="4"/>
    </row>
    <row r="140" ht="21.0" customHeight="1">
      <c r="A140" s="650"/>
      <c r="B140" s="4"/>
      <c r="C140" s="650"/>
      <c r="D140" s="4"/>
      <c r="E140" s="4"/>
      <c r="F140" s="4"/>
      <c r="G140" s="4"/>
      <c r="H140" s="4"/>
      <c r="I140" s="4"/>
      <c r="J140" s="4"/>
      <c r="K140" s="4"/>
      <c r="L140" s="4"/>
      <c r="M140" s="4"/>
      <c r="N140" s="4"/>
      <c r="O140" s="4"/>
      <c r="P140" s="4"/>
      <c r="Q140" s="4"/>
      <c r="R140" s="4"/>
      <c r="S140" s="4"/>
      <c r="T140" s="4"/>
      <c r="U140" s="4"/>
      <c r="V140" s="4"/>
      <c r="W140" s="4"/>
      <c r="X140" s="4"/>
    </row>
    <row r="141" ht="21.0" customHeight="1">
      <c r="A141" s="650"/>
      <c r="B141" s="4"/>
      <c r="C141" s="650"/>
      <c r="D141" s="4"/>
      <c r="E141" s="4"/>
      <c r="F141" s="4"/>
      <c r="G141" s="4"/>
      <c r="H141" s="4"/>
      <c r="I141" s="4"/>
      <c r="J141" s="4"/>
      <c r="K141" s="4"/>
      <c r="L141" s="4"/>
      <c r="M141" s="4"/>
      <c r="N141" s="4"/>
      <c r="O141" s="4"/>
      <c r="P141" s="4"/>
      <c r="Q141" s="4"/>
      <c r="R141" s="4"/>
      <c r="S141" s="4"/>
      <c r="T141" s="4"/>
      <c r="U141" s="4"/>
      <c r="V141" s="4"/>
      <c r="W141" s="4"/>
      <c r="X141" s="4"/>
    </row>
    <row r="142" ht="21.0" customHeight="1">
      <c r="A142" s="650"/>
      <c r="B142" s="4"/>
      <c r="C142" s="650"/>
      <c r="D142" s="4"/>
      <c r="E142" s="4"/>
      <c r="F142" s="4"/>
      <c r="G142" s="4"/>
      <c r="H142" s="4"/>
      <c r="I142" s="4"/>
      <c r="J142" s="4"/>
      <c r="K142" s="4"/>
      <c r="L142" s="4"/>
      <c r="M142" s="4"/>
      <c r="N142" s="4"/>
      <c r="O142" s="4"/>
      <c r="P142" s="4"/>
      <c r="Q142" s="4"/>
      <c r="R142" s="4"/>
      <c r="S142" s="4"/>
      <c r="T142" s="4"/>
      <c r="U142" s="4"/>
      <c r="V142" s="4"/>
      <c r="W142" s="4"/>
      <c r="X142" s="4"/>
    </row>
    <row r="143" ht="21.0" customHeight="1">
      <c r="A143" s="650"/>
      <c r="B143" s="4"/>
      <c r="C143" s="650"/>
      <c r="D143" s="4"/>
      <c r="E143" s="4"/>
      <c r="F143" s="4"/>
      <c r="G143" s="4"/>
      <c r="H143" s="4"/>
      <c r="I143" s="4"/>
      <c r="J143" s="4"/>
      <c r="K143" s="4"/>
      <c r="L143" s="4"/>
      <c r="M143" s="4"/>
      <c r="N143" s="4"/>
      <c r="O143" s="4"/>
      <c r="P143" s="4"/>
      <c r="Q143" s="4"/>
      <c r="R143" s="4"/>
      <c r="S143" s="4"/>
      <c r="T143" s="4"/>
      <c r="U143" s="4"/>
      <c r="V143" s="4"/>
      <c r="W143" s="4"/>
      <c r="X143" s="4"/>
    </row>
    <row r="144" ht="21.0" customHeight="1">
      <c r="A144" s="650"/>
      <c r="B144" s="4"/>
      <c r="C144" s="650"/>
      <c r="D144" s="4"/>
      <c r="E144" s="4"/>
      <c r="F144" s="4"/>
      <c r="G144" s="4"/>
      <c r="H144" s="4"/>
      <c r="I144" s="4"/>
      <c r="J144" s="4"/>
      <c r="K144" s="4"/>
      <c r="L144" s="4"/>
      <c r="M144" s="4"/>
      <c r="N144" s="4"/>
      <c r="O144" s="4"/>
      <c r="P144" s="4"/>
      <c r="Q144" s="4"/>
      <c r="R144" s="4"/>
      <c r="S144" s="4"/>
      <c r="T144" s="4"/>
      <c r="U144" s="4"/>
      <c r="V144" s="4"/>
      <c r="W144" s="4"/>
      <c r="X144" s="4"/>
    </row>
    <row r="145" ht="21.0" customHeight="1">
      <c r="A145" s="650"/>
      <c r="B145" s="4"/>
      <c r="C145" s="650"/>
      <c r="D145" s="4"/>
      <c r="E145" s="4"/>
      <c r="F145" s="4"/>
      <c r="G145" s="4"/>
      <c r="H145" s="4"/>
      <c r="I145" s="4"/>
      <c r="J145" s="4"/>
      <c r="K145" s="4"/>
      <c r="L145" s="4"/>
      <c r="M145" s="4"/>
      <c r="N145" s="4"/>
      <c r="O145" s="4"/>
      <c r="P145" s="4"/>
      <c r="Q145" s="4"/>
      <c r="R145" s="4"/>
      <c r="S145" s="4"/>
      <c r="T145" s="4"/>
      <c r="U145" s="4"/>
      <c r="V145" s="4"/>
      <c r="W145" s="4"/>
      <c r="X145" s="4"/>
    </row>
    <row r="146" ht="21.0" customHeight="1">
      <c r="A146" s="650"/>
      <c r="B146" s="4"/>
      <c r="C146" s="650"/>
      <c r="D146" s="4"/>
      <c r="E146" s="4"/>
      <c r="F146" s="4"/>
      <c r="G146" s="4"/>
      <c r="H146" s="4"/>
      <c r="I146" s="4"/>
      <c r="J146" s="4"/>
      <c r="K146" s="4"/>
      <c r="L146" s="4"/>
      <c r="M146" s="4"/>
      <c r="N146" s="4"/>
      <c r="O146" s="4"/>
      <c r="P146" s="4"/>
      <c r="Q146" s="4"/>
      <c r="R146" s="4"/>
      <c r="S146" s="4"/>
      <c r="T146" s="4"/>
      <c r="U146" s="4"/>
      <c r="V146" s="4"/>
      <c r="W146" s="4"/>
      <c r="X146" s="4"/>
    </row>
    <row r="147" ht="21.0" customHeight="1">
      <c r="A147" s="650"/>
      <c r="B147" s="4"/>
      <c r="C147" s="650"/>
      <c r="D147" s="4"/>
      <c r="E147" s="4"/>
      <c r="F147" s="4"/>
      <c r="G147" s="4"/>
      <c r="H147" s="4"/>
      <c r="I147" s="4"/>
      <c r="J147" s="4"/>
      <c r="K147" s="4"/>
      <c r="L147" s="4"/>
      <c r="M147" s="4"/>
      <c r="N147" s="4"/>
      <c r="O147" s="4"/>
      <c r="P147" s="4"/>
      <c r="Q147" s="4"/>
      <c r="R147" s="4"/>
      <c r="S147" s="4"/>
      <c r="T147" s="4"/>
      <c r="U147" s="4"/>
      <c r="V147" s="4"/>
      <c r="W147" s="4"/>
      <c r="X147" s="4"/>
    </row>
    <row r="148" ht="21.0" customHeight="1">
      <c r="A148" s="650"/>
      <c r="B148" s="4"/>
      <c r="C148" s="650"/>
      <c r="D148" s="4"/>
      <c r="E148" s="4"/>
      <c r="F148" s="4"/>
      <c r="G148" s="4"/>
      <c r="H148" s="4"/>
      <c r="I148" s="4"/>
      <c r="J148" s="4"/>
      <c r="K148" s="4"/>
      <c r="L148" s="4"/>
      <c r="M148" s="4"/>
      <c r="N148" s="4"/>
      <c r="O148" s="4"/>
      <c r="P148" s="4"/>
      <c r="Q148" s="4"/>
      <c r="R148" s="4"/>
      <c r="S148" s="4"/>
      <c r="T148" s="4"/>
      <c r="U148" s="4"/>
      <c r="V148" s="4"/>
      <c r="W148" s="4"/>
      <c r="X148" s="4"/>
    </row>
    <row r="149" ht="21.0" customHeight="1">
      <c r="A149" s="650"/>
      <c r="B149" s="4"/>
      <c r="C149" s="650"/>
      <c r="D149" s="4"/>
      <c r="E149" s="4"/>
      <c r="F149" s="4"/>
      <c r="G149" s="4"/>
      <c r="H149" s="4"/>
      <c r="I149" s="4"/>
      <c r="J149" s="4"/>
      <c r="K149" s="4"/>
      <c r="L149" s="4"/>
      <c r="M149" s="4"/>
      <c r="N149" s="4"/>
      <c r="O149" s="4"/>
      <c r="P149" s="4"/>
      <c r="Q149" s="4"/>
      <c r="R149" s="4"/>
      <c r="S149" s="4"/>
      <c r="T149" s="4"/>
      <c r="U149" s="4"/>
      <c r="V149" s="4"/>
      <c r="W149" s="4"/>
      <c r="X149" s="4"/>
    </row>
    <row r="150" ht="21.0" customHeight="1">
      <c r="A150" s="650"/>
      <c r="B150" s="4"/>
      <c r="C150" s="650"/>
      <c r="D150" s="4"/>
      <c r="E150" s="4"/>
      <c r="F150" s="4"/>
      <c r="G150" s="4"/>
      <c r="H150" s="4"/>
      <c r="I150" s="4"/>
      <c r="J150" s="4"/>
      <c r="K150" s="4"/>
      <c r="L150" s="4"/>
      <c r="M150" s="4"/>
      <c r="N150" s="4"/>
      <c r="O150" s="4"/>
      <c r="P150" s="4"/>
      <c r="Q150" s="4"/>
      <c r="R150" s="4"/>
      <c r="S150" s="4"/>
      <c r="T150" s="4"/>
      <c r="U150" s="4"/>
      <c r="V150" s="4"/>
      <c r="W150" s="4"/>
      <c r="X150" s="4"/>
    </row>
    <row r="151" ht="21.0" customHeight="1">
      <c r="A151" s="650"/>
      <c r="B151" s="4"/>
      <c r="C151" s="650"/>
      <c r="D151" s="4"/>
      <c r="E151" s="4"/>
      <c r="F151" s="4"/>
      <c r="G151" s="4"/>
      <c r="H151" s="4"/>
      <c r="I151" s="4"/>
      <c r="J151" s="4"/>
      <c r="K151" s="4"/>
      <c r="L151" s="4"/>
      <c r="M151" s="4"/>
      <c r="N151" s="4"/>
      <c r="O151" s="4"/>
      <c r="P151" s="4"/>
      <c r="Q151" s="4"/>
      <c r="R151" s="4"/>
      <c r="S151" s="4"/>
      <c r="T151" s="4"/>
      <c r="U151" s="4"/>
      <c r="V151" s="4"/>
      <c r="W151" s="4"/>
      <c r="X151" s="4"/>
    </row>
    <row r="152" ht="21.0" customHeight="1">
      <c r="A152" s="650"/>
      <c r="B152" s="4"/>
      <c r="C152" s="650"/>
      <c r="D152" s="4"/>
      <c r="E152" s="4"/>
      <c r="F152" s="4"/>
      <c r="G152" s="4"/>
      <c r="H152" s="4"/>
      <c r="I152" s="4"/>
      <c r="J152" s="4"/>
      <c r="K152" s="4"/>
      <c r="L152" s="4"/>
      <c r="M152" s="4"/>
      <c r="N152" s="4"/>
      <c r="O152" s="4"/>
      <c r="P152" s="4"/>
      <c r="Q152" s="4"/>
      <c r="R152" s="4"/>
      <c r="S152" s="4"/>
      <c r="T152" s="4"/>
      <c r="U152" s="4"/>
      <c r="V152" s="4"/>
      <c r="W152" s="4"/>
      <c r="X152" s="4"/>
    </row>
    <row r="153" ht="21.0" customHeight="1">
      <c r="A153" s="650"/>
      <c r="B153" s="4"/>
      <c r="C153" s="650"/>
      <c r="D153" s="4"/>
      <c r="E153" s="4"/>
      <c r="F153" s="4"/>
      <c r="G153" s="4"/>
      <c r="H153" s="4"/>
      <c r="I153" s="4"/>
      <c r="J153" s="4"/>
      <c r="K153" s="4"/>
      <c r="L153" s="4"/>
      <c r="M153" s="4"/>
      <c r="N153" s="4"/>
      <c r="O153" s="4"/>
      <c r="P153" s="4"/>
      <c r="Q153" s="4"/>
      <c r="R153" s="4"/>
      <c r="S153" s="4"/>
      <c r="T153" s="4"/>
      <c r="U153" s="4"/>
      <c r="V153" s="4"/>
      <c r="W153" s="4"/>
      <c r="X153" s="4"/>
    </row>
    <row r="154" ht="21.0" customHeight="1">
      <c r="A154" s="650"/>
      <c r="B154" s="4"/>
      <c r="C154" s="650"/>
      <c r="D154" s="4"/>
      <c r="E154" s="4"/>
      <c r="F154" s="4"/>
      <c r="G154" s="4"/>
      <c r="H154" s="4"/>
      <c r="I154" s="4"/>
      <c r="J154" s="4"/>
      <c r="K154" s="4"/>
      <c r="L154" s="4"/>
      <c r="M154" s="4"/>
      <c r="N154" s="4"/>
      <c r="O154" s="4"/>
      <c r="P154" s="4"/>
      <c r="Q154" s="4"/>
      <c r="R154" s="4"/>
      <c r="S154" s="4"/>
      <c r="T154" s="4"/>
      <c r="U154" s="4"/>
      <c r="V154" s="4"/>
      <c r="W154" s="4"/>
      <c r="X154" s="4"/>
    </row>
    <row r="155" ht="21.0" customHeight="1">
      <c r="A155" s="650"/>
      <c r="B155" s="4"/>
      <c r="C155" s="650"/>
      <c r="D155" s="4"/>
      <c r="E155" s="4"/>
      <c r="F155" s="4"/>
      <c r="G155" s="4"/>
      <c r="H155" s="4"/>
      <c r="I155" s="4"/>
      <c r="J155" s="4"/>
      <c r="K155" s="4"/>
      <c r="L155" s="4"/>
      <c r="M155" s="4"/>
      <c r="N155" s="4"/>
      <c r="O155" s="4"/>
      <c r="P155" s="4"/>
      <c r="Q155" s="4"/>
      <c r="R155" s="4"/>
      <c r="S155" s="4"/>
      <c r="T155" s="4"/>
      <c r="U155" s="4"/>
      <c r="V155" s="4"/>
      <c r="W155" s="4"/>
      <c r="X155" s="4"/>
    </row>
    <row r="156" ht="21.0" customHeight="1">
      <c r="A156" s="650"/>
      <c r="B156" s="4"/>
      <c r="C156" s="650"/>
      <c r="D156" s="4"/>
      <c r="E156" s="4"/>
      <c r="F156" s="4"/>
      <c r="G156" s="4"/>
      <c r="H156" s="4"/>
      <c r="I156" s="4"/>
      <c r="J156" s="4"/>
      <c r="K156" s="4"/>
      <c r="L156" s="4"/>
      <c r="M156" s="4"/>
      <c r="N156" s="4"/>
      <c r="O156" s="4"/>
      <c r="P156" s="4"/>
      <c r="Q156" s="4"/>
      <c r="R156" s="4"/>
      <c r="S156" s="4"/>
      <c r="T156" s="4"/>
      <c r="U156" s="4"/>
      <c r="V156" s="4"/>
      <c r="W156" s="4"/>
      <c r="X156" s="4"/>
    </row>
    <row r="157" ht="21.0" customHeight="1">
      <c r="A157" s="650"/>
      <c r="B157" s="4"/>
      <c r="C157" s="650"/>
      <c r="D157" s="4"/>
      <c r="E157" s="4"/>
      <c r="F157" s="4"/>
      <c r="G157" s="4"/>
      <c r="H157" s="4"/>
      <c r="I157" s="4"/>
      <c r="J157" s="4"/>
      <c r="K157" s="4"/>
      <c r="L157" s="4"/>
      <c r="M157" s="4"/>
      <c r="N157" s="4"/>
      <c r="O157" s="4"/>
      <c r="P157" s="4"/>
      <c r="Q157" s="4"/>
      <c r="R157" s="4"/>
      <c r="S157" s="4"/>
      <c r="T157" s="4"/>
      <c r="U157" s="4"/>
      <c r="V157" s="4"/>
      <c r="W157" s="4"/>
      <c r="X157" s="4"/>
    </row>
    <row r="158" ht="21.0" customHeight="1">
      <c r="A158" s="650"/>
      <c r="B158" s="4"/>
      <c r="C158" s="650"/>
      <c r="D158" s="4"/>
      <c r="E158" s="4"/>
      <c r="F158" s="4"/>
      <c r="G158" s="4"/>
      <c r="H158" s="4"/>
      <c r="I158" s="4"/>
      <c r="J158" s="4"/>
      <c r="K158" s="4"/>
      <c r="L158" s="4"/>
      <c r="M158" s="4"/>
      <c r="N158" s="4"/>
      <c r="O158" s="4"/>
      <c r="P158" s="4"/>
      <c r="Q158" s="4"/>
      <c r="R158" s="4"/>
      <c r="S158" s="4"/>
      <c r="T158" s="4"/>
      <c r="U158" s="4"/>
      <c r="V158" s="4"/>
      <c r="W158" s="4"/>
      <c r="X158" s="4"/>
    </row>
    <row r="159" ht="21.0" customHeight="1">
      <c r="A159" s="650"/>
      <c r="B159" s="4"/>
      <c r="C159" s="650"/>
      <c r="D159" s="4"/>
      <c r="E159" s="4"/>
      <c r="F159" s="4"/>
      <c r="G159" s="4"/>
      <c r="H159" s="4"/>
      <c r="I159" s="4"/>
      <c r="J159" s="4"/>
      <c r="K159" s="4"/>
      <c r="L159" s="4"/>
      <c r="M159" s="4"/>
      <c r="N159" s="4"/>
      <c r="O159" s="4"/>
      <c r="P159" s="4"/>
      <c r="Q159" s="4"/>
      <c r="R159" s="4"/>
      <c r="S159" s="4"/>
      <c r="T159" s="4"/>
      <c r="U159" s="4"/>
      <c r="V159" s="4"/>
      <c r="W159" s="4"/>
      <c r="X159" s="4"/>
    </row>
    <row r="160" ht="21.0" customHeight="1">
      <c r="A160" s="650"/>
      <c r="B160" s="4"/>
      <c r="C160" s="650"/>
      <c r="D160" s="4"/>
      <c r="E160" s="4"/>
      <c r="F160" s="4"/>
      <c r="G160" s="4"/>
      <c r="H160" s="4"/>
      <c r="I160" s="4"/>
      <c r="J160" s="4"/>
      <c r="K160" s="4"/>
      <c r="L160" s="4"/>
      <c r="M160" s="4"/>
      <c r="N160" s="4"/>
      <c r="O160" s="4"/>
      <c r="P160" s="4"/>
      <c r="Q160" s="4"/>
      <c r="R160" s="4"/>
      <c r="S160" s="4"/>
      <c r="T160" s="4"/>
      <c r="U160" s="4"/>
      <c r="V160" s="4"/>
      <c r="W160" s="4"/>
      <c r="X160" s="4"/>
    </row>
    <row r="161" ht="21.0" customHeight="1">
      <c r="A161" s="650"/>
      <c r="B161" s="4"/>
      <c r="C161" s="650"/>
      <c r="D161" s="4"/>
      <c r="E161" s="4"/>
      <c r="F161" s="4"/>
      <c r="G161" s="4"/>
      <c r="H161" s="4"/>
      <c r="I161" s="4"/>
      <c r="J161" s="4"/>
      <c r="K161" s="4"/>
      <c r="L161" s="4"/>
      <c r="M161" s="4"/>
      <c r="N161" s="4"/>
      <c r="O161" s="4"/>
      <c r="P161" s="4"/>
      <c r="Q161" s="4"/>
      <c r="R161" s="4"/>
      <c r="S161" s="4"/>
      <c r="T161" s="4"/>
      <c r="U161" s="4"/>
      <c r="V161" s="4"/>
      <c r="W161" s="4"/>
      <c r="X161" s="4"/>
    </row>
    <row r="162" ht="21.0" customHeight="1">
      <c r="A162" s="650"/>
      <c r="B162" s="4"/>
      <c r="C162" s="650"/>
      <c r="D162" s="4"/>
      <c r="E162" s="4"/>
      <c r="F162" s="4"/>
      <c r="G162" s="4"/>
      <c r="H162" s="4"/>
      <c r="I162" s="4"/>
      <c r="J162" s="4"/>
      <c r="K162" s="4"/>
      <c r="L162" s="4"/>
      <c r="M162" s="4"/>
      <c r="N162" s="4"/>
      <c r="O162" s="4"/>
      <c r="P162" s="4"/>
      <c r="Q162" s="4"/>
      <c r="R162" s="4"/>
      <c r="S162" s="4"/>
      <c r="T162" s="4"/>
      <c r="U162" s="4"/>
      <c r="V162" s="4"/>
      <c r="W162" s="4"/>
      <c r="X162" s="4"/>
    </row>
    <row r="163" ht="21.0" customHeight="1">
      <c r="A163" s="650"/>
      <c r="B163" s="4"/>
      <c r="C163" s="650"/>
      <c r="D163" s="4"/>
      <c r="E163" s="4"/>
      <c r="F163" s="4"/>
      <c r="G163" s="4"/>
      <c r="H163" s="4"/>
      <c r="I163" s="4"/>
      <c r="J163" s="4"/>
      <c r="K163" s="4"/>
      <c r="L163" s="4"/>
      <c r="M163" s="4"/>
      <c r="N163" s="4"/>
      <c r="O163" s="4"/>
      <c r="P163" s="4"/>
      <c r="Q163" s="4"/>
      <c r="R163" s="4"/>
      <c r="S163" s="4"/>
      <c r="T163" s="4"/>
      <c r="U163" s="4"/>
      <c r="V163" s="4"/>
      <c r="W163" s="4"/>
      <c r="X163" s="4"/>
    </row>
    <row r="164" ht="21.0" customHeight="1">
      <c r="A164" s="650"/>
      <c r="B164" s="4"/>
      <c r="C164" s="650"/>
      <c r="D164" s="4"/>
      <c r="E164" s="4"/>
      <c r="F164" s="4"/>
      <c r="G164" s="4"/>
      <c r="H164" s="4"/>
      <c r="I164" s="4"/>
      <c r="J164" s="4"/>
      <c r="K164" s="4"/>
      <c r="L164" s="4"/>
      <c r="M164" s="4"/>
      <c r="N164" s="4"/>
      <c r="O164" s="4"/>
      <c r="P164" s="4"/>
      <c r="Q164" s="4"/>
      <c r="R164" s="4"/>
      <c r="S164" s="4"/>
      <c r="T164" s="4"/>
      <c r="U164" s="4"/>
      <c r="V164" s="4"/>
      <c r="W164" s="4"/>
      <c r="X164" s="4"/>
    </row>
    <row r="165" ht="21.0" customHeight="1">
      <c r="A165" s="650"/>
      <c r="B165" s="4"/>
      <c r="C165" s="650"/>
      <c r="D165" s="4"/>
      <c r="E165" s="4"/>
      <c r="F165" s="4"/>
      <c r="G165" s="4"/>
      <c r="H165" s="4"/>
      <c r="I165" s="4"/>
      <c r="J165" s="4"/>
      <c r="K165" s="4"/>
      <c r="L165" s="4"/>
      <c r="M165" s="4"/>
      <c r="N165" s="4"/>
      <c r="O165" s="4"/>
      <c r="P165" s="4"/>
      <c r="Q165" s="4"/>
      <c r="R165" s="4"/>
      <c r="S165" s="4"/>
      <c r="T165" s="4"/>
      <c r="U165" s="4"/>
      <c r="V165" s="4"/>
      <c r="W165" s="4"/>
      <c r="X165" s="4"/>
    </row>
    <row r="166" ht="21.0" customHeight="1">
      <c r="A166" s="650"/>
      <c r="B166" s="4"/>
      <c r="C166" s="650"/>
      <c r="D166" s="4"/>
      <c r="E166" s="4"/>
      <c r="F166" s="4"/>
      <c r="G166" s="4"/>
      <c r="H166" s="4"/>
      <c r="I166" s="4"/>
      <c r="J166" s="4"/>
      <c r="K166" s="4"/>
      <c r="L166" s="4"/>
      <c r="M166" s="4"/>
      <c r="N166" s="4"/>
      <c r="O166" s="4"/>
      <c r="P166" s="4"/>
      <c r="Q166" s="4"/>
      <c r="R166" s="4"/>
      <c r="S166" s="4"/>
      <c r="T166" s="4"/>
      <c r="U166" s="4"/>
      <c r="V166" s="4"/>
      <c r="W166" s="4"/>
      <c r="X166" s="4"/>
    </row>
    <row r="167" ht="21.0" customHeight="1">
      <c r="A167" s="650"/>
      <c r="B167" s="4"/>
      <c r="C167" s="650"/>
      <c r="D167" s="4"/>
      <c r="E167" s="4"/>
      <c r="F167" s="4"/>
      <c r="G167" s="4"/>
      <c r="H167" s="4"/>
      <c r="I167" s="4"/>
      <c r="J167" s="4"/>
      <c r="K167" s="4"/>
      <c r="L167" s="4"/>
      <c r="M167" s="4"/>
      <c r="N167" s="4"/>
      <c r="O167" s="4"/>
      <c r="P167" s="4"/>
      <c r="Q167" s="4"/>
      <c r="R167" s="4"/>
      <c r="S167" s="4"/>
      <c r="T167" s="4"/>
      <c r="U167" s="4"/>
      <c r="V167" s="4"/>
      <c r="W167" s="4"/>
      <c r="X167" s="4"/>
    </row>
    <row r="168" ht="21.0" customHeight="1">
      <c r="A168" s="650"/>
      <c r="B168" s="4"/>
      <c r="C168" s="650"/>
      <c r="D168" s="4"/>
      <c r="E168" s="4"/>
      <c r="F168" s="4"/>
      <c r="G168" s="4"/>
      <c r="H168" s="4"/>
      <c r="I168" s="4"/>
      <c r="J168" s="4"/>
      <c r="K168" s="4"/>
      <c r="L168" s="4"/>
      <c r="M168" s="4"/>
      <c r="N168" s="4"/>
      <c r="O168" s="4"/>
      <c r="P168" s="4"/>
      <c r="Q168" s="4"/>
      <c r="R168" s="4"/>
      <c r="S168" s="4"/>
      <c r="T168" s="4"/>
      <c r="U168" s="4"/>
      <c r="V168" s="4"/>
      <c r="W168" s="4"/>
      <c r="X168" s="4"/>
    </row>
    <row r="169" ht="21.0" customHeight="1">
      <c r="A169" s="650"/>
      <c r="B169" s="4"/>
      <c r="C169" s="650"/>
      <c r="D169" s="4"/>
      <c r="E169" s="4"/>
      <c r="F169" s="4"/>
      <c r="G169" s="4"/>
      <c r="H169" s="4"/>
      <c r="I169" s="4"/>
      <c r="J169" s="4"/>
      <c r="K169" s="4"/>
      <c r="L169" s="4"/>
      <c r="M169" s="4"/>
      <c r="N169" s="4"/>
      <c r="O169" s="4"/>
      <c r="P169" s="4"/>
      <c r="Q169" s="4"/>
      <c r="R169" s="4"/>
      <c r="S169" s="4"/>
      <c r="T169" s="4"/>
      <c r="U169" s="4"/>
      <c r="V169" s="4"/>
      <c r="W169" s="4"/>
      <c r="X169" s="4"/>
    </row>
    <row r="170" ht="21.0" customHeight="1">
      <c r="A170" s="650"/>
      <c r="B170" s="4"/>
      <c r="C170" s="650"/>
      <c r="D170" s="4"/>
      <c r="E170" s="4"/>
      <c r="F170" s="4"/>
      <c r="G170" s="4"/>
      <c r="H170" s="4"/>
      <c r="I170" s="4"/>
      <c r="J170" s="4"/>
      <c r="K170" s="4"/>
      <c r="L170" s="4"/>
      <c r="M170" s="4"/>
      <c r="N170" s="4"/>
      <c r="O170" s="4"/>
      <c r="P170" s="4"/>
      <c r="Q170" s="4"/>
      <c r="R170" s="4"/>
      <c r="S170" s="4"/>
      <c r="T170" s="4"/>
      <c r="U170" s="4"/>
      <c r="V170" s="4"/>
      <c r="W170" s="4"/>
      <c r="X170" s="4"/>
    </row>
    <row r="171" ht="21.0" customHeight="1">
      <c r="A171" s="650"/>
      <c r="B171" s="4"/>
      <c r="C171" s="650"/>
      <c r="D171" s="4"/>
      <c r="E171" s="4"/>
      <c r="F171" s="4"/>
      <c r="G171" s="4"/>
      <c r="H171" s="4"/>
      <c r="I171" s="4"/>
      <c r="J171" s="4"/>
      <c r="K171" s="4"/>
      <c r="L171" s="4"/>
      <c r="M171" s="4"/>
      <c r="N171" s="4"/>
      <c r="O171" s="4"/>
      <c r="P171" s="4"/>
      <c r="Q171" s="4"/>
      <c r="R171" s="4"/>
      <c r="S171" s="4"/>
      <c r="T171" s="4"/>
      <c r="U171" s="4"/>
      <c r="V171" s="4"/>
      <c r="W171" s="4"/>
      <c r="X171" s="4"/>
    </row>
    <row r="172" ht="21.0" customHeight="1">
      <c r="A172" s="650"/>
      <c r="B172" s="4"/>
      <c r="C172" s="650"/>
      <c r="D172" s="4"/>
      <c r="E172" s="4"/>
      <c r="F172" s="4"/>
      <c r="G172" s="4"/>
      <c r="H172" s="4"/>
      <c r="I172" s="4"/>
      <c r="J172" s="4"/>
      <c r="K172" s="4"/>
      <c r="L172" s="4"/>
      <c r="M172" s="4"/>
      <c r="N172" s="4"/>
      <c r="O172" s="4"/>
      <c r="P172" s="4"/>
      <c r="Q172" s="4"/>
      <c r="R172" s="4"/>
      <c r="S172" s="4"/>
      <c r="T172" s="4"/>
      <c r="U172" s="4"/>
      <c r="V172" s="4"/>
      <c r="W172" s="4"/>
      <c r="X172" s="4"/>
    </row>
    <row r="173" ht="21.0" customHeight="1">
      <c r="A173" s="650"/>
      <c r="B173" s="4"/>
      <c r="C173" s="650"/>
      <c r="D173" s="4"/>
      <c r="E173" s="4"/>
      <c r="F173" s="4"/>
      <c r="G173" s="4"/>
      <c r="H173" s="4"/>
      <c r="I173" s="4"/>
      <c r="J173" s="4"/>
      <c r="K173" s="4"/>
      <c r="L173" s="4"/>
      <c r="M173" s="4"/>
      <c r="N173" s="4"/>
      <c r="O173" s="4"/>
      <c r="P173" s="4"/>
      <c r="Q173" s="4"/>
      <c r="R173" s="4"/>
      <c r="S173" s="4"/>
      <c r="T173" s="4"/>
      <c r="U173" s="4"/>
      <c r="V173" s="4"/>
      <c r="W173" s="4"/>
      <c r="X173" s="4"/>
    </row>
    <row r="174" ht="21.0" customHeight="1">
      <c r="A174" s="650"/>
      <c r="B174" s="4"/>
      <c r="C174" s="650"/>
      <c r="D174" s="4"/>
      <c r="E174" s="4"/>
      <c r="F174" s="4"/>
      <c r="G174" s="4"/>
      <c r="H174" s="4"/>
      <c r="I174" s="4"/>
      <c r="J174" s="4"/>
      <c r="K174" s="4"/>
      <c r="L174" s="4"/>
      <c r="M174" s="4"/>
      <c r="N174" s="4"/>
      <c r="O174" s="4"/>
      <c r="P174" s="4"/>
      <c r="Q174" s="4"/>
      <c r="R174" s="4"/>
      <c r="S174" s="4"/>
      <c r="T174" s="4"/>
      <c r="U174" s="4"/>
      <c r="V174" s="4"/>
      <c r="W174" s="4"/>
      <c r="X174" s="4"/>
    </row>
    <row r="175" ht="21.0" customHeight="1">
      <c r="A175" s="650"/>
      <c r="B175" s="4"/>
      <c r="C175" s="650"/>
      <c r="D175" s="4"/>
      <c r="E175" s="4"/>
      <c r="F175" s="4"/>
      <c r="G175" s="4"/>
      <c r="H175" s="4"/>
      <c r="I175" s="4"/>
      <c r="J175" s="4"/>
      <c r="K175" s="4"/>
      <c r="L175" s="4"/>
      <c r="M175" s="4"/>
      <c r="N175" s="4"/>
      <c r="O175" s="4"/>
      <c r="P175" s="4"/>
      <c r="Q175" s="4"/>
      <c r="R175" s="4"/>
      <c r="S175" s="4"/>
      <c r="T175" s="4"/>
      <c r="U175" s="4"/>
      <c r="V175" s="4"/>
      <c r="W175" s="4"/>
      <c r="X175" s="4"/>
    </row>
    <row r="176" ht="21.0" customHeight="1">
      <c r="A176" s="650"/>
      <c r="B176" s="4"/>
      <c r="C176" s="650"/>
      <c r="D176" s="4"/>
      <c r="E176" s="4"/>
      <c r="F176" s="4"/>
      <c r="G176" s="4"/>
      <c r="H176" s="4"/>
      <c r="I176" s="4"/>
      <c r="J176" s="4"/>
      <c r="K176" s="4"/>
      <c r="L176" s="4"/>
      <c r="M176" s="4"/>
      <c r="N176" s="4"/>
      <c r="O176" s="4"/>
      <c r="P176" s="4"/>
      <c r="Q176" s="4"/>
      <c r="R176" s="4"/>
      <c r="S176" s="4"/>
      <c r="T176" s="4"/>
      <c r="U176" s="4"/>
      <c r="V176" s="4"/>
      <c r="W176" s="4"/>
      <c r="X176" s="4"/>
    </row>
    <row r="177" ht="21.0" customHeight="1">
      <c r="A177" s="650"/>
      <c r="B177" s="4"/>
      <c r="C177" s="650"/>
      <c r="D177" s="4"/>
      <c r="E177" s="4"/>
      <c r="F177" s="4"/>
      <c r="G177" s="4"/>
      <c r="H177" s="4"/>
      <c r="I177" s="4"/>
      <c r="J177" s="4"/>
      <c r="K177" s="4"/>
      <c r="L177" s="4"/>
      <c r="M177" s="4"/>
      <c r="N177" s="4"/>
      <c r="O177" s="4"/>
      <c r="P177" s="4"/>
      <c r="Q177" s="4"/>
      <c r="R177" s="4"/>
      <c r="S177" s="4"/>
      <c r="T177" s="4"/>
      <c r="U177" s="4"/>
      <c r="V177" s="4"/>
      <c r="W177" s="4"/>
      <c r="X177" s="4"/>
    </row>
    <row r="178" ht="21.0" customHeight="1">
      <c r="A178" s="650"/>
      <c r="B178" s="4"/>
      <c r="C178" s="650"/>
      <c r="D178" s="4"/>
      <c r="E178" s="4"/>
      <c r="F178" s="4"/>
      <c r="G178" s="4"/>
      <c r="H178" s="4"/>
      <c r="I178" s="4"/>
      <c r="J178" s="4"/>
      <c r="K178" s="4"/>
      <c r="L178" s="4"/>
      <c r="M178" s="4"/>
      <c r="N178" s="4"/>
      <c r="O178" s="4"/>
      <c r="P178" s="4"/>
      <c r="Q178" s="4"/>
      <c r="R178" s="4"/>
      <c r="S178" s="4"/>
      <c r="T178" s="4"/>
      <c r="U178" s="4"/>
      <c r="V178" s="4"/>
      <c r="W178" s="4"/>
      <c r="X178" s="4"/>
    </row>
    <row r="179" ht="21.0" customHeight="1">
      <c r="A179" s="650"/>
      <c r="B179" s="4"/>
      <c r="C179" s="650"/>
      <c r="D179" s="4"/>
      <c r="E179" s="4"/>
      <c r="F179" s="4"/>
      <c r="G179" s="4"/>
      <c r="H179" s="4"/>
      <c r="I179" s="4"/>
      <c r="J179" s="4"/>
      <c r="K179" s="4"/>
      <c r="L179" s="4"/>
      <c r="M179" s="4"/>
      <c r="N179" s="4"/>
      <c r="O179" s="4"/>
      <c r="P179" s="4"/>
      <c r="Q179" s="4"/>
      <c r="R179" s="4"/>
      <c r="S179" s="4"/>
      <c r="T179" s="4"/>
      <c r="U179" s="4"/>
      <c r="V179" s="4"/>
      <c r="W179" s="4"/>
      <c r="X179" s="4"/>
    </row>
    <row r="180" ht="21.0" customHeight="1">
      <c r="A180" s="650"/>
      <c r="B180" s="4"/>
      <c r="C180" s="650"/>
      <c r="D180" s="4"/>
      <c r="E180" s="4"/>
      <c r="F180" s="4"/>
      <c r="G180" s="4"/>
      <c r="H180" s="4"/>
      <c r="I180" s="4"/>
      <c r="J180" s="4"/>
      <c r="K180" s="4"/>
      <c r="L180" s="4"/>
      <c r="M180" s="4"/>
      <c r="N180" s="4"/>
      <c r="O180" s="4"/>
      <c r="P180" s="4"/>
      <c r="Q180" s="4"/>
      <c r="R180" s="4"/>
      <c r="S180" s="4"/>
      <c r="T180" s="4"/>
      <c r="U180" s="4"/>
      <c r="V180" s="4"/>
      <c r="W180" s="4"/>
      <c r="X180" s="4"/>
    </row>
    <row r="181" ht="21.0" customHeight="1">
      <c r="A181" s="650"/>
      <c r="B181" s="4"/>
      <c r="C181" s="650"/>
      <c r="D181" s="4"/>
      <c r="E181" s="4"/>
      <c r="F181" s="4"/>
      <c r="G181" s="4"/>
      <c r="H181" s="4"/>
      <c r="I181" s="4"/>
      <c r="J181" s="4"/>
      <c r="K181" s="4"/>
      <c r="L181" s="4"/>
      <c r="M181" s="4"/>
      <c r="N181" s="4"/>
      <c r="O181" s="4"/>
      <c r="P181" s="4"/>
      <c r="Q181" s="4"/>
      <c r="R181" s="4"/>
      <c r="S181" s="4"/>
      <c r="T181" s="4"/>
      <c r="U181" s="4"/>
      <c r="V181" s="4"/>
      <c r="W181" s="4"/>
      <c r="X181" s="4"/>
    </row>
    <row r="182" ht="21.0" customHeight="1">
      <c r="A182" s="650"/>
      <c r="B182" s="4"/>
      <c r="C182" s="650"/>
      <c r="D182" s="4"/>
      <c r="E182" s="4"/>
      <c r="F182" s="4"/>
      <c r="G182" s="4"/>
      <c r="H182" s="4"/>
      <c r="I182" s="4"/>
      <c r="J182" s="4"/>
      <c r="K182" s="4"/>
      <c r="L182" s="4"/>
      <c r="M182" s="4"/>
      <c r="N182" s="4"/>
      <c r="O182" s="4"/>
      <c r="P182" s="4"/>
      <c r="Q182" s="4"/>
      <c r="R182" s="4"/>
      <c r="S182" s="4"/>
      <c r="T182" s="4"/>
      <c r="U182" s="4"/>
      <c r="V182" s="4"/>
      <c r="W182" s="4"/>
      <c r="X182" s="4"/>
    </row>
    <row r="183" ht="21.0" customHeight="1">
      <c r="A183" s="650"/>
      <c r="B183" s="4"/>
      <c r="C183" s="650"/>
      <c r="D183" s="4"/>
      <c r="E183" s="4"/>
      <c r="F183" s="4"/>
      <c r="G183" s="4"/>
      <c r="H183" s="4"/>
      <c r="I183" s="4"/>
      <c r="J183" s="4"/>
      <c r="K183" s="4"/>
      <c r="L183" s="4"/>
      <c r="M183" s="4"/>
      <c r="N183" s="4"/>
      <c r="O183" s="4"/>
      <c r="P183" s="4"/>
      <c r="Q183" s="4"/>
      <c r="R183" s="4"/>
      <c r="S183" s="4"/>
      <c r="T183" s="4"/>
      <c r="U183" s="4"/>
      <c r="V183" s="4"/>
      <c r="W183" s="4"/>
      <c r="X183" s="4"/>
    </row>
    <row r="184" ht="21.0" customHeight="1">
      <c r="A184" s="650"/>
      <c r="B184" s="4"/>
      <c r="C184" s="650"/>
      <c r="D184" s="4"/>
      <c r="E184" s="4"/>
      <c r="F184" s="4"/>
      <c r="G184" s="4"/>
      <c r="H184" s="4"/>
      <c r="I184" s="4"/>
      <c r="J184" s="4"/>
      <c r="K184" s="4"/>
      <c r="L184" s="4"/>
      <c r="M184" s="4"/>
      <c r="N184" s="4"/>
      <c r="O184" s="4"/>
      <c r="P184" s="4"/>
      <c r="Q184" s="4"/>
      <c r="R184" s="4"/>
      <c r="S184" s="4"/>
      <c r="T184" s="4"/>
      <c r="U184" s="4"/>
      <c r="V184" s="4"/>
      <c r="W184" s="4"/>
      <c r="X184" s="4"/>
    </row>
    <row r="185" ht="21.0" customHeight="1">
      <c r="A185" s="650"/>
      <c r="B185" s="4"/>
      <c r="C185" s="650"/>
      <c r="D185" s="4"/>
      <c r="E185" s="4"/>
      <c r="F185" s="4"/>
      <c r="G185" s="4"/>
      <c r="H185" s="4"/>
      <c r="I185" s="4"/>
      <c r="J185" s="4"/>
      <c r="K185" s="4"/>
      <c r="L185" s="4"/>
      <c r="M185" s="4"/>
      <c r="N185" s="4"/>
      <c r="O185" s="4"/>
      <c r="P185" s="4"/>
      <c r="Q185" s="4"/>
      <c r="R185" s="4"/>
      <c r="S185" s="4"/>
      <c r="T185" s="4"/>
      <c r="U185" s="4"/>
      <c r="V185" s="4"/>
      <c r="W185" s="4"/>
      <c r="X185" s="4"/>
    </row>
    <row r="186" ht="21.0" customHeight="1">
      <c r="A186" s="650"/>
      <c r="B186" s="4"/>
      <c r="C186" s="650"/>
      <c r="D186" s="4"/>
      <c r="E186" s="4"/>
      <c r="F186" s="4"/>
      <c r="G186" s="4"/>
      <c r="H186" s="4"/>
      <c r="I186" s="4"/>
      <c r="J186" s="4"/>
      <c r="K186" s="4"/>
      <c r="L186" s="4"/>
      <c r="M186" s="4"/>
      <c r="N186" s="4"/>
      <c r="O186" s="4"/>
      <c r="P186" s="4"/>
      <c r="Q186" s="4"/>
      <c r="R186" s="4"/>
      <c r="S186" s="4"/>
      <c r="T186" s="4"/>
      <c r="U186" s="4"/>
      <c r="V186" s="4"/>
      <c r="W186" s="4"/>
      <c r="X186" s="4"/>
    </row>
    <row r="187" ht="21.0" customHeight="1">
      <c r="A187" s="650"/>
      <c r="B187" s="4"/>
      <c r="C187" s="650"/>
      <c r="D187" s="4"/>
      <c r="E187" s="4"/>
      <c r="F187" s="4"/>
      <c r="G187" s="4"/>
      <c r="H187" s="4"/>
      <c r="I187" s="4"/>
      <c r="J187" s="4"/>
      <c r="K187" s="4"/>
      <c r="L187" s="4"/>
      <c r="M187" s="4"/>
      <c r="N187" s="4"/>
      <c r="O187" s="4"/>
      <c r="P187" s="4"/>
      <c r="Q187" s="4"/>
      <c r="R187" s="4"/>
      <c r="S187" s="4"/>
      <c r="T187" s="4"/>
      <c r="U187" s="4"/>
      <c r="V187" s="4"/>
      <c r="W187" s="4"/>
      <c r="X187" s="4"/>
    </row>
    <row r="188" ht="21.0" customHeight="1">
      <c r="A188" s="650"/>
      <c r="B188" s="4"/>
      <c r="C188" s="650"/>
      <c r="D188" s="4"/>
      <c r="E188" s="4"/>
      <c r="F188" s="4"/>
      <c r="G188" s="4"/>
      <c r="H188" s="4"/>
      <c r="I188" s="4"/>
      <c r="J188" s="4"/>
      <c r="K188" s="4"/>
      <c r="L188" s="4"/>
      <c r="M188" s="4"/>
      <c r="N188" s="4"/>
      <c r="O188" s="4"/>
      <c r="P188" s="4"/>
      <c r="Q188" s="4"/>
      <c r="R188" s="4"/>
      <c r="S188" s="4"/>
      <c r="T188" s="4"/>
      <c r="U188" s="4"/>
      <c r="V188" s="4"/>
      <c r="W188" s="4"/>
      <c r="X188" s="4"/>
    </row>
    <row r="189" ht="21.0" customHeight="1">
      <c r="A189" s="650"/>
      <c r="B189" s="4"/>
      <c r="C189" s="650"/>
      <c r="D189" s="4"/>
      <c r="E189" s="4"/>
      <c r="F189" s="4"/>
      <c r="G189" s="4"/>
      <c r="H189" s="4"/>
      <c r="I189" s="4"/>
      <c r="J189" s="4"/>
      <c r="K189" s="4"/>
      <c r="L189" s="4"/>
      <c r="M189" s="4"/>
      <c r="N189" s="4"/>
      <c r="O189" s="4"/>
      <c r="P189" s="4"/>
      <c r="Q189" s="4"/>
      <c r="R189" s="4"/>
      <c r="S189" s="4"/>
      <c r="T189" s="4"/>
      <c r="U189" s="4"/>
      <c r="V189" s="4"/>
      <c r="W189" s="4"/>
      <c r="X189" s="4"/>
    </row>
    <row r="190" ht="21.0" customHeight="1">
      <c r="A190" s="650"/>
      <c r="B190" s="4"/>
      <c r="C190" s="650"/>
      <c r="D190" s="4"/>
      <c r="E190" s="4"/>
      <c r="F190" s="4"/>
      <c r="G190" s="4"/>
      <c r="H190" s="4"/>
      <c r="I190" s="4"/>
      <c r="J190" s="4"/>
      <c r="K190" s="4"/>
      <c r="L190" s="4"/>
      <c r="M190" s="4"/>
      <c r="N190" s="4"/>
      <c r="O190" s="4"/>
      <c r="P190" s="4"/>
      <c r="Q190" s="4"/>
      <c r="R190" s="4"/>
      <c r="S190" s="4"/>
      <c r="T190" s="4"/>
      <c r="U190" s="4"/>
      <c r="V190" s="4"/>
      <c r="W190" s="4"/>
      <c r="X190" s="4"/>
    </row>
    <row r="191" ht="21.0" customHeight="1">
      <c r="A191" s="650"/>
      <c r="B191" s="4"/>
      <c r="C191" s="650"/>
      <c r="D191" s="4"/>
      <c r="E191" s="4"/>
      <c r="F191" s="4"/>
      <c r="G191" s="4"/>
      <c r="H191" s="4"/>
      <c r="I191" s="4"/>
      <c r="J191" s="4"/>
      <c r="K191" s="4"/>
      <c r="L191" s="4"/>
      <c r="M191" s="4"/>
      <c r="N191" s="4"/>
      <c r="O191" s="4"/>
      <c r="P191" s="4"/>
      <c r="Q191" s="4"/>
      <c r="R191" s="4"/>
      <c r="S191" s="4"/>
      <c r="T191" s="4"/>
      <c r="U191" s="4"/>
      <c r="V191" s="4"/>
      <c r="W191" s="4"/>
      <c r="X191" s="4"/>
    </row>
    <row r="192" ht="21.0" customHeight="1">
      <c r="A192" s="650"/>
      <c r="B192" s="4"/>
      <c r="C192" s="650"/>
      <c r="D192" s="4"/>
      <c r="E192" s="4"/>
      <c r="F192" s="4"/>
      <c r="G192" s="4"/>
      <c r="H192" s="4"/>
      <c r="I192" s="4"/>
      <c r="J192" s="4"/>
      <c r="K192" s="4"/>
      <c r="L192" s="4"/>
      <c r="M192" s="4"/>
      <c r="N192" s="4"/>
      <c r="O192" s="4"/>
      <c r="P192" s="4"/>
      <c r="Q192" s="4"/>
      <c r="R192" s="4"/>
      <c r="S192" s="4"/>
      <c r="T192" s="4"/>
      <c r="U192" s="4"/>
      <c r="V192" s="4"/>
      <c r="W192" s="4"/>
      <c r="X192" s="4"/>
    </row>
    <row r="193" ht="21.0" customHeight="1">
      <c r="A193" s="650"/>
      <c r="B193" s="4"/>
      <c r="C193" s="650"/>
      <c r="D193" s="4"/>
      <c r="E193" s="4"/>
      <c r="F193" s="4"/>
      <c r="G193" s="4"/>
      <c r="H193" s="4"/>
      <c r="I193" s="4"/>
      <c r="J193" s="4"/>
      <c r="K193" s="4"/>
      <c r="L193" s="4"/>
      <c r="M193" s="4"/>
      <c r="N193" s="4"/>
      <c r="O193" s="4"/>
      <c r="P193" s="4"/>
      <c r="Q193" s="4"/>
      <c r="R193" s="4"/>
      <c r="S193" s="4"/>
      <c r="T193" s="4"/>
      <c r="U193" s="4"/>
      <c r="V193" s="4"/>
      <c r="W193" s="4"/>
      <c r="X193" s="4"/>
    </row>
    <row r="194" ht="21.0" customHeight="1">
      <c r="A194" s="650"/>
      <c r="B194" s="4"/>
      <c r="C194" s="650"/>
      <c r="D194" s="4"/>
      <c r="E194" s="4"/>
      <c r="F194" s="4"/>
      <c r="G194" s="4"/>
      <c r="H194" s="4"/>
      <c r="I194" s="4"/>
      <c r="J194" s="4"/>
      <c r="K194" s="4"/>
      <c r="L194" s="4"/>
      <c r="M194" s="4"/>
      <c r="N194" s="4"/>
      <c r="O194" s="4"/>
      <c r="P194" s="4"/>
      <c r="Q194" s="4"/>
      <c r="R194" s="4"/>
      <c r="S194" s="4"/>
      <c r="T194" s="4"/>
      <c r="U194" s="4"/>
      <c r="V194" s="4"/>
      <c r="W194" s="4"/>
      <c r="X194" s="4"/>
    </row>
    <row r="195" ht="21.0" customHeight="1">
      <c r="A195" s="650"/>
      <c r="B195" s="4"/>
      <c r="C195" s="650"/>
      <c r="D195" s="4"/>
      <c r="E195" s="4"/>
      <c r="F195" s="4"/>
      <c r="G195" s="4"/>
      <c r="H195" s="4"/>
      <c r="I195" s="4"/>
      <c r="J195" s="4"/>
      <c r="K195" s="4"/>
      <c r="L195" s="4"/>
      <c r="M195" s="4"/>
      <c r="N195" s="4"/>
      <c r="O195" s="4"/>
      <c r="P195" s="4"/>
      <c r="Q195" s="4"/>
      <c r="R195" s="4"/>
      <c r="S195" s="4"/>
      <c r="T195" s="4"/>
      <c r="U195" s="4"/>
      <c r="V195" s="4"/>
      <c r="W195" s="4"/>
      <c r="X195" s="4"/>
    </row>
    <row r="196" ht="21.0" customHeight="1">
      <c r="A196" s="650"/>
      <c r="B196" s="4"/>
      <c r="C196" s="650"/>
      <c r="D196" s="4"/>
      <c r="E196" s="4"/>
      <c r="F196" s="4"/>
      <c r="G196" s="4"/>
      <c r="H196" s="4"/>
      <c r="I196" s="4"/>
      <c r="J196" s="4"/>
      <c r="K196" s="4"/>
      <c r="L196" s="4"/>
      <c r="M196" s="4"/>
      <c r="N196" s="4"/>
      <c r="O196" s="4"/>
      <c r="P196" s="4"/>
      <c r="Q196" s="4"/>
      <c r="R196" s="4"/>
      <c r="S196" s="4"/>
      <c r="T196" s="4"/>
      <c r="U196" s="4"/>
      <c r="V196" s="4"/>
      <c r="W196" s="4"/>
      <c r="X196" s="4"/>
    </row>
    <row r="197" ht="21.0" customHeight="1">
      <c r="A197" s="650"/>
      <c r="B197" s="4"/>
      <c r="C197" s="650"/>
      <c r="D197" s="4"/>
      <c r="E197" s="4"/>
      <c r="F197" s="4"/>
      <c r="G197" s="4"/>
      <c r="H197" s="4"/>
      <c r="I197" s="4"/>
      <c r="J197" s="4"/>
      <c r="K197" s="4"/>
      <c r="L197" s="4"/>
      <c r="M197" s="4"/>
      <c r="N197" s="4"/>
      <c r="O197" s="4"/>
      <c r="P197" s="4"/>
      <c r="Q197" s="4"/>
      <c r="R197" s="4"/>
      <c r="S197" s="4"/>
      <c r="T197" s="4"/>
      <c r="U197" s="4"/>
      <c r="V197" s="4"/>
      <c r="W197" s="4"/>
      <c r="X197" s="4"/>
    </row>
    <row r="198" ht="21.0" customHeight="1">
      <c r="A198" s="650"/>
      <c r="B198" s="4"/>
      <c r="C198" s="650"/>
      <c r="D198" s="4"/>
      <c r="E198" s="4"/>
      <c r="F198" s="4"/>
      <c r="G198" s="4"/>
      <c r="H198" s="4"/>
      <c r="I198" s="4"/>
      <c r="J198" s="4"/>
      <c r="K198" s="4"/>
      <c r="L198" s="4"/>
      <c r="M198" s="4"/>
      <c r="N198" s="4"/>
      <c r="O198" s="4"/>
      <c r="P198" s="4"/>
      <c r="Q198" s="4"/>
      <c r="R198" s="4"/>
      <c r="S198" s="4"/>
      <c r="T198" s="4"/>
      <c r="U198" s="4"/>
      <c r="V198" s="4"/>
      <c r="W198" s="4"/>
      <c r="X198" s="4"/>
    </row>
    <row r="199" ht="21.0" customHeight="1">
      <c r="A199" s="650"/>
      <c r="B199" s="4"/>
      <c r="C199" s="650"/>
      <c r="D199" s="4"/>
      <c r="E199" s="4"/>
      <c r="F199" s="4"/>
      <c r="G199" s="4"/>
      <c r="H199" s="4"/>
      <c r="I199" s="4"/>
      <c r="J199" s="4"/>
      <c r="K199" s="4"/>
      <c r="L199" s="4"/>
      <c r="M199" s="4"/>
      <c r="N199" s="4"/>
      <c r="O199" s="4"/>
      <c r="P199" s="4"/>
      <c r="Q199" s="4"/>
      <c r="R199" s="4"/>
      <c r="S199" s="4"/>
      <c r="T199" s="4"/>
      <c r="U199" s="4"/>
      <c r="V199" s="4"/>
      <c r="W199" s="4"/>
      <c r="X199" s="4"/>
    </row>
    <row r="200" ht="21.0" customHeight="1">
      <c r="A200" s="650"/>
      <c r="B200" s="4"/>
      <c r="C200" s="650"/>
      <c r="D200" s="4"/>
      <c r="E200" s="4"/>
      <c r="F200" s="4"/>
      <c r="G200" s="4"/>
      <c r="H200" s="4"/>
      <c r="I200" s="4"/>
      <c r="J200" s="4"/>
      <c r="K200" s="4"/>
      <c r="L200" s="4"/>
      <c r="M200" s="4"/>
      <c r="N200" s="4"/>
      <c r="O200" s="4"/>
      <c r="P200" s="4"/>
      <c r="Q200" s="4"/>
      <c r="R200" s="4"/>
      <c r="S200" s="4"/>
      <c r="T200" s="4"/>
      <c r="U200" s="4"/>
      <c r="V200" s="4"/>
      <c r="W200" s="4"/>
      <c r="X200" s="4"/>
    </row>
    <row r="201" ht="21.0" customHeight="1">
      <c r="A201" s="650"/>
      <c r="B201" s="4"/>
      <c r="C201" s="650"/>
      <c r="D201" s="4"/>
      <c r="E201" s="4"/>
      <c r="F201" s="4"/>
      <c r="G201" s="4"/>
      <c r="H201" s="4"/>
      <c r="I201" s="4"/>
      <c r="J201" s="4"/>
      <c r="K201" s="4"/>
      <c r="L201" s="4"/>
      <c r="M201" s="4"/>
      <c r="N201" s="4"/>
      <c r="O201" s="4"/>
      <c r="P201" s="4"/>
      <c r="Q201" s="4"/>
      <c r="R201" s="4"/>
      <c r="S201" s="4"/>
      <c r="T201" s="4"/>
      <c r="U201" s="4"/>
      <c r="V201" s="4"/>
      <c r="W201" s="4"/>
      <c r="X201" s="4"/>
    </row>
    <row r="202" ht="21.0" customHeight="1">
      <c r="A202" s="650"/>
      <c r="B202" s="4"/>
      <c r="C202" s="650"/>
      <c r="D202" s="4"/>
      <c r="E202" s="4"/>
      <c r="F202" s="4"/>
      <c r="G202" s="4"/>
      <c r="H202" s="4"/>
      <c r="I202" s="4"/>
      <c r="J202" s="4"/>
      <c r="K202" s="4"/>
      <c r="L202" s="4"/>
      <c r="M202" s="4"/>
      <c r="N202" s="4"/>
      <c r="O202" s="4"/>
      <c r="P202" s="4"/>
      <c r="Q202" s="4"/>
      <c r="R202" s="4"/>
      <c r="S202" s="4"/>
      <c r="T202" s="4"/>
      <c r="U202" s="4"/>
      <c r="V202" s="4"/>
      <c r="W202" s="4"/>
      <c r="X202" s="4"/>
    </row>
    <row r="203" ht="21.0" customHeight="1">
      <c r="A203" s="650"/>
      <c r="B203" s="4"/>
      <c r="C203" s="650"/>
      <c r="D203" s="4"/>
      <c r="E203" s="4"/>
      <c r="F203" s="4"/>
      <c r="G203" s="4"/>
      <c r="H203" s="4"/>
      <c r="I203" s="4"/>
      <c r="J203" s="4"/>
      <c r="K203" s="4"/>
      <c r="L203" s="4"/>
      <c r="M203" s="4"/>
      <c r="N203" s="4"/>
      <c r="O203" s="4"/>
      <c r="P203" s="4"/>
      <c r="Q203" s="4"/>
      <c r="R203" s="4"/>
      <c r="S203" s="4"/>
      <c r="T203" s="4"/>
      <c r="U203" s="4"/>
      <c r="V203" s="4"/>
      <c r="W203" s="4"/>
      <c r="X203" s="4"/>
    </row>
    <row r="204" ht="21.0" customHeight="1">
      <c r="A204" s="650"/>
      <c r="B204" s="4"/>
      <c r="C204" s="650"/>
      <c r="D204" s="4"/>
      <c r="E204" s="4"/>
      <c r="F204" s="4"/>
      <c r="G204" s="4"/>
      <c r="H204" s="4"/>
      <c r="I204" s="4"/>
      <c r="J204" s="4"/>
      <c r="K204" s="4"/>
      <c r="L204" s="4"/>
      <c r="M204" s="4"/>
      <c r="N204" s="4"/>
      <c r="O204" s="4"/>
      <c r="P204" s="4"/>
      <c r="Q204" s="4"/>
      <c r="R204" s="4"/>
      <c r="S204" s="4"/>
      <c r="T204" s="4"/>
      <c r="U204" s="4"/>
      <c r="V204" s="4"/>
      <c r="W204" s="4"/>
      <c r="X204" s="4"/>
    </row>
    <row r="205" ht="21.0" customHeight="1">
      <c r="A205" s="650"/>
      <c r="B205" s="4"/>
      <c r="C205" s="650"/>
      <c r="D205" s="4"/>
      <c r="E205" s="4"/>
      <c r="F205" s="4"/>
      <c r="G205" s="4"/>
      <c r="H205" s="4"/>
      <c r="I205" s="4"/>
      <c r="J205" s="4"/>
      <c r="K205" s="4"/>
      <c r="L205" s="4"/>
      <c r="M205" s="4"/>
      <c r="N205" s="4"/>
      <c r="O205" s="4"/>
      <c r="P205" s="4"/>
      <c r="Q205" s="4"/>
      <c r="R205" s="4"/>
      <c r="S205" s="4"/>
      <c r="T205" s="4"/>
      <c r="U205" s="4"/>
      <c r="V205" s="4"/>
      <c r="W205" s="4"/>
      <c r="X205" s="4"/>
    </row>
    <row r="206" ht="21.0" customHeight="1">
      <c r="A206" s="650"/>
      <c r="B206" s="4"/>
      <c r="C206" s="650"/>
      <c r="D206" s="4"/>
      <c r="E206" s="4"/>
      <c r="F206" s="4"/>
      <c r="G206" s="4"/>
      <c r="H206" s="4"/>
      <c r="I206" s="4"/>
      <c r="J206" s="4"/>
      <c r="K206" s="4"/>
      <c r="L206" s="4"/>
      <c r="M206" s="4"/>
      <c r="N206" s="4"/>
      <c r="O206" s="4"/>
      <c r="P206" s="4"/>
      <c r="Q206" s="4"/>
      <c r="R206" s="4"/>
      <c r="S206" s="4"/>
      <c r="T206" s="4"/>
      <c r="U206" s="4"/>
      <c r="V206" s="4"/>
      <c r="W206" s="4"/>
      <c r="X206" s="4"/>
    </row>
    <row r="207" ht="21.0" customHeight="1">
      <c r="A207" s="650"/>
      <c r="B207" s="4"/>
      <c r="C207" s="650"/>
      <c r="D207" s="4"/>
      <c r="E207" s="4"/>
      <c r="F207" s="4"/>
      <c r="G207" s="4"/>
      <c r="H207" s="4"/>
      <c r="I207" s="4"/>
      <c r="J207" s="4"/>
      <c r="K207" s="4"/>
      <c r="L207" s="4"/>
      <c r="M207" s="4"/>
      <c r="N207" s="4"/>
      <c r="O207" s="4"/>
      <c r="P207" s="4"/>
      <c r="Q207" s="4"/>
      <c r="R207" s="4"/>
      <c r="S207" s="4"/>
      <c r="T207" s="4"/>
      <c r="U207" s="4"/>
      <c r="V207" s="4"/>
      <c r="W207" s="4"/>
      <c r="X207" s="4"/>
    </row>
    <row r="208" ht="21.0" customHeight="1">
      <c r="A208" s="650"/>
      <c r="B208" s="4"/>
      <c r="C208" s="650"/>
      <c r="D208" s="4"/>
      <c r="E208" s="4"/>
      <c r="F208" s="4"/>
      <c r="G208" s="4"/>
      <c r="H208" s="4"/>
      <c r="I208" s="4"/>
      <c r="J208" s="4"/>
      <c r="K208" s="4"/>
      <c r="L208" s="4"/>
      <c r="M208" s="4"/>
      <c r="N208" s="4"/>
      <c r="O208" s="4"/>
      <c r="P208" s="4"/>
      <c r="Q208" s="4"/>
      <c r="R208" s="4"/>
      <c r="S208" s="4"/>
      <c r="T208" s="4"/>
      <c r="U208" s="4"/>
      <c r="V208" s="4"/>
      <c r="W208" s="4"/>
      <c r="X208" s="4"/>
    </row>
    <row r="209" ht="21.0" customHeight="1">
      <c r="A209" s="650"/>
      <c r="B209" s="4"/>
      <c r="C209" s="650"/>
      <c r="D209" s="4"/>
      <c r="E209" s="4"/>
      <c r="F209" s="4"/>
      <c r="G209" s="4"/>
      <c r="H209" s="4"/>
      <c r="I209" s="4"/>
      <c r="J209" s="4"/>
      <c r="K209" s="4"/>
      <c r="L209" s="4"/>
      <c r="M209" s="4"/>
      <c r="N209" s="4"/>
      <c r="O209" s="4"/>
      <c r="P209" s="4"/>
      <c r="Q209" s="4"/>
      <c r="R209" s="4"/>
      <c r="S209" s="4"/>
      <c r="T209" s="4"/>
      <c r="U209" s="4"/>
      <c r="V209" s="4"/>
      <c r="W209" s="4"/>
      <c r="X209" s="4"/>
    </row>
    <row r="210" ht="21.0" customHeight="1">
      <c r="A210" s="650"/>
      <c r="B210" s="4"/>
      <c r="C210" s="650"/>
      <c r="D210" s="4"/>
      <c r="E210" s="4"/>
      <c r="F210" s="4"/>
      <c r="G210" s="4"/>
      <c r="H210" s="4"/>
      <c r="I210" s="4"/>
      <c r="J210" s="4"/>
      <c r="K210" s="4"/>
      <c r="L210" s="4"/>
      <c r="M210" s="4"/>
      <c r="N210" s="4"/>
      <c r="O210" s="4"/>
      <c r="P210" s="4"/>
      <c r="Q210" s="4"/>
      <c r="R210" s="4"/>
      <c r="S210" s="4"/>
      <c r="T210" s="4"/>
      <c r="U210" s="4"/>
      <c r="V210" s="4"/>
      <c r="W210" s="4"/>
      <c r="X210" s="4"/>
    </row>
    <row r="211" ht="21.0" customHeight="1">
      <c r="A211" s="650"/>
      <c r="B211" s="4"/>
      <c r="C211" s="650"/>
      <c r="D211" s="4"/>
      <c r="E211" s="4"/>
      <c r="F211" s="4"/>
      <c r="G211" s="4"/>
      <c r="H211" s="4"/>
      <c r="I211" s="4"/>
      <c r="J211" s="4"/>
      <c r="K211" s="4"/>
      <c r="L211" s="4"/>
      <c r="M211" s="4"/>
      <c r="N211" s="4"/>
      <c r="O211" s="4"/>
      <c r="P211" s="4"/>
      <c r="Q211" s="4"/>
      <c r="R211" s="4"/>
      <c r="S211" s="4"/>
      <c r="T211" s="4"/>
      <c r="U211" s="4"/>
      <c r="V211" s="4"/>
      <c r="W211" s="4"/>
      <c r="X211" s="4"/>
    </row>
    <row r="212" ht="21.0" customHeight="1">
      <c r="A212" s="650"/>
      <c r="B212" s="4"/>
      <c r="C212" s="650"/>
      <c r="D212" s="4"/>
      <c r="E212" s="4"/>
      <c r="F212" s="4"/>
      <c r="G212" s="4"/>
      <c r="H212" s="4"/>
      <c r="I212" s="4"/>
      <c r="J212" s="4"/>
      <c r="K212" s="4"/>
      <c r="L212" s="4"/>
      <c r="M212" s="4"/>
      <c r="N212" s="4"/>
      <c r="O212" s="4"/>
      <c r="P212" s="4"/>
      <c r="Q212" s="4"/>
      <c r="R212" s="4"/>
      <c r="S212" s="4"/>
      <c r="T212" s="4"/>
      <c r="U212" s="4"/>
      <c r="V212" s="4"/>
      <c r="W212" s="4"/>
      <c r="X212" s="4"/>
    </row>
    <row r="213" ht="21.0" customHeight="1">
      <c r="A213" s="650"/>
      <c r="B213" s="4"/>
      <c r="C213" s="650"/>
      <c r="D213" s="4"/>
      <c r="E213" s="4"/>
      <c r="F213" s="4"/>
      <c r="G213" s="4"/>
      <c r="H213" s="4"/>
      <c r="I213" s="4"/>
      <c r="J213" s="4"/>
      <c r="K213" s="4"/>
      <c r="L213" s="4"/>
      <c r="M213" s="4"/>
      <c r="N213" s="4"/>
      <c r="O213" s="4"/>
      <c r="P213" s="4"/>
      <c r="Q213" s="4"/>
      <c r="R213" s="4"/>
      <c r="S213" s="4"/>
      <c r="T213" s="4"/>
      <c r="U213" s="4"/>
      <c r="V213" s="4"/>
      <c r="W213" s="4"/>
      <c r="X213" s="4"/>
    </row>
    <row r="214" ht="21.0" customHeight="1">
      <c r="A214" s="650"/>
      <c r="B214" s="4"/>
      <c r="C214" s="650"/>
      <c r="D214" s="4"/>
      <c r="E214" s="4"/>
      <c r="F214" s="4"/>
      <c r="G214" s="4"/>
      <c r="H214" s="4"/>
      <c r="I214" s="4"/>
      <c r="J214" s="4"/>
      <c r="K214" s="4"/>
      <c r="L214" s="4"/>
      <c r="M214" s="4"/>
      <c r="N214" s="4"/>
      <c r="O214" s="4"/>
      <c r="P214" s="4"/>
      <c r="Q214" s="4"/>
      <c r="R214" s="4"/>
      <c r="S214" s="4"/>
      <c r="T214" s="4"/>
      <c r="U214" s="4"/>
      <c r="V214" s="4"/>
      <c r="W214" s="4"/>
      <c r="X214" s="4"/>
    </row>
    <row r="215" ht="21.0" customHeight="1">
      <c r="A215" s="650"/>
      <c r="B215" s="4"/>
      <c r="C215" s="650"/>
      <c r="D215" s="4"/>
      <c r="E215" s="4"/>
      <c r="F215" s="4"/>
      <c r="G215" s="4"/>
      <c r="H215" s="4"/>
      <c r="I215" s="4"/>
      <c r="J215" s="4"/>
      <c r="K215" s="4"/>
      <c r="L215" s="4"/>
      <c r="M215" s="4"/>
      <c r="N215" s="4"/>
      <c r="O215" s="4"/>
      <c r="P215" s="4"/>
      <c r="Q215" s="4"/>
      <c r="R215" s="4"/>
      <c r="S215" s="4"/>
      <c r="T215" s="4"/>
      <c r="U215" s="4"/>
      <c r="V215" s="4"/>
      <c r="W215" s="4"/>
      <c r="X215" s="4"/>
    </row>
    <row r="216" ht="21.0" customHeight="1">
      <c r="A216" s="650"/>
      <c r="B216" s="4"/>
      <c r="C216" s="650"/>
      <c r="D216" s="4"/>
      <c r="E216" s="4"/>
      <c r="F216" s="4"/>
      <c r="G216" s="4"/>
      <c r="H216" s="4"/>
      <c r="I216" s="4"/>
      <c r="J216" s="4"/>
      <c r="K216" s="4"/>
      <c r="L216" s="4"/>
      <c r="M216" s="4"/>
      <c r="N216" s="4"/>
      <c r="O216" s="4"/>
      <c r="P216" s="4"/>
      <c r="Q216" s="4"/>
      <c r="R216" s="4"/>
      <c r="S216" s="4"/>
      <c r="T216" s="4"/>
      <c r="U216" s="4"/>
      <c r="V216" s="4"/>
      <c r="W216" s="4"/>
      <c r="X216" s="4"/>
    </row>
    <row r="217" ht="21.0" customHeight="1">
      <c r="A217" s="650"/>
      <c r="B217" s="4"/>
      <c r="C217" s="650"/>
      <c r="D217" s="4"/>
      <c r="E217" s="4"/>
      <c r="F217" s="4"/>
      <c r="G217" s="4"/>
      <c r="H217" s="4"/>
      <c r="I217" s="4"/>
      <c r="J217" s="4"/>
      <c r="K217" s="4"/>
      <c r="L217" s="4"/>
      <c r="M217" s="4"/>
      <c r="N217" s="4"/>
      <c r="O217" s="4"/>
      <c r="P217" s="4"/>
      <c r="Q217" s="4"/>
      <c r="R217" s="4"/>
      <c r="S217" s="4"/>
      <c r="T217" s="4"/>
      <c r="U217" s="4"/>
      <c r="V217" s="4"/>
      <c r="W217" s="4"/>
      <c r="X217" s="4"/>
    </row>
    <row r="218" ht="21.0" customHeight="1">
      <c r="A218" s="650"/>
      <c r="B218" s="4"/>
      <c r="C218" s="650"/>
      <c r="D218" s="4"/>
      <c r="E218" s="4"/>
      <c r="F218" s="4"/>
      <c r="G218" s="4"/>
      <c r="H218" s="4"/>
      <c r="I218" s="4"/>
      <c r="J218" s="4"/>
      <c r="K218" s="4"/>
      <c r="L218" s="4"/>
      <c r="M218" s="4"/>
      <c r="N218" s="4"/>
      <c r="O218" s="4"/>
      <c r="P218" s="4"/>
      <c r="Q218" s="4"/>
      <c r="R218" s="4"/>
      <c r="S218" s="4"/>
      <c r="T218" s="4"/>
      <c r="U218" s="4"/>
      <c r="V218" s="4"/>
      <c r="W218" s="4"/>
      <c r="X218" s="4"/>
    </row>
    <row r="219" ht="21.0" customHeight="1">
      <c r="A219" s="650"/>
      <c r="B219" s="4"/>
      <c r="C219" s="650"/>
      <c r="D219" s="4"/>
      <c r="E219" s="4"/>
      <c r="F219" s="4"/>
      <c r="G219" s="4"/>
      <c r="H219" s="4"/>
      <c r="I219" s="4"/>
      <c r="J219" s="4"/>
      <c r="K219" s="4"/>
      <c r="L219" s="4"/>
      <c r="M219" s="4"/>
      <c r="N219" s="4"/>
      <c r="O219" s="4"/>
      <c r="P219" s="4"/>
      <c r="Q219" s="4"/>
      <c r="R219" s="4"/>
      <c r="S219" s="4"/>
      <c r="T219" s="4"/>
      <c r="U219" s="4"/>
      <c r="V219" s="4"/>
      <c r="W219" s="4"/>
      <c r="X219" s="4"/>
    </row>
    <row r="220" ht="21.0" customHeight="1">
      <c r="A220" s="650"/>
      <c r="B220" s="4"/>
      <c r="C220" s="650"/>
      <c r="D220" s="4"/>
      <c r="E220" s="4"/>
      <c r="F220" s="4"/>
      <c r="G220" s="4"/>
      <c r="H220" s="4"/>
      <c r="I220" s="4"/>
      <c r="J220" s="4"/>
      <c r="K220" s="4"/>
      <c r="L220" s="4"/>
      <c r="M220" s="4"/>
      <c r="N220" s="4"/>
      <c r="O220" s="4"/>
      <c r="P220" s="4"/>
      <c r="Q220" s="4"/>
      <c r="R220" s="4"/>
      <c r="S220" s="4"/>
      <c r="T220" s="4"/>
      <c r="U220" s="4"/>
      <c r="V220" s="4"/>
      <c r="W220" s="4"/>
      <c r="X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2D050"/>
    <pageSetUpPr/>
  </sheetPr>
  <sheetViews>
    <sheetView workbookViewId="0"/>
  </sheetViews>
  <sheetFormatPr customHeight="1" defaultColWidth="12.63" defaultRowHeight="15.0"/>
  <cols>
    <col customWidth="1" min="1" max="1" width="3.75"/>
    <col customWidth="1" min="2" max="2" width="16.5"/>
    <col customWidth="1" min="3" max="5" width="13.75"/>
    <col customWidth="1" min="6" max="6" width="14.88"/>
    <col customWidth="1" min="7" max="7" width="16.63"/>
    <col customWidth="1" min="8" max="8" width="13.75"/>
    <col customWidth="1" min="9" max="26" width="7.88"/>
  </cols>
  <sheetData>
    <row r="1" ht="13.5" customHeight="1">
      <c r="A1" s="695" t="s">
        <v>376</v>
      </c>
      <c r="B1" s="220"/>
      <c r="C1" s="220"/>
      <c r="D1" s="220"/>
      <c r="E1" s="220"/>
      <c r="F1" s="220"/>
      <c r="G1" s="221"/>
      <c r="H1" s="696"/>
    </row>
    <row r="2">
      <c r="A2" s="532"/>
      <c r="G2" s="227"/>
      <c r="H2" s="696"/>
    </row>
    <row r="3" ht="10.5" customHeight="1">
      <c r="A3" s="697"/>
      <c r="B3" s="133"/>
      <c r="C3" s="133"/>
      <c r="D3" s="133"/>
      <c r="E3" s="133"/>
      <c r="F3" s="133"/>
      <c r="G3" s="698"/>
      <c r="H3" s="696"/>
    </row>
    <row r="4">
      <c r="A4" s="699" t="s">
        <v>188</v>
      </c>
      <c r="B4" s="700" t="s">
        <v>71</v>
      </c>
      <c r="C4" s="700" t="s">
        <v>377</v>
      </c>
      <c r="D4" s="700" t="s">
        <v>189</v>
      </c>
      <c r="E4" s="700" t="s">
        <v>190</v>
      </c>
      <c r="F4" s="701" t="s">
        <v>378</v>
      </c>
      <c r="G4" s="702" t="s">
        <v>379</v>
      </c>
    </row>
    <row r="5">
      <c r="A5" s="703">
        <v>1.0</v>
      </c>
      <c r="B5" s="704">
        <f>TODAY()</f>
        <v>46278</v>
      </c>
      <c r="C5" s="705" t="str">
        <f>'806'!BB4</f>
        <v>#REF!</v>
      </c>
      <c r="D5" s="705"/>
      <c r="E5" s="705"/>
      <c r="F5" s="706" t="str">
        <f t="shared" ref="F5:G5" si="1">'806'!BI11</f>
        <v>#REF!</v>
      </c>
      <c r="G5" s="707" t="str">
        <f t="shared" si="1"/>
        <v>#REF!</v>
      </c>
    </row>
    <row r="6" ht="21.0" customHeight="1">
      <c r="A6" s="703">
        <v>2.0</v>
      </c>
      <c r="B6" s="708"/>
      <c r="C6" s="705" t="str">
        <f>'530'!BB5</f>
        <v>#REF!</v>
      </c>
      <c r="D6" s="545"/>
      <c r="E6" s="545"/>
      <c r="F6" s="709" t="str">
        <f t="shared" ref="F6:G6" si="2">'530'!BI12</f>
        <v>#REF!</v>
      </c>
      <c r="G6" s="710" t="str">
        <f t="shared" si="2"/>
        <v>#REF!</v>
      </c>
      <c r="H6" s="711"/>
    </row>
    <row r="7">
      <c r="A7" s="703">
        <v>3.0</v>
      </c>
      <c r="B7" s="712"/>
      <c r="C7" s="545" t="str">
        <f>'860'!BB4</f>
        <v>AWQ 860</v>
      </c>
      <c r="D7" s="545"/>
      <c r="E7" s="545"/>
      <c r="F7" s="709">
        <f>'860'!BI11</f>
        <v>2000</v>
      </c>
      <c r="G7" s="710">
        <f>'860'!BJ11</f>
        <v>95.2</v>
      </c>
    </row>
    <row r="8">
      <c r="A8" s="703">
        <v>4.0</v>
      </c>
      <c r="B8" s="712"/>
      <c r="C8" s="545" t="str">
        <f>'256'!BB5</f>
        <v>#REF!</v>
      </c>
      <c r="D8" s="713"/>
      <c r="E8" s="545"/>
      <c r="F8" s="709" t="str">
        <f t="shared" ref="F8:G8" si="3">'256'!BI12</f>
        <v>#REF!</v>
      </c>
      <c r="G8" s="710" t="str">
        <f t="shared" si="3"/>
        <v>#REF!</v>
      </c>
      <c r="I8" s="714"/>
    </row>
    <row r="9">
      <c r="A9" s="703">
        <v>5.0</v>
      </c>
      <c r="B9" s="712"/>
      <c r="C9" s="135" t="str">
        <f>'240'!BB5</f>
        <v>#REF!</v>
      </c>
      <c r="D9" s="135"/>
      <c r="E9" s="135"/>
      <c r="F9" s="715" t="str">
        <f t="shared" ref="F9:G9" si="4">'240'!BI12</f>
        <v>#REF!</v>
      </c>
      <c r="G9" s="716" t="str">
        <f t="shared" si="4"/>
        <v>#REF!</v>
      </c>
    </row>
    <row r="10">
      <c r="A10" s="703">
        <v>6.0</v>
      </c>
      <c r="B10" s="708"/>
      <c r="C10" s="135" t="str">
        <f>'808'!BB4</f>
        <v>#REF!</v>
      </c>
      <c r="D10" s="135"/>
      <c r="E10" s="135"/>
      <c r="F10" s="715" t="str">
        <f t="shared" ref="F10:G10" si="5">'808'!BI11</f>
        <v>#REF!</v>
      </c>
      <c r="G10" s="716" t="str">
        <f t="shared" si="5"/>
        <v>#REF!</v>
      </c>
      <c r="H10" s="711"/>
    </row>
    <row r="11">
      <c r="A11" s="703">
        <v>7.0</v>
      </c>
      <c r="B11" s="712"/>
      <c r="C11" s="545" t="str">
        <f>'528'!BB5</f>
        <v>#REF!</v>
      </c>
      <c r="D11" s="545"/>
      <c r="E11" s="545"/>
      <c r="F11" s="709" t="str">
        <f t="shared" ref="F11:G11" si="6">'528'!BI12</f>
        <v>#REF!</v>
      </c>
      <c r="G11" s="710" t="str">
        <f t="shared" si="6"/>
        <v>#REF!</v>
      </c>
    </row>
    <row r="12">
      <c r="A12" s="703">
        <v>8.0</v>
      </c>
      <c r="B12" s="712"/>
      <c r="C12" s="545" t="str">
        <f>'252'!BB5</f>
        <v>#REF!</v>
      </c>
      <c r="D12" s="545"/>
      <c r="E12" s="545"/>
      <c r="F12" s="709" t="str">
        <f t="shared" ref="F12:G12" si="7">'252'!BI12</f>
        <v>#REF!</v>
      </c>
      <c r="G12" s="710" t="str">
        <f t="shared" si="7"/>
        <v>#REF!</v>
      </c>
    </row>
    <row r="13">
      <c r="A13" s="703">
        <v>9.0</v>
      </c>
      <c r="B13" s="712"/>
      <c r="C13" s="545" t="str">
        <f>'180'!BB4</f>
        <v>#REF!</v>
      </c>
      <c r="D13" s="545"/>
      <c r="E13" s="545"/>
      <c r="F13" s="709" t="str">
        <f t="shared" ref="F13:G13" si="8">'180'!BI11</f>
        <v>#REF!</v>
      </c>
      <c r="G13" s="710" t="str">
        <f t="shared" si="8"/>
        <v>#REF!</v>
      </c>
    </row>
    <row r="14">
      <c r="A14" s="703">
        <v>10.0</v>
      </c>
      <c r="B14" s="712"/>
      <c r="C14" s="545" t="str">
        <f>'208'!BB5</f>
        <v>#REF!</v>
      </c>
      <c r="D14" s="545"/>
      <c r="E14" s="545"/>
      <c r="F14" s="709" t="str">
        <f t="shared" ref="F14:G14" si="9">'208'!BI12</f>
        <v>#REF!</v>
      </c>
      <c r="G14" s="710" t="str">
        <f t="shared" si="9"/>
        <v>#REF!</v>
      </c>
    </row>
    <row r="15">
      <c r="A15" s="703">
        <v>11.0</v>
      </c>
      <c r="B15" s="712"/>
      <c r="C15" s="135" t="str">
        <f>'258'!BB4</f>
        <v>AWQ 258</v>
      </c>
      <c r="D15" s="135"/>
      <c r="E15" s="135"/>
      <c r="F15" s="721">
        <f>'258'!BI11</f>
        <v>0</v>
      </c>
      <c r="G15" s="716">
        <f>'258'!BJ11</f>
        <v>0</v>
      </c>
    </row>
    <row r="16">
      <c r="A16" s="703">
        <v>12.0</v>
      </c>
      <c r="B16" s="712"/>
      <c r="C16" s="135" t="str">
        <f>'210'!BB5</f>
        <v>#REF!</v>
      </c>
      <c r="D16" s="135"/>
      <c r="E16" s="135"/>
      <c r="F16" s="721" t="str">
        <f t="shared" ref="F16:G16" si="10">'210'!BI12</f>
        <v>#REF!</v>
      </c>
      <c r="G16" s="716" t="str">
        <f t="shared" si="10"/>
        <v>#REF!</v>
      </c>
    </row>
    <row r="17">
      <c r="A17" s="703">
        <v>13.0</v>
      </c>
      <c r="B17" s="712"/>
      <c r="C17" s="545" t="str">
        <f>'810'!BB4</f>
        <v>#REF!</v>
      </c>
      <c r="D17" s="545"/>
      <c r="E17" s="545"/>
      <c r="F17" s="709" t="str">
        <f t="shared" ref="F17:G17" si="11">'810'!BI11</f>
        <v>#REF!</v>
      </c>
      <c r="G17" s="710" t="str">
        <f t="shared" si="11"/>
        <v>#REF!</v>
      </c>
    </row>
    <row r="18">
      <c r="A18" s="703">
        <v>14.0</v>
      </c>
      <c r="B18" s="712"/>
      <c r="C18" s="545" t="s">
        <v>40</v>
      </c>
      <c r="D18" s="545"/>
      <c r="E18" s="545"/>
      <c r="F18" s="709">
        <f>'526'!BI12</f>
        <v>3000</v>
      </c>
      <c r="G18" s="722">
        <f>'526'!BJ12</f>
        <v>329.75</v>
      </c>
    </row>
    <row r="19">
      <c r="A19" s="703">
        <v>15.0</v>
      </c>
      <c r="B19" s="712"/>
      <c r="C19" s="545"/>
      <c r="D19" s="545"/>
      <c r="E19" s="545"/>
      <c r="F19" s="709"/>
      <c r="G19" s="722"/>
    </row>
    <row r="20">
      <c r="A20" s="703">
        <v>16.0</v>
      </c>
      <c r="B20" s="712"/>
      <c r="C20" s="545"/>
      <c r="D20" s="545"/>
      <c r="E20" s="545"/>
      <c r="F20" s="709"/>
      <c r="G20" s="722"/>
    </row>
    <row r="21" ht="15.75" customHeight="1">
      <c r="A21" s="703">
        <v>17.0</v>
      </c>
      <c r="B21" s="712"/>
      <c r="C21" s="545"/>
      <c r="D21" s="545"/>
      <c r="E21" s="545"/>
      <c r="F21" s="709"/>
      <c r="G21" s="724"/>
    </row>
    <row r="22" ht="15.75" customHeight="1">
      <c r="A22" s="703">
        <v>18.0</v>
      </c>
      <c r="B22" s="712"/>
      <c r="C22" s="545"/>
      <c r="D22" s="545"/>
      <c r="E22" s="545"/>
      <c r="F22" s="709"/>
      <c r="G22" s="724"/>
    </row>
    <row r="23" ht="15.75" customHeight="1">
      <c r="A23" s="703">
        <v>19.0</v>
      </c>
      <c r="B23" s="712"/>
      <c r="C23" s="135"/>
      <c r="D23" s="135"/>
      <c r="E23" s="135"/>
      <c r="F23" s="721"/>
      <c r="G23" s="726"/>
    </row>
    <row r="24" ht="15.75" customHeight="1">
      <c r="A24" s="703">
        <v>20.0</v>
      </c>
      <c r="B24" s="712"/>
      <c r="C24" s="727"/>
      <c r="D24" s="727"/>
      <c r="E24" s="727"/>
      <c r="F24" s="728"/>
      <c r="G24" s="729"/>
    </row>
    <row r="25" ht="15.75" customHeight="1">
      <c r="A25" s="703">
        <v>21.0</v>
      </c>
      <c r="B25" s="712"/>
      <c r="C25" s="135"/>
      <c r="D25" s="135"/>
      <c r="E25" s="135"/>
      <c r="F25" s="721"/>
      <c r="G25" s="730"/>
    </row>
    <row r="26" ht="15.75" customHeight="1">
      <c r="A26" s="703">
        <v>22.0</v>
      </c>
      <c r="B26" s="712"/>
      <c r="C26" s="731"/>
      <c r="D26" s="731"/>
      <c r="E26" s="731"/>
      <c r="F26" s="732"/>
      <c r="G26" s="733"/>
    </row>
    <row r="27" ht="15.75" customHeight="1">
      <c r="A27" s="703">
        <v>24.0</v>
      </c>
      <c r="B27" s="712"/>
      <c r="C27" s="135"/>
      <c r="D27" s="135"/>
      <c r="E27" s="135"/>
      <c r="F27" s="709"/>
      <c r="G27" s="724"/>
    </row>
    <row r="28" ht="15.75" customHeight="1">
      <c r="A28" s="703">
        <v>25.0</v>
      </c>
      <c r="B28" s="712"/>
      <c r="C28" s="135"/>
      <c r="D28" s="135"/>
      <c r="E28" s="135"/>
      <c r="F28" s="721"/>
      <c r="G28" s="726"/>
    </row>
    <row r="29" ht="15.75" customHeight="1">
      <c r="A29" s="703">
        <v>26.0</v>
      </c>
      <c r="B29" s="712"/>
      <c r="C29" s="135"/>
      <c r="D29" s="135"/>
      <c r="E29" s="135"/>
      <c r="F29" s="721"/>
      <c r="G29" s="726"/>
      <c r="H29" s="1"/>
      <c r="I29" s="1"/>
      <c r="J29" s="1"/>
      <c r="K29" s="1"/>
      <c r="L29" s="1"/>
      <c r="M29" s="1"/>
      <c r="N29" s="1"/>
      <c r="O29" s="1"/>
      <c r="P29" s="1"/>
      <c r="Q29" s="1"/>
      <c r="R29" s="1"/>
      <c r="S29" s="1"/>
      <c r="T29" s="1"/>
      <c r="U29" s="1"/>
      <c r="V29" s="1"/>
      <c r="W29" s="1"/>
      <c r="X29" s="1"/>
      <c r="Y29" s="1"/>
      <c r="Z29" s="1"/>
    </row>
    <row r="30" ht="15.75" customHeight="1">
      <c r="A30" s="703">
        <v>27.0</v>
      </c>
      <c r="B30" s="712"/>
      <c r="C30" s="135"/>
      <c r="D30" s="135"/>
      <c r="E30" s="135"/>
      <c r="F30" s="721"/>
      <c r="G30" s="730"/>
      <c r="H30" s="1"/>
      <c r="I30" s="1"/>
      <c r="J30" s="1"/>
      <c r="K30" s="1"/>
      <c r="L30" s="1"/>
      <c r="M30" s="1"/>
      <c r="N30" s="1"/>
      <c r="O30" s="1"/>
      <c r="P30" s="1"/>
      <c r="Q30" s="1"/>
      <c r="R30" s="1"/>
      <c r="S30" s="1"/>
      <c r="T30" s="1"/>
      <c r="U30" s="1"/>
      <c r="V30" s="1"/>
      <c r="W30" s="1"/>
      <c r="X30" s="1"/>
      <c r="Y30" s="1"/>
      <c r="Z30" s="1"/>
    </row>
    <row r="31" ht="15.75" customHeight="1">
      <c r="A31" s="703">
        <v>28.0</v>
      </c>
      <c r="B31" s="712"/>
      <c r="C31" s="135"/>
      <c r="D31" s="135"/>
      <c r="E31" s="135"/>
      <c r="F31" s="721"/>
      <c r="G31" s="730"/>
      <c r="H31" s="1"/>
      <c r="I31" s="1"/>
      <c r="J31" s="1"/>
      <c r="K31" s="1"/>
      <c r="L31" s="1"/>
      <c r="M31" s="1"/>
      <c r="N31" s="1"/>
      <c r="O31" s="1"/>
      <c r="P31" s="1"/>
      <c r="Q31" s="1"/>
      <c r="R31" s="1"/>
      <c r="S31" s="1"/>
      <c r="T31" s="1"/>
      <c r="U31" s="1"/>
      <c r="V31" s="1"/>
      <c r="W31" s="1"/>
      <c r="X31" s="1"/>
      <c r="Y31" s="1"/>
      <c r="Z31" s="1"/>
    </row>
    <row r="32" ht="15.75" customHeight="1">
      <c r="A32" s="703">
        <v>29.0</v>
      </c>
      <c r="B32" s="712"/>
      <c r="C32" s="135"/>
      <c r="D32" s="135"/>
      <c r="E32" s="135"/>
      <c r="F32" s="715"/>
      <c r="G32" s="730"/>
    </row>
    <row r="33" ht="15.75" customHeight="1">
      <c r="A33" s="703">
        <v>30.0</v>
      </c>
      <c r="B33" s="712"/>
      <c r="C33" s="135"/>
      <c r="D33" s="135"/>
      <c r="E33" s="135"/>
      <c r="F33" s="715"/>
      <c r="G33" s="730"/>
    </row>
    <row r="34" ht="15.75" customHeight="1">
      <c r="A34" s="703">
        <v>31.0</v>
      </c>
      <c r="B34" s="712"/>
      <c r="C34" s="135"/>
      <c r="D34" s="135"/>
      <c r="E34" s="135"/>
      <c r="F34" s="721"/>
      <c r="G34" s="730"/>
    </row>
    <row r="35" ht="15.75" customHeight="1">
      <c r="A35" s="703">
        <v>32.0</v>
      </c>
      <c r="B35" s="712"/>
      <c r="C35" s="135"/>
      <c r="D35" s="135"/>
      <c r="E35" s="135"/>
      <c r="F35" s="721"/>
      <c r="G35" s="730"/>
    </row>
    <row r="36" ht="15.75" customHeight="1">
      <c r="A36" s="703">
        <v>33.0</v>
      </c>
      <c r="B36" s="712"/>
      <c r="C36" s="734"/>
      <c r="D36" s="734"/>
      <c r="E36" s="734"/>
      <c r="F36" s="735"/>
      <c r="G36" s="736"/>
    </row>
    <row r="37" ht="15.75" customHeight="1">
      <c r="A37" s="703">
        <v>34.0</v>
      </c>
      <c r="B37" s="712"/>
      <c r="C37" s="734"/>
      <c r="D37" s="734"/>
      <c r="E37" s="734"/>
      <c r="F37" s="735"/>
      <c r="G37" s="736"/>
      <c r="H37" s="1"/>
      <c r="I37" s="1"/>
      <c r="J37" s="1"/>
      <c r="K37" s="1"/>
      <c r="L37" s="1"/>
      <c r="M37" s="1"/>
      <c r="N37" s="1"/>
      <c r="O37" s="1"/>
      <c r="P37" s="1"/>
      <c r="Q37" s="1"/>
      <c r="R37" s="1"/>
      <c r="S37" s="1"/>
      <c r="T37" s="1"/>
      <c r="U37" s="1"/>
      <c r="V37" s="1"/>
      <c r="W37" s="1"/>
      <c r="X37" s="1"/>
      <c r="Y37" s="1"/>
      <c r="Z37" s="1"/>
    </row>
    <row r="38" ht="15.75" customHeight="1">
      <c r="A38" s="703">
        <v>35.0</v>
      </c>
      <c r="B38" s="712"/>
      <c r="C38" s="135"/>
      <c r="D38" s="135"/>
      <c r="E38" s="135"/>
      <c r="F38" s="721"/>
      <c r="G38" s="730"/>
    </row>
    <row r="39" ht="15.75" customHeight="1">
      <c r="A39" s="703">
        <v>36.0</v>
      </c>
      <c r="B39" s="712"/>
      <c r="C39" s="135"/>
      <c r="D39" s="135"/>
      <c r="E39" s="135"/>
      <c r="F39" s="721"/>
      <c r="G39" s="730"/>
    </row>
    <row r="40" ht="15.75" customHeight="1">
      <c r="A40" s="703">
        <v>37.0</v>
      </c>
      <c r="B40" s="712"/>
      <c r="C40" s="545"/>
      <c r="D40" s="135"/>
      <c r="E40" s="135"/>
      <c r="F40" s="709"/>
      <c r="G40" s="724"/>
    </row>
    <row r="41" ht="15.75" customHeight="1">
      <c r="A41" s="703">
        <v>38.0</v>
      </c>
      <c r="B41" s="712"/>
      <c r="C41" s="135"/>
      <c r="D41" s="135"/>
      <c r="E41" s="135"/>
      <c r="F41" s="721"/>
      <c r="G41" s="730"/>
    </row>
    <row r="42" ht="15.75" customHeight="1">
      <c r="A42" s="703">
        <v>39.0</v>
      </c>
      <c r="B42" s="712"/>
      <c r="C42" s="135"/>
      <c r="D42" s="135"/>
      <c r="E42" s="135"/>
      <c r="F42" s="721"/>
      <c r="G42" s="730"/>
    </row>
    <row r="43" ht="15.75" customHeight="1">
      <c r="A43" s="703">
        <v>40.0</v>
      </c>
      <c r="B43" s="712"/>
      <c r="C43" s="545"/>
      <c r="D43" s="545"/>
      <c r="E43" s="545"/>
      <c r="F43" s="709"/>
      <c r="G43" s="722"/>
    </row>
    <row r="44" ht="15.75" customHeight="1">
      <c r="A44" s="703">
        <v>41.0</v>
      </c>
      <c r="B44" s="712"/>
      <c r="C44" s="734"/>
      <c r="D44" s="734"/>
      <c r="E44" s="734"/>
      <c r="F44" s="735"/>
      <c r="G44" s="737"/>
    </row>
    <row r="45" ht="15.75" customHeight="1">
      <c r="A45" s="738"/>
      <c r="B45" s="284"/>
      <c r="C45" s="284"/>
      <c r="D45" s="284"/>
      <c r="E45" s="739" t="s">
        <v>441</v>
      </c>
      <c r="F45" s="740" t="str">
        <f t="shared" ref="F45:G45" si="12">SUM(F5:F44)</f>
        <v>#REF!</v>
      </c>
      <c r="G45" s="741" t="str">
        <f t="shared" si="12"/>
        <v>#REF!</v>
      </c>
      <c r="H45" s="742"/>
    </row>
    <row r="46" ht="15.75" customHeight="1">
      <c r="A46" s="738"/>
      <c r="B46" s="284"/>
      <c r="C46" s="284"/>
      <c r="D46" s="284"/>
      <c r="E46" s="284"/>
      <c r="F46" s="284"/>
      <c r="G46" s="284"/>
    </row>
    <row r="47" ht="15.75" customHeight="1">
      <c r="C47" s="1"/>
      <c r="D47" s="1"/>
      <c r="E47" s="1" t="s">
        <v>442</v>
      </c>
    </row>
    <row r="48" ht="15.75" customHeight="1">
      <c r="C48" s="1"/>
      <c r="D48" s="1"/>
      <c r="E48" s="1"/>
    </row>
    <row r="49" ht="15.75" customHeight="1">
      <c r="C49" s="1"/>
      <c r="D49" s="1"/>
      <c r="E49" s="1"/>
    </row>
    <row r="50" ht="15.75" customHeight="1">
      <c r="C50" s="1"/>
      <c r="D50" s="1"/>
      <c r="E50" s="1"/>
    </row>
    <row r="51" ht="15.75" customHeight="1">
      <c r="C51" s="1"/>
      <c r="D51" s="1"/>
      <c r="E51" s="1"/>
    </row>
    <row r="52" ht="15.75" customHeight="1">
      <c r="C52" s="1"/>
      <c r="D52" s="1"/>
      <c r="E52" s="1"/>
    </row>
    <row r="53" ht="15.75" customHeight="1">
      <c r="C53" s="1"/>
      <c r="D53" s="1"/>
      <c r="E53" s="1"/>
    </row>
    <row r="54" ht="15.75" customHeight="1">
      <c r="C54" s="1"/>
      <c r="D54" s="1"/>
      <c r="E54" s="1"/>
    </row>
    <row r="55" ht="15.75" customHeight="1">
      <c r="C55" s="1"/>
      <c r="D55" s="1"/>
      <c r="E55" s="1"/>
    </row>
    <row r="56" ht="15.75" customHeight="1">
      <c r="C56" s="1"/>
      <c r="D56" s="1"/>
      <c r="E56" s="1"/>
    </row>
    <row r="57" ht="15.75" customHeight="1">
      <c r="C57" s="1"/>
      <c r="D57" s="1"/>
      <c r="E57" s="1"/>
    </row>
    <row r="58" ht="15.75" customHeight="1">
      <c r="C58" s="1"/>
      <c r="D58" s="1"/>
      <c r="E58" s="1"/>
    </row>
    <row r="59" ht="15.75" customHeight="1">
      <c r="C59" s="1"/>
      <c r="D59" s="1"/>
      <c r="E59" s="1"/>
    </row>
    <row r="60" ht="15.75" customHeight="1">
      <c r="C60" s="1"/>
      <c r="D60" s="1"/>
      <c r="E60" s="1"/>
    </row>
    <row r="61" ht="15.75" customHeight="1">
      <c r="C61" s="1"/>
      <c r="D61" s="1"/>
      <c r="E61" s="1"/>
    </row>
    <row r="62" ht="15.75" customHeight="1">
      <c r="C62" s="1"/>
      <c r="D62" s="1"/>
      <c r="E62" s="1"/>
    </row>
    <row r="63" ht="15.75" customHeight="1">
      <c r="C63" s="1"/>
      <c r="D63" s="1"/>
      <c r="E63" s="1"/>
    </row>
    <row r="64" ht="15.75" customHeight="1">
      <c r="C64" s="1"/>
      <c r="D64" s="1"/>
      <c r="E64" s="1"/>
    </row>
    <row r="65" ht="15.75" customHeight="1">
      <c r="C65" s="1"/>
      <c r="D65" s="1"/>
      <c r="E65" s="1"/>
    </row>
    <row r="66" ht="15.75" customHeight="1">
      <c r="C66" s="1"/>
      <c r="D66" s="1"/>
      <c r="E66" s="1"/>
    </row>
    <row r="67" ht="15.75" customHeight="1">
      <c r="C67" s="1"/>
      <c r="D67" s="1"/>
      <c r="E67" s="1"/>
    </row>
    <row r="68" ht="15.75" customHeight="1">
      <c r="C68" s="1"/>
      <c r="D68" s="1"/>
      <c r="E68" s="1"/>
    </row>
    <row r="69" ht="15.75" customHeight="1">
      <c r="C69" s="1"/>
      <c r="D69" s="1"/>
      <c r="E69" s="1"/>
    </row>
    <row r="70" ht="15.75" customHeight="1">
      <c r="C70" s="1"/>
      <c r="D70" s="1"/>
      <c r="E70" s="1"/>
    </row>
    <row r="71" ht="15.75" customHeight="1">
      <c r="C71" s="1"/>
      <c r="D71" s="1"/>
      <c r="E71" s="1"/>
    </row>
    <row r="72" ht="15.75" customHeight="1">
      <c r="C72" s="1"/>
      <c r="D72" s="1"/>
      <c r="E72" s="1"/>
    </row>
    <row r="73" ht="15.75" customHeight="1">
      <c r="C73" s="1"/>
      <c r="D73" s="1"/>
      <c r="E73" s="1"/>
    </row>
    <row r="74" ht="15.75" customHeight="1">
      <c r="C74" s="1"/>
      <c r="D74" s="1"/>
      <c r="E74" s="1"/>
    </row>
    <row r="75" ht="15.75" customHeight="1">
      <c r="C75" s="1"/>
      <c r="D75" s="1"/>
      <c r="E75" s="1"/>
    </row>
    <row r="76" ht="15.75" customHeight="1">
      <c r="C76" s="1"/>
      <c r="D76" s="1"/>
      <c r="E76" s="1"/>
    </row>
    <row r="77" ht="15.75" customHeight="1">
      <c r="C77" s="1"/>
      <c r="D77" s="1"/>
      <c r="E77" s="1"/>
    </row>
    <row r="78" ht="15.75" customHeight="1">
      <c r="C78" s="1"/>
      <c r="D78" s="1"/>
      <c r="E78" s="1"/>
    </row>
    <row r="79" ht="15.75" customHeight="1">
      <c r="C79" s="1"/>
      <c r="D79" s="1"/>
      <c r="E79" s="1"/>
    </row>
    <row r="80" ht="15.75" customHeight="1">
      <c r="C80" s="1"/>
      <c r="D80" s="1"/>
      <c r="E80" s="1"/>
    </row>
    <row r="81" ht="15.75" customHeight="1">
      <c r="C81" s="1"/>
      <c r="D81" s="1"/>
      <c r="E81" s="1"/>
    </row>
    <row r="82" ht="15.75" customHeight="1">
      <c r="C82" s="1"/>
      <c r="D82" s="1"/>
      <c r="E82" s="1"/>
    </row>
    <row r="83" ht="15.75" customHeight="1">
      <c r="C83" s="1"/>
      <c r="D83" s="1"/>
      <c r="E83" s="1"/>
    </row>
    <row r="84" ht="15.75" customHeight="1">
      <c r="C84" s="1"/>
      <c r="D84" s="1"/>
      <c r="E84" s="1"/>
    </row>
    <row r="85" ht="15.75" customHeight="1">
      <c r="C85" s="1"/>
      <c r="D85" s="1"/>
      <c r="E85" s="1"/>
    </row>
    <row r="86" ht="15.75" customHeight="1">
      <c r="C86" s="1"/>
      <c r="D86" s="1"/>
      <c r="E86" s="1"/>
    </row>
    <row r="87" ht="15.75" customHeight="1">
      <c r="C87" s="1"/>
      <c r="D87" s="1"/>
      <c r="E87" s="1"/>
    </row>
    <row r="88" ht="15.75" customHeight="1">
      <c r="C88" s="1"/>
      <c r="D88" s="1"/>
      <c r="E88" s="1"/>
    </row>
    <row r="89" ht="15.75" customHeight="1">
      <c r="C89" s="1"/>
      <c r="D89" s="1"/>
      <c r="E89" s="1"/>
    </row>
    <row r="90" ht="15.75" customHeight="1">
      <c r="C90" s="1"/>
      <c r="D90" s="1"/>
      <c r="E90" s="1"/>
    </row>
    <row r="91" ht="15.75" customHeight="1">
      <c r="C91" s="1"/>
      <c r="D91" s="1"/>
      <c r="E91" s="1"/>
    </row>
    <row r="92" ht="15.75" customHeight="1">
      <c r="C92" s="1"/>
      <c r="D92" s="1"/>
      <c r="E92" s="1"/>
    </row>
    <row r="93" ht="15.75" customHeight="1">
      <c r="C93" s="1"/>
      <c r="D93" s="1"/>
      <c r="E93" s="1"/>
    </row>
    <row r="94" ht="15.75" customHeight="1">
      <c r="C94" s="1"/>
      <c r="D94" s="1"/>
      <c r="E94" s="1"/>
    </row>
    <row r="95" ht="15.75" customHeight="1">
      <c r="C95" s="1"/>
      <c r="D95" s="1"/>
      <c r="E95" s="1"/>
    </row>
    <row r="96" ht="15.75" customHeight="1">
      <c r="C96" s="1"/>
      <c r="D96" s="1"/>
      <c r="E96" s="1"/>
    </row>
    <row r="97" ht="15.75" customHeight="1">
      <c r="C97" s="1"/>
      <c r="D97" s="1"/>
      <c r="E97" s="1"/>
    </row>
    <row r="98" ht="15.75" customHeight="1">
      <c r="C98" s="1"/>
      <c r="D98" s="1"/>
      <c r="E98" s="1"/>
    </row>
    <row r="99" ht="15.75" customHeight="1">
      <c r="C99" s="1"/>
      <c r="D99" s="1"/>
      <c r="E99" s="1"/>
    </row>
    <row r="100" ht="15.75" customHeight="1">
      <c r="C100" s="1"/>
      <c r="D100" s="1"/>
      <c r="E100" s="1"/>
    </row>
    <row r="101" ht="15.75" customHeight="1">
      <c r="C101" s="1"/>
      <c r="D101" s="1"/>
      <c r="E101" s="1"/>
    </row>
    <row r="102" ht="15.75" customHeight="1">
      <c r="C102" s="1"/>
      <c r="D102" s="1"/>
      <c r="E102" s="1"/>
    </row>
    <row r="103" ht="15.75" customHeight="1">
      <c r="C103" s="1"/>
      <c r="D103" s="1"/>
      <c r="E103" s="1"/>
    </row>
    <row r="104" ht="15.75" customHeight="1">
      <c r="C104" s="1"/>
      <c r="D104" s="1"/>
      <c r="E104" s="1"/>
    </row>
    <row r="105" ht="15.75" customHeight="1">
      <c r="C105" s="1"/>
      <c r="D105" s="1"/>
      <c r="E105" s="1"/>
    </row>
    <row r="106" ht="15.75" customHeight="1">
      <c r="C106" s="1"/>
      <c r="D106" s="1"/>
      <c r="E106" s="1"/>
    </row>
    <row r="107" ht="15.75" customHeight="1">
      <c r="C107" s="1"/>
      <c r="D107" s="1"/>
      <c r="E107" s="1"/>
    </row>
    <row r="108" ht="15.75" customHeight="1">
      <c r="C108" s="1"/>
      <c r="D108" s="1"/>
      <c r="E108" s="1"/>
    </row>
    <row r="109" ht="15.75" customHeight="1">
      <c r="C109" s="1"/>
      <c r="D109" s="1"/>
      <c r="E109" s="1"/>
    </row>
    <row r="110" ht="15.75" customHeight="1">
      <c r="C110" s="1"/>
      <c r="D110" s="1"/>
      <c r="E110" s="1"/>
    </row>
    <row r="111" ht="15.75" customHeight="1">
      <c r="C111" s="1"/>
      <c r="D111" s="1"/>
      <c r="E111" s="1"/>
    </row>
    <row r="112" ht="15.75" customHeight="1">
      <c r="C112" s="1"/>
      <c r="D112" s="1"/>
      <c r="E112" s="1"/>
    </row>
    <row r="113" ht="15.75" customHeight="1">
      <c r="C113" s="1"/>
      <c r="D113" s="1"/>
      <c r="E113" s="1"/>
    </row>
    <row r="114" ht="15.75" customHeight="1">
      <c r="C114" s="1"/>
      <c r="D114" s="1"/>
      <c r="E114" s="1"/>
    </row>
    <row r="115" ht="15.75" customHeight="1">
      <c r="C115" s="1"/>
      <c r="D115" s="1"/>
      <c r="E115" s="1"/>
    </row>
    <row r="116" ht="15.75" customHeight="1">
      <c r="C116" s="1"/>
      <c r="D116" s="1"/>
      <c r="E116" s="1"/>
    </row>
    <row r="117" ht="15.75" customHeight="1">
      <c r="C117" s="1"/>
      <c r="D117" s="1"/>
      <c r="E117" s="1"/>
    </row>
    <row r="118" ht="15.75" customHeight="1">
      <c r="C118" s="1"/>
      <c r="D118" s="1"/>
      <c r="E118" s="1"/>
    </row>
    <row r="119" ht="15.75" customHeight="1">
      <c r="C119" s="1"/>
      <c r="D119" s="1"/>
      <c r="E119" s="1"/>
    </row>
    <row r="120" ht="15.75" customHeight="1">
      <c r="C120" s="1"/>
      <c r="D120" s="1"/>
      <c r="E120" s="1"/>
    </row>
    <row r="121" ht="15.75" customHeight="1">
      <c r="C121" s="1"/>
      <c r="D121" s="1"/>
      <c r="E121" s="1"/>
    </row>
    <row r="122" ht="15.75" customHeight="1">
      <c r="C122" s="1"/>
      <c r="D122" s="1"/>
      <c r="E122" s="1"/>
    </row>
    <row r="123" ht="15.75" customHeight="1">
      <c r="C123" s="1"/>
      <c r="D123" s="1"/>
      <c r="E123" s="1"/>
    </row>
    <row r="124" ht="15.75" customHeight="1">
      <c r="C124" s="1"/>
      <c r="D124" s="1"/>
      <c r="E124" s="1"/>
    </row>
    <row r="125" ht="15.75" customHeight="1">
      <c r="C125" s="1"/>
      <c r="D125" s="1"/>
      <c r="E125" s="1"/>
    </row>
    <row r="126" ht="15.75" customHeight="1">
      <c r="C126" s="1"/>
      <c r="D126" s="1"/>
      <c r="E126" s="1"/>
    </row>
    <row r="127" ht="15.75" customHeight="1">
      <c r="C127" s="1"/>
      <c r="D127" s="1"/>
      <c r="E127" s="1"/>
    </row>
    <row r="128" ht="15.75" customHeight="1">
      <c r="C128" s="1"/>
      <c r="D128" s="1"/>
      <c r="E128" s="1"/>
    </row>
    <row r="129" ht="15.75" customHeight="1">
      <c r="C129" s="1"/>
      <c r="D129" s="1"/>
      <c r="E129" s="1"/>
    </row>
    <row r="130" ht="15.75" customHeight="1">
      <c r="C130" s="1"/>
      <c r="D130" s="1"/>
      <c r="E130" s="1"/>
    </row>
    <row r="131" ht="15.75" customHeight="1">
      <c r="C131" s="1"/>
      <c r="D131" s="1"/>
      <c r="E131" s="1"/>
    </row>
    <row r="132" ht="15.75" customHeight="1">
      <c r="C132" s="1"/>
      <c r="D132" s="1"/>
      <c r="E132" s="1"/>
    </row>
    <row r="133" ht="15.75" customHeight="1">
      <c r="C133" s="1"/>
      <c r="D133" s="1"/>
      <c r="E133" s="1"/>
    </row>
    <row r="134" ht="15.75" customHeight="1">
      <c r="C134" s="1"/>
      <c r="D134" s="1"/>
      <c r="E134" s="1"/>
    </row>
    <row r="135" ht="15.75" customHeight="1">
      <c r="C135" s="1"/>
      <c r="D135" s="1"/>
      <c r="E135" s="1"/>
    </row>
    <row r="136" ht="15.75" customHeight="1">
      <c r="C136" s="1"/>
      <c r="D136" s="1"/>
      <c r="E136" s="1"/>
    </row>
    <row r="137" ht="15.75" customHeight="1">
      <c r="C137" s="1"/>
      <c r="D137" s="1"/>
      <c r="E137" s="1"/>
    </row>
    <row r="138" ht="15.75" customHeight="1">
      <c r="C138" s="1"/>
      <c r="D138" s="1"/>
      <c r="E138" s="1"/>
    </row>
    <row r="139" ht="15.75" customHeight="1">
      <c r="C139" s="1"/>
      <c r="D139" s="1"/>
      <c r="E139" s="1"/>
    </row>
    <row r="140" ht="15.75" customHeight="1">
      <c r="C140" s="1"/>
      <c r="D140" s="1"/>
      <c r="E140" s="1"/>
    </row>
    <row r="141" ht="15.75" customHeight="1">
      <c r="C141" s="1"/>
      <c r="D141" s="1"/>
      <c r="E141" s="1"/>
    </row>
    <row r="142" ht="15.75" customHeight="1">
      <c r="C142" s="1"/>
      <c r="D142" s="1"/>
      <c r="E142" s="1"/>
    </row>
    <row r="143" ht="15.75" customHeight="1">
      <c r="C143" s="1"/>
      <c r="D143" s="1"/>
      <c r="E143" s="1"/>
    </row>
    <row r="144" ht="15.75" customHeight="1">
      <c r="C144" s="1"/>
      <c r="D144" s="1"/>
      <c r="E144" s="1"/>
    </row>
    <row r="145" ht="15.75" customHeight="1">
      <c r="C145" s="1"/>
      <c r="D145" s="1"/>
      <c r="E145" s="1"/>
    </row>
    <row r="146" ht="15.75" customHeight="1">
      <c r="C146" s="1"/>
      <c r="D146" s="1"/>
      <c r="E146" s="1"/>
    </row>
    <row r="147" ht="15.75" customHeight="1">
      <c r="C147" s="1"/>
      <c r="D147" s="1"/>
      <c r="E147" s="1"/>
    </row>
    <row r="148" ht="15.75" customHeight="1">
      <c r="C148" s="1"/>
      <c r="D148" s="1"/>
      <c r="E148" s="1"/>
    </row>
    <row r="149" ht="15.75" customHeight="1">
      <c r="C149" s="1"/>
      <c r="D149" s="1"/>
      <c r="E149" s="1"/>
    </row>
    <row r="150" ht="15.75" customHeight="1">
      <c r="C150" s="1"/>
      <c r="D150" s="1"/>
      <c r="E150" s="1"/>
    </row>
    <row r="151" ht="15.75" customHeight="1">
      <c r="C151" s="1"/>
      <c r="D151" s="1"/>
      <c r="E151" s="1"/>
    </row>
    <row r="152" ht="15.75" customHeight="1">
      <c r="C152" s="1"/>
      <c r="D152" s="1"/>
      <c r="E152" s="1"/>
    </row>
    <row r="153" ht="15.75" customHeight="1">
      <c r="C153" s="1"/>
      <c r="D153" s="1"/>
      <c r="E153" s="1"/>
    </row>
    <row r="154" ht="15.75" customHeight="1">
      <c r="C154" s="1"/>
      <c r="D154" s="1"/>
      <c r="E154" s="1"/>
    </row>
    <row r="155" ht="15.75" customHeight="1">
      <c r="C155" s="1"/>
      <c r="D155" s="1"/>
      <c r="E155" s="1"/>
    </row>
    <row r="156" ht="15.75" customHeight="1">
      <c r="C156" s="1"/>
      <c r="D156" s="1"/>
      <c r="E156" s="1"/>
    </row>
    <row r="157" ht="15.75" customHeight="1">
      <c r="C157" s="1"/>
      <c r="D157" s="1"/>
      <c r="E157" s="1"/>
    </row>
    <row r="158" ht="15.75" customHeight="1">
      <c r="C158" s="1"/>
      <c r="D158" s="1"/>
      <c r="E158" s="1"/>
    </row>
    <row r="159" ht="15.75" customHeight="1">
      <c r="C159" s="1"/>
      <c r="D159" s="1"/>
      <c r="E159" s="1"/>
    </row>
    <row r="160" ht="15.75" customHeight="1">
      <c r="C160" s="1"/>
      <c r="D160" s="1"/>
      <c r="E160" s="1"/>
    </row>
    <row r="161" ht="15.75" customHeight="1">
      <c r="C161" s="1"/>
      <c r="D161" s="1"/>
      <c r="E161" s="1"/>
    </row>
    <row r="162" ht="15.75" customHeight="1">
      <c r="C162" s="1"/>
      <c r="D162" s="1"/>
      <c r="E162" s="1"/>
    </row>
    <row r="163" ht="15.75" customHeight="1">
      <c r="C163" s="1"/>
      <c r="D163" s="1"/>
      <c r="E163" s="1"/>
    </row>
    <row r="164" ht="15.75" customHeight="1">
      <c r="C164" s="1"/>
      <c r="D164" s="1"/>
      <c r="E164" s="1"/>
    </row>
    <row r="165" ht="15.75" customHeight="1">
      <c r="C165" s="1"/>
      <c r="D165" s="1"/>
      <c r="E165" s="1"/>
    </row>
    <row r="166" ht="15.75" customHeight="1">
      <c r="C166" s="1"/>
      <c r="D166" s="1"/>
      <c r="E166" s="1"/>
    </row>
    <row r="167" ht="15.75" customHeight="1">
      <c r="C167" s="1"/>
      <c r="D167" s="1"/>
      <c r="E167" s="1"/>
    </row>
    <row r="168" ht="15.75" customHeight="1">
      <c r="C168" s="1"/>
      <c r="D168" s="1"/>
      <c r="E168" s="1"/>
    </row>
    <row r="169" ht="15.75" customHeight="1">
      <c r="C169" s="1"/>
      <c r="D169" s="1"/>
      <c r="E169" s="1"/>
    </row>
    <row r="170" ht="15.75" customHeight="1">
      <c r="C170" s="1"/>
      <c r="D170" s="1"/>
      <c r="E170" s="1"/>
    </row>
    <row r="171" ht="15.75" customHeight="1">
      <c r="C171" s="1"/>
      <c r="D171" s="1"/>
      <c r="E171" s="1"/>
    </row>
    <row r="172" ht="15.75" customHeight="1">
      <c r="C172" s="1"/>
      <c r="D172" s="1"/>
      <c r="E172" s="1"/>
    </row>
    <row r="173" ht="15.75" customHeight="1">
      <c r="C173" s="1"/>
      <c r="D173" s="1"/>
      <c r="E173" s="1"/>
    </row>
    <row r="174" ht="15.75" customHeight="1">
      <c r="C174" s="1"/>
      <c r="D174" s="1"/>
      <c r="E174" s="1"/>
    </row>
    <row r="175" ht="15.75" customHeight="1">
      <c r="C175" s="1"/>
      <c r="D175" s="1"/>
      <c r="E175" s="1"/>
    </row>
    <row r="176" ht="15.75" customHeight="1">
      <c r="C176" s="1"/>
      <c r="D176" s="1"/>
      <c r="E176" s="1"/>
    </row>
    <row r="177" ht="15.75" customHeight="1">
      <c r="C177" s="1"/>
      <c r="D177" s="1"/>
      <c r="E177" s="1"/>
    </row>
    <row r="178" ht="15.75" customHeight="1">
      <c r="C178" s="1"/>
      <c r="D178" s="1"/>
      <c r="E178" s="1"/>
    </row>
    <row r="179" ht="15.75" customHeight="1">
      <c r="C179" s="1"/>
      <c r="D179" s="1"/>
      <c r="E179" s="1"/>
    </row>
    <row r="180" ht="15.75" customHeight="1">
      <c r="C180" s="1"/>
      <c r="D180" s="1"/>
      <c r="E180" s="1"/>
    </row>
    <row r="181" ht="15.75" customHeight="1">
      <c r="C181" s="1"/>
      <c r="D181" s="1"/>
      <c r="E181" s="1"/>
    </row>
    <row r="182" ht="15.75" customHeight="1">
      <c r="C182" s="1"/>
      <c r="D182" s="1"/>
      <c r="E182" s="1"/>
    </row>
    <row r="183" ht="15.75" customHeight="1">
      <c r="C183" s="1"/>
      <c r="D183" s="1"/>
      <c r="E183" s="1"/>
    </row>
    <row r="184" ht="15.75" customHeight="1">
      <c r="C184" s="1"/>
      <c r="D184" s="1"/>
      <c r="E184" s="1"/>
    </row>
    <row r="185" ht="15.75" customHeight="1">
      <c r="C185" s="1"/>
      <c r="D185" s="1"/>
      <c r="E185" s="1"/>
    </row>
    <row r="186" ht="15.75" customHeight="1">
      <c r="C186" s="1"/>
      <c r="D186" s="1"/>
      <c r="E186" s="1"/>
    </row>
    <row r="187" ht="15.75" customHeight="1">
      <c r="C187" s="1"/>
      <c r="D187" s="1"/>
      <c r="E187" s="1"/>
    </row>
    <row r="188" ht="15.75" customHeight="1">
      <c r="C188" s="1"/>
      <c r="D188" s="1"/>
      <c r="E188" s="1"/>
    </row>
    <row r="189" ht="15.75" customHeight="1">
      <c r="C189" s="1"/>
      <c r="D189" s="1"/>
      <c r="E189" s="1"/>
    </row>
    <row r="190" ht="15.75" customHeight="1">
      <c r="C190" s="1"/>
      <c r="D190" s="1"/>
      <c r="E190" s="1"/>
    </row>
    <row r="191" ht="15.75" customHeight="1">
      <c r="C191" s="1"/>
      <c r="D191" s="1"/>
      <c r="E191" s="1"/>
    </row>
    <row r="192" ht="15.75" customHeight="1">
      <c r="C192" s="1"/>
      <c r="D192" s="1"/>
      <c r="E192" s="1"/>
    </row>
    <row r="193" ht="15.75" customHeight="1">
      <c r="C193" s="1"/>
      <c r="D193" s="1"/>
      <c r="E193" s="1"/>
    </row>
    <row r="194" ht="15.75" customHeight="1">
      <c r="C194" s="1"/>
      <c r="D194" s="1"/>
      <c r="E194" s="1"/>
    </row>
    <row r="195" ht="15.75" customHeight="1">
      <c r="C195" s="1"/>
      <c r="D195" s="1"/>
      <c r="E195" s="1"/>
    </row>
    <row r="196" ht="15.75" customHeight="1">
      <c r="C196" s="1"/>
      <c r="D196" s="1"/>
      <c r="E196" s="1"/>
    </row>
    <row r="197" ht="15.75" customHeight="1">
      <c r="C197" s="1"/>
      <c r="D197" s="1"/>
      <c r="E197" s="1"/>
    </row>
    <row r="198" ht="15.75" customHeight="1">
      <c r="C198" s="1"/>
      <c r="D198" s="1"/>
      <c r="E198" s="1"/>
    </row>
    <row r="199" ht="15.75" customHeight="1">
      <c r="C199" s="1"/>
      <c r="D199" s="1"/>
      <c r="E199" s="1"/>
    </row>
    <row r="200" ht="15.75" customHeight="1">
      <c r="C200" s="1"/>
      <c r="D200" s="1"/>
      <c r="E200" s="1"/>
    </row>
    <row r="201" ht="15.75" customHeight="1">
      <c r="C201" s="1"/>
      <c r="D201" s="1"/>
      <c r="E201" s="1"/>
    </row>
    <row r="202" ht="15.75" customHeight="1">
      <c r="C202" s="1"/>
      <c r="D202" s="1"/>
      <c r="E202" s="1"/>
    </row>
    <row r="203" ht="15.75" customHeight="1">
      <c r="C203" s="1"/>
      <c r="D203" s="1"/>
      <c r="E203" s="1"/>
    </row>
    <row r="204" ht="15.75" customHeight="1">
      <c r="C204" s="1"/>
      <c r="D204" s="1"/>
      <c r="E204" s="1"/>
    </row>
    <row r="205" ht="15.75" customHeight="1">
      <c r="C205" s="1"/>
      <c r="D205" s="1"/>
      <c r="E205" s="1"/>
    </row>
    <row r="206" ht="15.75" customHeight="1">
      <c r="C206" s="1"/>
      <c r="D206" s="1"/>
      <c r="E206" s="1"/>
    </row>
    <row r="207" ht="15.75" customHeight="1">
      <c r="C207" s="1"/>
      <c r="D207" s="1"/>
      <c r="E207" s="1"/>
    </row>
    <row r="208" ht="15.75" customHeight="1">
      <c r="C208" s="1"/>
      <c r="D208" s="1"/>
      <c r="E208" s="1"/>
    </row>
    <row r="209" ht="15.75" customHeight="1">
      <c r="C209" s="1"/>
      <c r="D209" s="1"/>
      <c r="E209" s="1"/>
    </row>
    <row r="210" ht="15.75" customHeight="1">
      <c r="C210" s="1"/>
      <c r="D210" s="1"/>
      <c r="E210" s="1"/>
    </row>
    <row r="211" ht="15.75" customHeight="1">
      <c r="C211" s="1"/>
      <c r="D211" s="1"/>
      <c r="E211" s="1"/>
    </row>
    <row r="212" ht="15.75" customHeight="1">
      <c r="C212" s="1"/>
      <c r="D212" s="1"/>
      <c r="E212" s="1"/>
    </row>
    <row r="213" ht="15.75" customHeight="1">
      <c r="C213" s="1"/>
      <c r="D213" s="1"/>
      <c r="E213" s="1"/>
    </row>
    <row r="214" ht="15.75" customHeight="1">
      <c r="C214" s="1"/>
      <c r="D214" s="1"/>
      <c r="E214" s="1"/>
    </row>
    <row r="215" ht="15.75" customHeight="1">
      <c r="C215" s="1"/>
      <c r="D215" s="1"/>
      <c r="E215" s="1"/>
    </row>
    <row r="216" ht="15.75" customHeight="1">
      <c r="C216" s="1"/>
      <c r="D216" s="1"/>
      <c r="E216" s="1"/>
    </row>
    <row r="217" ht="15.75" customHeight="1">
      <c r="C217" s="1"/>
      <c r="D217" s="1"/>
      <c r="E217" s="1"/>
    </row>
    <row r="218" ht="15.75" customHeight="1">
      <c r="C218" s="1"/>
      <c r="D218" s="1"/>
      <c r="E218" s="1"/>
    </row>
    <row r="219" ht="15.75" customHeight="1">
      <c r="C219" s="1"/>
      <c r="D219" s="1"/>
      <c r="E219" s="1"/>
    </row>
    <row r="220" ht="15.75" customHeight="1">
      <c r="C220" s="1"/>
      <c r="D220" s="1"/>
      <c r="E220" s="1"/>
    </row>
    <row r="221" ht="15.75" customHeight="1">
      <c r="C221" s="1"/>
      <c r="D221" s="1"/>
      <c r="E221" s="1"/>
    </row>
    <row r="222" ht="15.75" customHeight="1">
      <c r="C222" s="1"/>
      <c r="D222" s="1"/>
      <c r="E222" s="1"/>
    </row>
    <row r="223" ht="15.75" customHeight="1">
      <c r="C223" s="1"/>
      <c r="D223" s="1"/>
      <c r="E223" s="1"/>
    </row>
    <row r="224" ht="15.75" customHeight="1">
      <c r="C224" s="1"/>
      <c r="D224" s="1"/>
      <c r="E224" s="1"/>
    </row>
    <row r="225" ht="15.75" customHeight="1">
      <c r="C225" s="1"/>
      <c r="D225" s="1"/>
      <c r="E225" s="1"/>
    </row>
    <row r="226" ht="15.75" customHeight="1">
      <c r="C226" s="1"/>
      <c r="D226" s="1"/>
      <c r="E226" s="1"/>
    </row>
    <row r="227" ht="15.75" customHeight="1">
      <c r="C227" s="1"/>
      <c r="D227" s="1"/>
      <c r="E227" s="1"/>
    </row>
    <row r="228" ht="15.75" customHeight="1">
      <c r="C228" s="1"/>
      <c r="D228" s="1"/>
      <c r="E228" s="1"/>
    </row>
    <row r="229" ht="15.75" customHeight="1">
      <c r="C229" s="1"/>
      <c r="D229" s="1"/>
      <c r="E229" s="1"/>
    </row>
    <row r="230" ht="15.75" customHeight="1">
      <c r="C230" s="1"/>
      <c r="D230" s="1"/>
      <c r="E230" s="1"/>
    </row>
    <row r="231" ht="15.75" customHeight="1">
      <c r="C231" s="1"/>
      <c r="D231" s="1"/>
      <c r="E231" s="1"/>
    </row>
    <row r="232" ht="15.75" customHeight="1">
      <c r="C232" s="1"/>
      <c r="D232" s="1"/>
      <c r="E232" s="1"/>
    </row>
    <row r="233" ht="15.75" customHeight="1">
      <c r="C233" s="1"/>
      <c r="D233" s="1"/>
      <c r="E233" s="1"/>
    </row>
    <row r="234" ht="15.75" customHeight="1">
      <c r="C234" s="1"/>
      <c r="D234" s="1"/>
      <c r="E234" s="1"/>
    </row>
    <row r="235" ht="15.75" customHeight="1">
      <c r="C235" s="1"/>
      <c r="D235" s="1"/>
      <c r="E235" s="1"/>
    </row>
    <row r="236" ht="15.75" customHeight="1">
      <c r="C236" s="1"/>
      <c r="D236" s="1"/>
      <c r="E236" s="1"/>
    </row>
    <row r="237" ht="15.75" customHeight="1">
      <c r="C237" s="1"/>
      <c r="D237" s="1"/>
      <c r="E237" s="1"/>
    </row>
    <row r="238" ht="15.75" customHeight="1">
      <c r="C238" s="1"/>
      <c r="D238" s="1"/>
      <c r="E238" s="1"/>
    </row>
    <row r="239" ht="15.75" customHeight="1">
      <c r="C239" s="1"/>
      <c r="D239" s="1"/>
      <c r="E239" s="1"/>
    </row>
    <row r="240" ht="15.75" customHeight="1">
      <c r="C240" s="1"/>
      <c r="D240" s="1"/>
      <c r="E240" s="1"/>
    </row>
    <row r="241" ht="15.75" customHeight="1">
      <c r="C241" s="1"/>
      <c r="D241" s="1"/>
      <c r="E241" s="1"/>
    </row>
    <row r="242" ht="15.75" customHeight="1">
      <c r="C242" s="1"/>
      <c r="D242" s="1"/>
      <c r="E242" s="1"/>
    </row>
    <row r="243" ht="15.75" customHeight="1">
      <c r="C243" s="1"/>
      <c r="D243" s="1"/>
      <c r="E243" s="1"/>
    </row>
    <row r="244" ht="15.75" customHeight="1">
      <c r="C244" s="1"/>
      <c r="D244" s="1"/>
      <c r="E244" s="1"/>
    </row>
    <row r="245" ht="15.75" customHeight="1">
      <c r="C245" s="1"/>
      <c r="D245" s="1"/>
      <c r="E245" s="1"/>
    </row>
    <row r="246" ht="15.75" customHeight="1">
      <c r="C246" s="1"/>
      <c r="D246" s="1"/>
      <c r="E246" s="1"/>
    </row>
    <row r="247" ht="15.75" customHeight="1">
      <c r="C247" s="1"/>
      <c r="D247" s="1"/>
      <c r="E247" s="1"/>
    </row>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G3"/>
  </mergeCells>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9.0"/>
    <col customWidth="1" min="3" max="3" width="13.38"/>
    <col customWidth="1" min="4" max="26" width="9.0"/>
  </cols>
  <sheetData>
    <row r="1" ht="14.25" customHeight="1"/>
    <row r="2" ht="14.25" customHeight="1"/>
    <row r="3" ht="14.25" customHeight="1">
      <c r="B3" s="717" t="s">
        <v>380</v>
      </c>
    </row>
    <row r="4" ht="14.25" customHeight="1"/>
    <row r="5" ht="14.25" customHeight="1">
      <c r="A5" s="717" t="s">
        <v>381</v>
      </c>
      <c r="B5" s="717" t="s">
        <v>28</v>
      </c>
      <c r="C5" s="717" t="s">
        <v>382</v>
      </c>
      <c r="D5" s="717" t="s">
        <v>383</v>
      </c>
      <c r="E5" s="717" t="s">
        <v>31</v>
      </c>
      <c r="I5" s="718" t="s">
        <v>384</v>
      </c>
      <c r="J5" s="718" t="s">
        <v>13</v>
      </c>
      <c r="K5" s="718" t="s">
        <v>14</v>
      </c>
      <c r="L5" s="719" t="s">
        <v>207</v>
      </c>
    </row>
    <row r="6" ht="14.25" customHeight="1">
      <c r="I6" s="718" t="s">
        <v>385</v>
      </c>
      <c r="J6" s="718" t="s">
        <v>14</v>
      </c>
      <c r="K6" s="718" t="s">
        <v>13</v>
      </c>
      <c r="L6" s="719" t="s">
        <v>386</v>
      </c>
    </row>
    <row r="7" ht="14.25" customHeight="1">
      <c r="I7" s="718" t="s">
        <v>387</v>
      </c>
      <c r="J7" s="718" t="s">
        <v>13</v>
      </c>
      <c r="K7" s="718" t="s">
        <v>144</v>
      </c>
      <c r="L7" s="719" t="s">
        <v>196</v>
      </c>
    </row>
    <row r="8" ht="14.25" customHeight="1">
      <c r="I8" s="718" t="s">
        <v>388</v>
      </c>
      <c r="J8" s="718" t="s">
        <v>144</v>
      </c>
      <c r="K8" s="718" t="s">
        <v>13</v>
      </c>
      <c r="L8" s="720" t="s">
        <v>386</v>
      </c>
    </row>
    <row r="9" ht="14.25" customHeight="1">
      <c r="I9" s="718" t="s">
        <v>389</v>
      </c>
      <c r="J9" s="718" t="s">
        <v>13</v>
      </c>
      <c r="K9" s="718" t="s">
        <v>14</v>
      </c>
      <c r="L9" s="720" t="s">
        <v>207</v>
      </c>
    </row>
    <row r="10" ht="14.25" customHeight="1">
      <c r="I10" s="718" t="s">
        <v>390</v>
      </c>
      <c r="J10" s="718" t="s">
        <v>14</v>
      </c>
      <c r="K10" s="718" t="s">
        <v>13</v>
      </c>
      <c r="L10" s="720" t="s">
        <v>386</v>
      </c>
    </row>
    <row r="11" ht="14.25" customHeight="1">
      <c r="I11" s="718" t="s">
        <v>391</v>
      </c>
      <c r="J11" s="718" t="s">
        <v>13</v>
      </c>
      <c r="K11" s="718" t="s">
        <v>21</v>
      </c>
      <c r="L11" s="719" t="s">
        <v>14</v>
      </c>
    </row>
    <row r="12" ht="14.25" customHeight="1">
      <c r="I12" s="718" t="s">
        <v>392</v>
      </c>
      <c r="J12" s="718" t="s">
        <v>21</v>
      </c>
      <c r="K12" s="718" t="s">
        <v>13</v>
      </c>
      <c r="L12" s="719" t="s">
        <v>386</v>
      </c>
    </row>
    <row r="13" ht="14.25" customHeight="1">
      <c r="I13" s="718" t="s">
        <v>393</v>
      </c>
      <c r="J13" s="718" t="s">
        <v>13</v>
      </c>
      <c r="K13" s="718" t="s">
        <v>245</v>
      </c>
      <c r="L13" s="719" t="s">
        <v>246</v>
      </c>
    </row>
    <row r="14" ht="14.25" customHeight="1">
      <c r="I14" s="718" t="s">
        <v>394</v>
      </c>
      <c r="J14" s="718" t="s">
        <v>245</v>
      </c>
      <c r="K14" s="718" t="s">
        <v>13</v>
      </c>
      <c r="L14" s="720" t="s">
        <v>386</v>
      </c>
    </row>
    <row r="15" ht="14.25" customHeight="1">
      <c r="I15" s="718" t="s">
        <v>395</v>
      </c>
      <c r="J15" s="718" t="s">
        <v>13</v>
      </c>
      <c r="K15" s="718" t="s">
        <v>224</v>
      </c>
      <c r="L15" s="720" t="s">
        <v>27</v>
      </c>
    </row>
    <row r="16" ht="14.25" customHeight="1">
      <c r="I16" s="718" t="s">
        <v>396</v>
      </c>
      <c r="J16" s="718" t="s">
        <v>224</v>
      </c>
      <c r="K16" s="718" t="s">
        <v>13</v>
      </c>
      <c r="L16" s="720" t="s">
        <v>386</v>
      </c>
    </row>
    <row r="17" ht="14.25" customHeight="1">
      <c r="I17" s="718" t="s">
        <v>397</v>
      </c>
      <c r="J17" s="718" t="s">
        <v>13</v>
      </c>
      <c r="K17" s="718" t="s">
        <v>398</v>
      </c>
      <c r="L17" s="719" t="s">
        <v>207</v>
      </c>
    </row>
    <row r="18" ht="14.25" customHeight="1">
      <c r="I18" s="718" t="s">
        <v>399</v>
      </c>
      <c r="J18" s="718" t="s">
        <v>398</v>
      </c>
      <c r="K18" s="718" t="s">
        <v>13</v>
      </c>
      <c r="L18" s="719" t="s">
        <v>386</v>
      </c>
    </row>
    <row r="19" ht="14.25" customHeight="1">
      <c r="I19" s="718" t="s">
        <v>400</v>
      </c>
      <c r="J19" s="718" t="s">
        <v>13</v>
      </c>
      <c r="K19" s="718" t="s">
        <v>21</v>
      </c>
      <c r="L19" s="719" t="s">
        <v>14</v>
      </c>
    </row>
    <row r="20" ht="14.25" customHeight="1">
      <c r="I20" s="718" t="s">
        <v>401</v>
      </c>
      <c r="J20" s="718" t="s">
        <v>21</v>
      </c>
      <c r="K20" s="718" t="s">
        <v>13</v>
      </c>
      <c r="L20" s="719" t="s">
        <v>386</v>
      </c>
    </row>
    <row r="21" ht="14.25" customHeight="1">
      <c r="I21" s="718" t="s">
        <v>402</v>
      </c>
      <c r="J21" s="718" t="s">
        <v>13</v>
      </c>
      <c r="K21" s="718" t="s">
        <v>386</v>
      </c>
      <c r="L21" s="719" t="s">
        <v>210</v>
      </c>
    </row>
    <row r="22" ht="14.25" customHeight="1">
      <c r="I22" s="718" t="s">
        <v>403</v>
      </c>
      <c r="J22" s="718" t="s">
        <v>386</v>
      </c>
      <c r="K22" s="718" t="s">
        <v>13</v>
      </c>
      <c r="L22" s="719" t="s">
        <v>210</v>
      </c>
    </row>
    <row r="23" ht="14.25" customHeight="1">
      <c r="I23" s="718" t="s">
        <v>404</v>
      </c>
      <c r="J23" s="718" t="s">
        <v>13</v>
      </c>
      <c r="K23" s="718" t="s">
        <v>144</v>
      </c>
      <c r="L23" s="719" t="s">
        <v>196</v>
      </c>
    </row>
    <row r="24" ht="14.25" customHeight="1">
      <c r="I24" s="718" t="s">
        <v>405</v>
      </c>
      <c r="J24" s="718" t="s">
        <v>144</v>
      </c>
      <c r="K24" s="718" t="s">
        <v>13</v>
      </c>
      <c r="L24" s="719" t="s">
        <v>386</v>
      </c>
    </row>
    <row r="25" ht="14.25" customHeight="1">
      <c r="I25" s="718" t="s">
        <v>406</v>
      </c>
      <c r="J25" s="718" t="s">
        <v>13</v>
      </c>
      <c r="K25" s="718" t="s">
        <v>21</v>
      </c>
      <c r="L25" s="719" t="s">
        <v>14</v>
      </c>
    </row>
    <row r="26" ht="14.25" customHeight="1">
      <c r="I26" s="718" t="s">
        <v>407</v>
      </c>
      <c r="J26" s="718" t="s">
        <v>21</v>
      </c>
      <c r="K26" s="718" t="s">
        <v>13</v>
      </c>
      <c r="L26" s="719" t="s">
        <v>386</v>
      </c>
    </row>
    <row r="27" ht="14.25" customHeight="1">
      <c r="I27" s="718" t="s">
        <v>408</v>
      </c>
      <c r="J27" s="718" t="s">
        <v>13</v>
      </c>
      <c r="K27" s="718" t="s">
        <v>21</v>
      </c>
      <c r="L27" s="719" t="s">
        <v>14</v>
      </c>
    </row>
    <row r="28" ht="14.25" customHeight="1">
      <c r="I28" s="718" t="s">
        <v>409</v>
      </c>
      <c r="J28" s="718" t="s">
        <v>21</v>
      </c>
      <c r="K28" s="718" t="s">
        <v>13</v>
      </c>
      <c r="L28" s="719" t="s">
        <v>210</v>
      </c>
    </row>
    <row r="29" ht="14.25" customHeight="1">
      <c r="I29" s="718" t="s">
        <v>410</v>
      </c>
      <c r="J29" s="718" t="s">
        <v>13</v>
      </c>
      <c r="K29" s="718" t="s">
        <v>398</v>
      </c>
      <c r="L29" s="518" t="s">
        <v>207</v>
      </c>
    </row>
    <row r="30" ht="14.25" customHeight="1">
      <c r="I30" s="718" t="s">
        <v>411</v>
      </c>
      <c r="J30" s="718" t="s">
        <v>398</v>
      </c>
      <c r="K30" s="718" t="s">
        <v>13</v>
      </c>
      <c r="L30" s="723" t="s">
        <v>386</v>
      </c>
    </row>
    <row r="31" ht="14.25" customHeight="1">
      <c r="I31" s="718" t="s">
        <v>412</v>
      </c>
      <c r="J31" s="718" t="s">
        <v>13</v>
      </c>
      <c r="K31" s="718" t="s">
        <v>208</v>
      </c>
      <c r="L31" s="719" t="s">
        <v>14</v>
      </c>
    </row>
    <row r="32" ht="14.25" customHeight="1">
      <c r="I32" s="718" t="s">
        <v>413</v>
      </c>
      <c r="J32" s="718" t="s">
        <v>208</v>
      </c>
      <c r="K32" s="718" t="s">
        <v>13</v>
      </c>
      <c r="L32" s="719" t="s">
        <v>210</v>
      </c>
    </row>
    <row r="33" ht="14.25" customHeight="1">
      <c r="I33" s="718"/>
      <c r="J33" s="718"/>
      <c r="K33" s="718"/>
      <c r="L33" s="725"/>
    </row>
    <row r="34" ht="14.25" customHeight="1">
      <c r="I34" s="718" t="s">
        <v>414</v>
      </c>
      <c r="J34" s="718" t="s">
        <v>13</v>
      </c>
      <c r="K34" s="718" t="s">
        <v>14</v>
      </c>
      <c r="L34" s="720" t="s">
        <v>208</v>
      </c>
    </row>
    <row r="35" ht="14.25" customHeight="1">
      <c r="I35" s="718" t="s">
        <v>415</v>
      </c>
      <c r="J35" s="718" t="s">
        <v>14</v>
      </c>
      <c r="K35" s="718" t="s">
        <v>13</v>
      </c>
      <c r="L35" s="720" t="s">
        <v>386</v>
      </c>
    </row>
    <row r="36" ht="14.25" customHeight="1">
      <c r="I36" s="718" t="s">
        <v>416</v>
      </c>
      <c r="J36" s="718" t="s">
        <v>13</v>
      </c>
      <c r="K36" s="718" t="s">
        <v>27</v>
      </c>
      <c r="L36" s="720" t="s">
        <v>224</v>
      </c>
    </row>
    <row r="37" ht="14.25" customHeight="1">
      <c r="I37" s="718" t="s">
        <v>417</v>
      </c>
      <c r="J37" s="718" t="s">
        <v>27</v>
      </c>
      <c r="K37" s="718" t="s">
        <v>13</v>
      </c>
      <c r="L37" s="720" t="s">
        <v>210</v>
      </c>
    </row>
    <row r="38" ht="14.25" customHeight="1">
      <c r="I38" s="718" t="s">
        <v>418</v>
      </c>
      <c r="J38" s="718" t="s">
        <v>13</v>
      </c>
      <c r="K38" s="718" t="s">
        <v>141</v>
      </c>
      <c r="L38" s="719" t="s">
        <v>196</v>
      </c>
    </row>
    <row r="39" ht="14.25" customHeight="1">
      <c r="I39" s="718" t="s">
        <v>419</v>
      </c>
      <c r="J39" s="718" t="s">
        <v>141</v>
      </c>
      <c r="K39" s="718" t="s">
        <v>13</v>
      </c>
      <c r="L39" s="719" t="s">
        <v>210</v>
      </c>
    </row>
    <row r="40" ht="14.25" customHeight="1">
      <c r="I40" s="718" t="s">
        <v>420</v>
      </c>
      <c r="J40" s="718" t="s">
        <v>13</v>
      </c>
      <c r="K40" s="718" t="s">
        <v>144</v>
      </c>
      <c r="L40" s="719" t="s">
        <v>196</v>
      </c>
    </row>
    <row r="41" ht="14.25" customHeight="1">
      <c r="I41" s="718" t="s">
        <v>421</v>
      </c>
      <c r="J41" s="718" t="s">
        <v>144</v>
      </c>
      <c r="K41" s="718" t="s">
        <v>13</v>
      </c>
      <c r="L41" s="719" t="s">
        <v>386</v>
      </c>
    </row>
    <row r="42" ht="14.25" customHeight="1">
      <c r="I42" s="718" t="s">
        <v>422</v>
      </c>
      <c r="J42" s="718" t="s">
        <v>13</v>
      </c>
      <c r="K42" s="718" t="s">
        <v>386</v>
      </c>
      <c r="L42" s="719" t="s">
        <v>210</v>
      </c>
    </row>
    <row r="43" ht="14.25" customHeight="1">
      <c r="I43" s="718" t="s">
        <v>423</v>
      </c>
      <c r="J43" s="718" t="s">
        <v>386</v>
      </c>
      <c r="K43" s="718" t="s">
        <v>13</v>
      </c>
      <c r="L43" s="719" t="s">
        <v>210</v>
      </c>
    </row>
    <row r="44" ht="14.25" customHeight="1">
      <c r="I44" s="718" t="s">
        <v>424</v>
      </c>
      <c r="J44" s="718" t="s">
        <v>13</v>
      </c>
      <c r="K44" s="718" t="s">
        <v>245</v>
      </c>
      <c r="L44" s="719" t="s">
        <v>425</v>
      </c>
    </row>
    <row r="45" ht="14.25" customHeight="1">
      <c r="I45" s="718" t="s">
        <v>426</v>
      </c>
      <c r="J45" s="718" t="s">
        <v>245</v>
      </c>
      <c r="K45" s="718" t="s">
        <v>13</v>
      </c>
      <c r="L45" s="720" t="s">
        <v>210</v>
      </c>
    </row>
    <row r="46" ht="14.25" customHeight="1">
      <c r="I46" s="718" t="s">
        <v>427</v>
      </c>
      <c r="J46" s="718" t="s">
        <v>13</v>
      </c>
      <c r="K46" s="718" t="s">
        <v>144</v>
      </c>
      <c r="L46" s="719" t="s">
        <v>196</v>
      </c>
    </row>
    <row r="47" ht="14.25" customHeight="1">
      <c r="I47" s="718" t="s">
        <v>428</v>
      </c>
      <c r="J47" s="718" t="s">
        <v>144</v>
      </c>
      <c r="K47" s="718" t="s">
        <v>13</v>
      </c>
      <c r="L47" s="720" t="s">
        <v>210</v>
      </c>
    </row>
    <row r="48" ht="14.25" customHeight="1">
      <c r="I48" s="718" t="s">
        <v>429</v>
      </c>
      <c r="J48" s="718" t="s">
        <v>13</v>
      </c>
      <c r="K48" s="718" t="s">
        <v>245</v>
      </c>
      <c r="L48" s="719" t="s">
        <v>246</v>
      </c>
    </row>
    <row r="49" ht="14.25" customHeight="1">
      <c r="I49" s="718" t="s">
        <v>430</v>
      </c>
      <c r="J49" s="718" t="s">
        <v>245</v>
      </c>
      <c r="K49" s="718" t="s">
        <v>13</v>
      </c>
      <c r="L49" s="720" t="s">
        <v>21</v>
      </c>
    </row>
    <row r="50" ht="14.25" customHeight="1">
      <c r="I50" s="718" t="s">
        <v>431</v>
      </c>
      <c r="J50" s="718" t="s">
        <v>13</v>
      </c>
      <c r="K50" s="718" t="s">
        <v>171</v>
      </c>
      <c r="L50" s="719" t="s">
        <v>14</v>
      </c>
    </row>
    <row r="51" ht="14.25" customHeight="1">
      <c r="I51" s="718" t="s">
        <v>432</v>
      </c>
      <c r="J51" s="718" t="s">
        <v>171</v>
      </c>
      <c r="K51" s="718" t="s">
        <v>13</v>
      </c>
      <c r="L51" s="719" t="s">
        <v>210</v>
      </c>
    </row>
    <row r="52" ht="14.25" customHeight="1">
      <c r="I52" s="718" t="s">
        <v>433</v>
      </c>
      <c r="J52" s="718" t="s">
        <v>13</v>
      </c>
      <c r="K52" s="718" t="s">
        <v>14</v>
      </c>
      <c r="L52" s="720" t="s">
        <v>171</v>
      </c>
    </row>
    <row r="53" ht="14.25" customHeight="1">
      <c r="I53" s="718" t="s">
        <v>434</v>
      </c>
      <c r="J53" s="718" t="s">
        <v>14</v>
      </c>
      <c r="K53" s="718" t="s">
        <v>13</v>
      </c>
      <c r="L53" s="720" t="s">
        <v>210</v>
      </c>
    </row>
    <row r="54" ht="14.25" customHeight="1">
      <c r="I54" s="718" t="s">
        <v>435</v>
      </c>
      <c r="J54" s="718" t="s">
        <v>13</v>
      </c>
      <c r="K54" s="718" t="s">
        <v>14</v>
      </c>
      <c r="L54" s="720" t="s">
        <v>171</v>
      </c>
    </row>
    <row r="55" ht="14.25" customHeight="1">
      <c r="I55" s="718" t="s">
        <v>436</v>
      </c>
      <c r="J55" s="718" t="s">
        <v>14</v>
      </c>
      <c r="K55" s="718" t="s">
        <v>13</v>
      </c>
      <c r="L55" s="720" t="s">
        <v>210</v>
      </c>
    </row>
    <row r="56" ht="14.25" customHeight="1">
      <c r="I56" s="718" t="s">
        <v>437</v>
      </c>
      <c r="J56" s="718" t="s">
        <v>13</v>
      </c>
      <c r="K56" s="718" t="s">
        <v>245</v>
      </c>
      <c r="L56" s="719" t="s">
        <v>425</v>
      </c>
    </row>
    <row r="57" ht="14.25" customHeight="1">
      <c r="I57" s="718" t="s">
        <v>438</v>
      </c>
      <c r="J57" s="718" t="s">
        <v>245</v>
      </c>
      <c r="K57" s="718" t="s">
        <v>13</v>
      </c>
      <c r="L57" s="720" t="s">
        <v>21</v>
      </c>
    </row>
    <row r="58" ht="14.25" customHeight="1">
      <c r="I58" s="718" t="s">
        <v>439</v>
      </c>
      <c r="J58" s="718" t="s">
        <v>13</v>
      </c>
      <c r="K58" s="718" t="s">
        <v>144</v>
      </c>
      <c r="L58" s="719" t="s">
        <v>199</v>
      </c>
    </row>
    <row r="59" ht="14.25" customHeight="1">
      <c r="I59" s="718" t="s">
        <v>440</v>
      </c>
      <c r="J59" s="718" t="s">
        <v>144</v>
      </c>
      <c r="K59" s="718" t="s">
        <v>13</v>
      </c>
      <c r="L59" s="719" t="s">
        <v>144</v>
      </c>
    </row>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0"/>
    <col customWidth="1" min="2" max="2" width="35.88"/>
    <col customWidth="1" min="3" max="4" width="9.0"/>
    <col customWidth="1" min="5" max="5" width="40.38"/>
    <col customWidth="1" min="6" max="26" width="9.0"/>
  </cols>
  <sheetData>
    <row r="1" ht="14.25" customHeight="1"/>
    <row r="2" ht="14.25" customHeight="1">
      <c r="A2" s="743" t="s">
        <v>188</v>
      </c>
      <c r="B2" s="743" t="s">
        <v>443</v>
      </c>
      <c r="D2" s="743" t="s">
        <v>188</v>
      </c>
      <c r="E2" s="743" t="s">
        <v>443</v>
      </c>
    </row>
    <row r="3" ht="24.0" customHeight="1">
      <c r="A3" s="743">
        <v>1.0</v>
      </c>
      <c r="B3" s="744" t="s">
        <v>444</v>
      </c>
      <c r="D3" s="744"/>
      <c r="E3" s="744" t="s">
        <v>445</v>
      </c>
      <c r="I3" s="745"/>
      <c r="J3" s="745"/>
      <c r="K3" s="745"/>
      <c r="L3" s="745"/>
      <c r="M3" s="745"/>
      <c r="N3" s="745"/>
      <c r="O3" s="745"/>
      <c r="P3" s="745"/>
      <c r="Q3" s="745"/>
      <c r="R3" s="745"/>
    </row>
    <row r="4" ht="24.0" customHeight="1">
      <c r="A4" s="743">
        <v>2.0</v>
      </c>
      <c r="B4" s="744" t="s">
        <v>446</v>
      </c>
      <c r="D4" s="744"/>
      <c r="E4" s="744" t="s">
        <v>447</v>
      </c>
    </row>
    <row r="5" ht="24.0" customHeight="1">
      <c r="A5" s="743">
        <v>3.0</v>
      </c>
      <c r="B5" s="744" t="s">
        <v>448</v>
      </c>
      <c r="D5" s="744"/>
      <c r="E5" s="744" t="s">
        <v>449</v>
      </c>
    </row>
    <row r="6" ht="24.0" customHeight="1">
      <c r="A6" s="743">
        <v>4.0</v>
      </c>
      <c r="B6" s="744" t="s">
        <v>450</v>
      </c>
      <c r="D6" s="744"/>
      <c r="E6" s="744" t="s">
        <v>451</v>
      </c>
    </row>
    <row r="7" ht="24.0" customHeight="1">
      <c r="A7" s="743">
        <v>5.0</v>
      </c>
      <c r="B7" s="744" t="s">
        <v>452</v>
      </c>
      <c r="D7" s="744"/>
      <c r="E7" s="744" t="s">
        <v>453</v>
      </c>
    </row>
    <row r="8" ht="24.0" customHeight="1">
      <c r="A8" s="743">
        <v>6.0</v>
      </c>
      <c r="B8" s="744" t="s">
        <v>454</v>
      </c>
      <c r="D8" s="744"/>
      <c r="E8" s="744" t="s">
        <v>455</v>
      </c>
    </row>
    <row r="9" ht="24.0" customHeight="1">
      <c r="A9" s="743">
        <v>7.0</v>
      </c>
      <c r="B9" s="744" t="s">
        <v>456</v>
      </c>
      <c r="D9" s="744"/>
      <c r="E9" s="744" t="s">
        <v>457</v>
      </c>
    </row>
    <row r="10" ht="24.0" customHeight="1">
      <c r="A10" s="743">
        <v>8.0</v>
      </c>
      <c r="B10" s="744" t="s">
        <v>458</v>
      </c>
      <c r="D10" s="744"/>
      <c r="E10" s="744" t="s">
        <v>459</v>
      </c>
    </row>
    <row r="11" ht="24.0" customHeight="1">
      <c r="A11" s="743">
        <v>9.0</v>
      </c>
      <c r="B11" s="744" t="s">
        <v>460</v>
      </c>
      <c r="D11" s="744"/>
      <c r="E11" s="744" t="s">
        <v>461</v>
      </c>
    </row>
    <row r="12" ht="24.0" customHeight="1">
      <c r="A12" s="743">
        <v>10.0</v>
      </c>
      <c r="B12" s="744" t="s">
        <v>462</v>
      </c>
      <c r="D12" s="744"/>
      <c r="E12" s="744"/>
    </row>
    <row r="13" ht="24.0" customHeight="1">
      <c r="A13" s="743">
        <v>11.0</v>
      </c>
      <c r="B13" s="744" t="s">
        <v>463</v>
      </c>
      <c r="D13" s="744"/>
      <c r="E13" s="744"/>
    </row>
    <row r="14" ht="24.0" customHeight="1">
      <c r="A14" s="743">
        <v>12.0</v>
      </c>
      <c r="B14" s="744" t="s">
        <v>464</v>
      </c>
      <c r="D14" s="744"/>
      <c r="E14" s="744"/>
    </row>
    <row r="15" ht="24.0" customHeight="1">
      <c r="A15" s="743">
        <v>13.0</v>
      </c>
      <c r="B15" s="744" t="s">
        <v>465</v>
      </c>
      <c r="D15" s="744"/>
      <c r="E15" s="744"/>
    </row>
    <row r="16" ht="24.0" customHeight="1">
      <c r="A16" s="743">
        <v>14.0</v>
      </c>
      <c r="B16" s="746" t="s">
        <v>466</v>
      </c>
      <c r="D16" s="744"/>
      <c r="E16" s="744"/>
    </row>
    <row r="17" ht="24.0" customHeight="1">
      <c r="A17" s="743">
        <v>15.0</v>
      </c>
      <c r="B17" s="747" t="s">
        <v>467</v>
      </c>
      <c r="D17" s="744"/>
      <c r="E17" s="744"/>
    </row>
    <row r="18" ht="24.0" customHeight="1">
      <c r="A18" s="743">
        <v>16.0</v>
      </c>
      <c r="B18" s="747" t="s">
        <v>468</v>
      </c>
      <c r="D18" s="744"/>
      <c r="E18" s="744"/>
    </row>
    <row r="19" ht="33.0" customHeight="1"/>
    <row r="20" ht="33.0"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